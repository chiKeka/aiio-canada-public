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586b856c6ec4e45" /></Relationships>
</file>

<file path=xl/workbook.xml><?xml version="1.0" encoding="utf-8"?>
<x:workbook xmlns:x="http://schemas.openxmlformats.org/spreadsheetml/2006/main">
  <x:sheets>
    <x:sheet xmlns:r="http://schemas.openxmlformats.org/officeDocument/2006/relationships" name="Read Me" sheetId="1" r:id="R23e812f8c1854248"/>
    <x:sheet xmlns:r="http://schemas.openxmlformats.org/officeDocument/2006/relationships" name="Dashboard" sheetId="2" r:id="R328dadd421644a07"/>
    <x:sheet xmlns:r="http://schemas.openxmlformats.org/officeDocument/2006/relationships" name="Assumptions" sheetId="3" r:id="R1a775a6645404fa0"/>
    <x:sheet xmlns:r="http://schemas.openxmlformats.org/officeDocument/2006/relationships" name="Scenario Timeline" sheetId="4" r:id="R421a4803ae534405"/>
    <x:sheet xmlns:r="http://schemas.openxmlformats.org/officeDocument/2006/relationships" name="Pressure Results" sheetId="5" r:id="Rb47a4811a9204ca6"/>
    <x:sheet xmlns:r="http://schemas.openxmlformats.org/officeDocument/2006/relationships" name="Sensitivity" sheetId="6" r:id="Rf48b55deee244d24"/>
    <x:sheet xmlns:r="http://schemas.openxmlformats.org/officeDocument/2006/relationships" name="Power Overlay" sheetId="7" r:id="Ra092010fc119452d"/>
    <x:sheet xmlns:r="http://schemas.openxmlformats.org/officeDocument/2006/relationships" name="AI Projects" sheetId="8" r:id="R0444e994e36e4327"/>
    <x:sheet xmlns:r="http://schemas.openxmlformats.org/officeDocument/2006/relationships" name="BCPI Data" sheetId="9" r:id="R8756810579d24292"/>
    <x:sheet xmlns:r="http://schemas.openxmlformats.org/officeDocument/2006/relationships" name="Labour Availability" sheetId="10" r:id="R8277f613d02045dc"/>
    <x:sheet xmlns:r="http://schemas.openxmlformats.org/officeDocument/2006/relationships" name="Labour Canada" sheetId="11" r:id="Rcff0e4ae4a2f4788"/>
    <x:sheet xmlns:r="http://schemas.openxmlformats.org/officeDocument/2006/relationships" name="Workforce Stock" sheetId="12" r:id="R945d1b2dddbb4685"/>
    <x:sheet xmlns:r="http://schemas.openxmlformats.org/officeDocument/2006/relationships" name="Labour Diagnostic" sheetId="13" r:id="R98fc34ceb9694e83"/>
    <x:sheet xmlns:r="http://schemas.openxmlformats.org/officeDocument/2006/relationships" name="Material Screen" sheetId="14" r:id="R7c500f8536c24d3f"/>
    <x:sheet xmlns:r="http://schemas.openxmlformats.org/officeDocument/2006/relationships" name="Project Exposure" sheetId="15" r:id="R8ca29937a45d4bb6"/>
    <x:sheet xmlns:r="http://schemas.openxmlformats.org/officeDocument/2006/relationships" name="Power Evidence" sheetId="16" r:id="Rddd6be1053204e48"/>
    <x:sheet xmlns:r="http://schemas.openxmlformats.org/officeDocument/2006/relationships" name="Sources" sheetId="17" r:id="R0ad355fa29a94e30"/>
    <x:sheet xmlns:r="http://schemas.openxmlformats.org/officeDocument/2006/relationships" name="Release Checks" sheetId="18" r:id="R19f41400175a4466"/>
  </x:sheets>
</x:workbook>
</file>

<file path=xl/comments1.xml><?xml version="1.0" encoding="utf-8"?>
<x:comments xmlns:x="http://schemas.openxmlformats.org/spreadsheetml/2006/main">
  <x:authors>
    <x:author>tc={820EC83C-6651-4F20-899E-F885970476C1}</x:author>
    <x:author>tc={305DED9F-5498-4222-A57C-63C173425BA9}</x:author>
    <x:author>tc={8B59AE32-DBE9-443B-A506-5066EA955F88}</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
    <x:numFmt numFmtId="210" formatCode="#,##0.000"/>
    <x:numFmt numFmtId="211" formatCode="$0.00&quot;B&quot;"/>
    <x:numFmt numFmtId="212" formatCode="0.00&quot; GW&quot;"/>
    <x:numFmt numFmtId="213"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50">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top style="thin">
        <x:color rgb="FFD3DCD6"/>
      </x:top>
      <x:bottom style="thin">
        <x:color rgb="FFD3DCD6"/>
      </x:bottom>
    </x:border>
    <x:border>
      <x:left style="thin">
        <x:color rgb="FFE1B48E"/>
      </x:left>
      <x:top style="thin">
        <x:color rgb="FFE1B48E"/>
      </x:top>
      <x:bottom style="thin">
        <x:color rgb="FFE1B48E"/>
      </x:bottom>
    </x:border>
    <x:border>
      <x:top style="thin">
        <x:color rgb="FFE1B48E"/>
      </x:top>
      <x:bottom style="thin">
        <x:color rgb="FFE1B48E"/>
      </x:bottom>
    </x:border>
    <x:border>
      <x:right style="thin">
        <x:color rgb="FFE1B48E"/>
      </x:right>
      <x:top style="thin">
        <x:color rgb="FFE1B48E"/>
      </x:top>
      <x:bottom style="thin">
        <x:color rgb="FFE1B48E"/>
      </x:bottom>
    </x:border>
    <x:border>
      <x:left style="thin">
        <x:color rgb="FFD3DCD6"/>
      </x:left>
      <x:right style="thin">
        <x:color rgb="FFD3DCD6"/>
      </x:right>
      <x:top style="thin">
        <x:color rgb="FFD3DCD6"/>
      </x:top>
    </x:border>
    <x:border>
      <x:left style="thin">
        <x:color rgb="FFD3DCD6"/>
      </x:left>
      <x:right style="thin">
        <x:color rgb="FFD3DCD6"/>
      </x:right>
    </x:border>
    <x:border>
      <x:left style="thin">
        <x:color rgb="FFD3DCD6"/>
      </x:left>
      <x:right style="thin">
        <x:color rgb="FFD3DCD6"/>
      </x:right>
      <x:bottom style="thin">
        <x:color rgb="FFD3DCD6"/>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s>
  <x:cellStyleXfs count="1">
    <x:xf numFmtId="0" fontId="0" fillId="0" borderId="0"/>
  </x:cellStyleXfs>
  <x:cellXfs count="29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4" fillId="5" borderId="12" xfId="0" applyNumberFormat="1" applyFont="1" applyFill="1" applyBorder="1"/>
    <x:xf numFmtId="0" fontId="4" fillId="5" borderId="26" xfId="0" applyNumberFormat="1" applyFont="1" applyFill="1" applyBorder="1"/>
    <x:xf numFmtId="0" fontId="4" fillId="5" borderId="11" xfId="0" applyNumberFormat="1" applyFont="1" applyFill="1" applyBorder="1"/>
    <x:xf numFmtId="0" fontId="4" fillId="5" borderId="12"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8" fillId="7" borderId="27" xfId="0" applyNumberFormat="1" applyFont="1" applyFill="1" applyBorder="1"/>
    <x:xf numFmtId="0" fontId="8" fillId="7" borderId="28" xfId="0" applyNumberFormat="1" applyFont="1" applyFill="1" applyBorder="1"/>
    <x:xf numFmtId="0" fontId="8" fillId="7" borderId="29" xfId="0" applyNumberFormat="1" applyFont="1" applyFill="1" applyBorder="1"/>
    <x:xf numFmtId="0" fontId="8" fillId="7" borderId="27" xfId="0" applyNumberFormat="1" applyFont="1" applyFill="1" applyBorder="1" applyAlignment="1">
      <x:alignment wrapText="1"/>
    </x:xf>
    <x:xf numFmtId="0" fontId="8" fillId="7" borderId="28" xfId="0" applyNumberFormat="1" applyFont="1" applyFill="1" applyBorder="1" applyAlignment="1">
      <x:alignment wrapText="1"/>
    </x:xf>
    <x:xf numFmtId="0" fontId="8" fillId="7" borderId="29" xfId="0" applyNumberFormat="1" applyFont="1" applyFill="1" applyBorder="1" applyAlignment="1">
      <x:alignment wrapText="1"/>
    </x:xf>
    <x:xf numFmtId="0" fontId="8" fillId="7" borderId="27" xfId="0" applyNumberFormat="1" applyFont="1" applyFill="1" applyBorder="1" applyAlignment="1">
      <x:alignment vertical="center" wrapText="1"/>
    </x:xf>
    <x:xf numFmtId="0" fontId="8" fillId="7" borderId="28" xfId="0" applyNumberFormat="1" applyFont="1" applyFill="1" applyBorder="1" applyAlignment="1">
      <x:alignment vertical="center" wrapText="1"/>
    </x:xf>
    <x:xf numFmtId="0" fontId="8" fillId="7" borderId="29" xfId="0" applyNumberFormat="1" applyFont="1" applyFill="1" applyBorder="1" applyAlignment="1">
      <x:alignment vertical="center"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0" fillId="5" borderId="30" xfId="0" applyNumberFormat="1" applyFont="1" applyFill="1" applyBorder="1"/>
    <x:xf numFmtId="0" fontId="0" fillId="5" borderId="31" xfId="0" applyNumberFormat="1" applyFont="1" applyFill="1" applyBorder="1"/>
    <x:xf numFmtId="0" fontId="0" fillId="5" borderId="32" xfId="0" applyNumberFormat="1" applyFont="1" applyFill="1" applyBorder="1"/>
    <x:xf numFmtId="204" fontId="0" fillId="5" borderId="30" xfId="0" applyNumberFormat="1" applyFont="1" applyFill="1" applyBorder="1"/>
    <x:xf numFmtId="204" fontId="0" fillId="5" borderId="31" xfId="0" applyNumberFormat="1" applyFont="1" applyFill="1" applyBorder="1"/>
    <x:xf numFmtId="0" fontId="8" fillId="7" borderId="33" xfId="0" applyNumberFormat="1" applyFont="1" applyFill="1" applyBorder="1"/>
    <x:xf numFmtId="0" fontId="8" fillId="7" borderId="34" xfId="0" applyNumberFormat="1" applyFont="1" applyFill="1" applyBorder="1"/>
    <x:xf numFmtId="0" fontId="8" fillId="7" borderId="35" xfId="0" applyNumberFormat="1" applyFont="1" applyFill="1" applyBorder="1"/>
    <x:xf numFmtId="0" fontId="8" fillId="7" borderId="36" xfId="0" applyNumberFormat="1" applyFont="1" applyFill="1" applyBorder="1"/>
    <x:xf numFmtId="0" fontId="8" fillId="7" borderId="37" xfId="0" applyNumberFormat="1" applyFont="1" applyFill="1" applyBorder="1"/>
    <x:xf numFmtId="0" fontId="8" fillId="7" borderId="38" xfId="0" applyNumberFormat="1" applyFont="1" applyFill="1" applyBorder="1"/>
    <x:xf numFmtId="0" fontId="8" fillId="7" borderId="39" xfId="0" applyNumberFormat="1" applyFont="1" applyFill="1" applyBorder="1"/>
    <x:xf numFmtId="0" fontId="8" fillId="7" borderId="40" xfId="0" applyNumberFormat="1" applyFont="1" applyFill="1" applyBorder="1"/>
    <x:xf numFmtId="0" fontId="8" fillId="7" borderId="33" xfId="0" applyNumberFormat="1" applyFont="1" applyFill="1" applyBorder="1" applyAlignment="1">
      <x:alignment wrapText="1"/>
    </x:xf>
    <x:xf numFmtId="0" fontId="8" fillId="7" borderId="34" xfId="0" applyNumberFormat="1" applyFont="1" applyFill="1" applyBorder="1" applyAlignment="1">
      <x:alignment wrapText="1"/>
    </x:xf>
    <x:xf numFmtId="0" fontId="8" fillId="7" borderId="35" xfId="0" applyNumberFormat="1" applyFont="1" applyFill="1" applyBorder="1" applyAlignment="1">
      <x:alignment wrapText="1"/>
    </x:xf>
    <x:xf numFmtId="0" fontId="8" fillId="7" borderId="36" xfId="0" applyNumberFormat="1" applyFont="1" applyFill="1" applyBorder="1" applyAlignment="1">
      <x:alignment wrapText="1"/>
    </x:xf>
    <x:xf numFmtId="0" fontId="8" fillId="7" borderId="37" xfId="0" applyNumberFormat="1" applyFont="1" applyFill="1" applyBorder="1" applyAlignment="1">
      <x:alignment wrapText="1"/>
    </x:xf>
    <x:xf numFmtId="0" fontId="8" fillId="7" borderId="38" xfId="0" applyNumberFormat="1" applyFont="1" applyFill="1" applyBorder="1" applyAlignment="1">
      <x:alignment wrapText="1"/>
    </x:xf>
    <x:xf numFmtId="0" fontId="8" fillId="7" borderId="39" xfId="0" applyNumberFormat="1" applyFont="1" applyFill="1" applyBorder="1" applyAlignment="1">
      <x:alignment wrapText="1"/>
    </x:xf>
    <x:xf numFmtId="0" fontId="8" fillId="7" borderId="40" xfId="0" applyNumberFormat="1" applyFont="1" applyFill="1" applyBorder="1" applyAlignment="1">
      <x:alignment wrapText="1"/>
    </x:xf>
    <x:xf numFmtId="0" fontId="8" fillId="7" borderId="33" xfId="0" applyNumberFormat="1" applyFont="1" applyFill="1" applyBorder="1" applyAlignment="1">
      <x:alignment vertical="center" wrapText="1"/>
    </x:xf>
    <x:xf numFmtId="0" fontId="8" fillId="7" borderId="34" xfId="0" applyNumberFormat="1" applyFont="1" applyFill="1" applyBorder="1" applyAlignment="1">
      <x:alignment vertical="center" wrapText="1"/>
    </x:xf>
    <x:xf numFmtId="0" fontId="8" fillId="7" borderId="35" xfId="0" applyNumberFormat="1" applyFont="1" applyFill="1" applyBorder="1" applyAlignment="1">
      <x:alignment vertical="center" wrapText="1"/>
    </x:xf>
    <x:xf numFmtId="0" fontId="8" fillId="7" borderId="36" xfId="0" applyNumberFormat="1" applyFont="1" applyFill="1" applyBorder="1" applyAlignment="1">
      <x:alignment vertical="center" wrapText="1"/>
    </x:xf>
    <x:xf numFmtId="0" fontId="8" fillId="7" borderId="37" xfId="0" applyNumberFormat="1" applyFont="1" applyFill="1" applyBorder="1" applyAlignment="1">
      <x:alignment vertical="center" wrapText="1"/>
    </x:xf>
    <x:xf numFmtId="0" fontId="8" fillId="7" borderId="38" xfId="0" applyNumberFormat="1" applyFont="1" applyFill="1" applyBorder="1" applyAlignment="1">
      <x:alignment vertical="center" wrapText="1"/>
    </x:xf>
    <x:xf numFmtId="0" fontId="8" fillId="7" borderId="39" xfId="0" applyNumberFormat="1" applyFont="1" applyFill="1" applyBorder="1" applyAlignment="1">
      <x:alignment vertical="center" wrapText="1"/>
    </x:xf>
    <x:xf numFmtId="0" fontId="8" fillId="7" borderId="40" xfId="0" applyNumberFormat="1" applyFont="1" applyFill="1" applyBorder="1" applyAlignment="1">
      <x:alignment vertical="center" wrapText="1"/>
    </x:xf>
    <x:xf numFmtId="210" fontId="0" fillId="0" borderId="0" xfId="0" applyNumberFormat="1" applyFont="1" applyFill="1" applyBorder="1"/>
    <x:xf numFmtId="204" fontId="0" fillId="5" borderId="30" xfId="0" applyNumberFormat="1" applyFont="1" applyFill="1" applyBorder="1" applyAlignment="1">
      <x:alignment wrapText="1"/>
    </x:xf>
    <x:xf numFmtId="204" fontId="0" fillId="5" borderId="31" xfId="0" applyNumberFormat="1" applyFont="1" applyFill="1" applyBorder="1" applyAlignment="1">
      <x:alignment wrapText="1"/>
    </x:xf>
    <x:xf numFmtId="0" fontId="0" fillId="5" borderId="31" xfId="0" applyNumberFormat="1" applyFont="1" applyFill="1" applyBorder="1" applyAlignment="1">
      <x:alignment wrapText="1"/>
    </x:xf>
    <x:xf numFmtId="0" fontId="0" fillId="5" borderId="32" xfId="0" applyNumberFormat="1" applyFont="1" applyFill="1" applyBorder="1" applyAlignment="1">
      <x:alignment wrapText="1"/>
    </x:xf>
    <x:xf numFmtId="21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41" xfId="0" applyNumberFormat="1" applyFont="1" applyFill="1" applyBorder="1"/>
    <x:xf numFmtId="0" fontId="13" fillId="9" borderId="42" xfId="0" applyNumberFormat="1" applyFont="1" applyFill="1" applyBorder="1"/>
    <x:xf numFmtId="0" fontId="13" fillId="9" borderId="43" xfId="0" applyNumberFormat="1" applyFont="1" applyFill="1" applyBorder="1"/>
    <x:xf numFmtId="0" fontId="13" fillId="9" borderId="41" xfId="0" applyNumberFormat="1" applyFont="1" applyFill="1" applyBorder="1" applyAlignment="1">
      <x:alignment horizontal="center"/>
    </x:xf>
    <x:xf numFmtId="0" fontId="13" fillId="9" borderId="42" xfId="0" applyNumberFormat="1" applyFont="1" applyFill="1" applyBorder="1" applyAlignment="1">
      <x:alignment horizontal="center"/>
    </x:xf>
    <x:xf numFmtId="0" fontId="13" fillId="9" borderId="43" xfId="0" applyNumberFormat="1" applyFont="1" applyFill="1" applyBorder="1" applyAlignment="1">
      <x:alignment horizontal="center"/>
    </x:xf>
    <x:xf numFmtId="0" fontId="13" fillId="9" borderId="41" xfId="0" applyNumberFormat="1" applyFont="1" applyFill="1" applyBorder="1" applyAlignment="1">
      <x:alignment horizontal="center" vertical="center"/>
    </x:xf>
    <x:xf numFmtId="0" fontId="13" fillId="9" borderId="42" xfId="0" applyNumberFormat="1" applyFont="1" applyFill="1" applyBorder="1" applyAlignment="1">
      <x:alignment horizontal="center" vertical="center"/>
    </x:xf>
    <x:xf numFmtId="0" fontId="13" fillId="9" borderId="43"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44" xfId="0" applyNumberFormat="1" applyFont="1" applyFill="1" applyBorder="1"/>
    <x:xf numFmtId="0" fontId="14" fillId="10" borderId="45" xfId="0" applyNumberFormat="1" applyFont="1" applyFill="1" applyBorder="1"/>
    <x:xf numFmtId="0" fontId="14" fillId="10" borderId="46" xfId="0" applyNumberFormat="1" applyFont="1" applyFill="1" applyBorder="1"/>
    <x:xf numFmtId="0" fontId="14" fillId="10" borderId="47" xfId="0" applyNumberFormat="1" applyFont="1" applyFill="1" applyBorder="1"/>
    <x:xf numFmtId="0" fontId="14" fillId="10" borderId="48" xfId="0" applyNumberFormat="1" applyFont="1" applyFill="1" applyBorder="1"/>
    <x:xf numFmtId="0" fontId="14" fillId="10" borderId="49" xfId="0" applyNumberFormat="1" applyFont="1" applyFill="1" applyBorder="1"/>
    <x:xf numFmtId="0" fontId="14" fillId="10" borderId="44" xfId="0" applyNumberFormat="1" applyFont="1" applyFill="1" applyBorder="1" applyAlignment="1">
      <x:alignment horizontal="center"/>
    </x:xf>
    <x:xf numFmtId="0" fontId="14" fillId="10" borderId="45" xfId="0" applyNumberFormat="1" applyFont="1" applyFill="1" applyBorder="1" applyAlignment="1">
      <x:alignment horizontal="center"/>
    </x:xf>
    <x:xf numFmtId="0" fontId="14" fillId="10" borderId="46" xfId="0" applyNumberFormat="1" applyFont="1" applyFill="1" applyBorder="1" applyAlignment="1">
      <x:alignment horizontal="center"/>
    </x:xf>
    <x:xf numFmtId="0" fontId="14" fillId="10" borderId="47" xfId="0" applyNumberFormat="1" applyFont="1" applyFill="1" applyBorder="1" applyAlignment="1">
      <x:alignment horizontal="center"/>
    </x:xf>
    <x:xf numFmtId="0" fontId="14" fillId="10" borderId="48" xfId="0" applyNumberFormat="1" applyFont="1" applyFill="1" applyBorder="1" applyAlignment="1">
      <x:alignment horizontal="center"/>
    </x:xf>
    <x:xf numFmtId="0" fontId="14" fillId="10" borderId="49" xfId="0" applyNumberFormat="1" applyFont="1" applyFill="1" applyBorder="1" applyAlignment="1">
      <x:alignment horizontal="center"/>
    </x:xf>
    <x:xf numFmtId="0" fontId="14" fillId="10" borderId="44" xfId="0" applyNumberFormat="1" applyFont="1" applyFill="1" applyBorder="1" applyAlignment="1">
      <x:alignment horizontal="center" vertical="center"/>
    </x:xf>
    <x:xf numFmtId="0" fontId="14" fillId="10" borderId="45" xfId="0" applyNumberFormat="1" applyFont="1" applyFill="1" applyBorder="1" applyAlignment="1">
      <x:alignment horizontal="center" vertical="center"/>
    </x:xf>
    <x:xf numFmtId="0" fontId="14" fillId="10" borderId="46" xfId="0" applyNumberFormat="1" applyFont="1" applyFill="1" applyBorder="1" applyAlignment="1">
      <x:alignment horizontal="center" vertical="center"/>
    </x:xf>
    <x:xf numFmtId="0" fontId="14" fillId="10" borderId="47" xfId="0" applyNumberFormat="1" applyFont="1" applyFill="1" applyBorder="1" applyAlignment="1">
      <x:alignment horizontal="center" vertical="center"/>
    </x:xf>
    <x:xf numFmtId="0" fontId="14" fillId="10" borderId="48" xfId="0" applyNumberFormat="1" applyFont="1" applyFill="1" applyBorder="1" applyAlignment="1">
      <x:alignment horizontal="center" vertical="center"/>
    </x:xf>
    <x:xf numFmtId="0" fontId="14" fillId="10" borderId="49" xfId="0" applyNumberFormat="1" applyFont="1" applyFill="1" applyBorder="1" applyAlignment="1">
      <x:alignment horizontal="center" vertical="center"/>
    </x:xf>
    <x:xf numFmtId="211" fontId="14" fillId="10" borderId="44" xfId="0" applyNumberFormat="1" applyFont="1" applyFill="1" applyBorder="1" applyAlignment="1">
      <x:alignment horizontal="center" vertical="center"/>
    </x:xf>
    <x:xf numFmtId="209" fontId="14" fillId="10" borderId="44" xfId="0" applyNumberFormat="1" applyFont="1" applyFill="1" applyBorder="1" applyAlignment="1">
      <x:alignment horizontal="center" vertical="center"/>
    </x:xf>
    <x:xf numFmtId="203" fontId="14" fillId="10" borderId="44" xfId="0" applyNumberFormat="1" applyFont="1" applyFill="1" applyBorder="1" applyAlignment="1">
      <x:alignment horizontal="center" vertical="center"/>
    </x:xf>
    <x:xf numFmtId="212" fontId="14" fillId="10" borderId="44" xfId="0" applyNumberFormat="1" applyFont="1" applyFill="1" applyBorder="1" applyAlignment="1">
      <x:alignment horizontal="center" vertical="center"/>
    </x:xf>
    <x:xf numFmtId="213" fontId="0" fillId="0" borderId="0" xfId="0" applyNumberFormat="1" applyFont="1" applyFill="1" applyBorder="1"/>
    <x:xf numFmtId="0" fontId="15" fillId="7" borderId="0" xfId="0" applyNumberFormat="1" applyFont="1" applyFill="1" applyBorder="1"/>
    <x:xf numFmtId="0" fontId="15" fillId="7" borderId="33" xfId="0" applyNumberFormat="1" applyFont="1" applyFill="1" applyBorder="1"/>
    <x:xf numFmtId="0" fontId="15" fillId="7" borderId="34"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33" xfId="0" applyNumberFormat="1" applyFont="1" applyFill="1" applyBorder="1" applyAlignment="1">
      <x:alignment wrapText="1"/>
    </x:xf>
    <x:xf numFmtId="0" fontId="15" fillId="7" borderId="34" xfId="0" applyNumberFormat="1" applyFont="1" applyFill="1" applyBorder="1" applyAlignment="1">
      <x:alignment wrapText="1"/>
    </x:xf>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33" xfId="0" applyNumberFormat="1" applyFont="1" applyFill="1" applyBorder="1" applyAlignment="1">
      <x:alignment vertical="center" wrapText="1"/>
    </x:xf>
    <x:xf numFmtId="0" fontId="15" fillId="7" borderId="34" xfId="0" applyNumberFormat="1" applyFont="1" applyFill="1" applyBorder="1" applyAlignment="1">
      <x:alignment vertical="center"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41" xfId="0" applyNumberFormat="1" applyFont="1" applyFill="1" applyBorder="1" applyAlignment="1">
      <x:alignment horizontal="center" vertical="center" wrapText="1"/>
    </x:xf>
    <x:xf numFmtId="0" fontId="13" fillId="9" borderId="42" xfId="0" applyNumberFormat="1" applyFont="1" applyFill="1" applyBorder="1" applyAlignment="1">
      <x:alignment horizontal="center" vertical="center" wrapText="1"/>
    </x:xf>
    <x:xf numFmtId="0" fontId="13" fillId="9" borderId="43" xfId="0" applyNumberFormat="1" applyFont="1" applyFill="1" applyBorder="1" applyAlignment="1">
      <x:alignment horizontal="center" vertical="center" wrapText="1"/>
    </x:xf>
    <x:xf numFmtId="211" fontId="14" fillId="10" borderId="44" xfId="0" applyNumberFormat="1" applyFont="1" applyFill="1" applyBorder="1" applyAlignment="1">
      <x:alignment horizontal="center" vertical="center" wrapText="1"/>
    </x:xf>
    <x:xf numFmtId="0" fontId="14" fillId="10" borderId="45" xfId="0" applyNumberFormat="1" applyFont="1" applyFill="1" applyBorder="1" applyAlignment="1">
      <x:alignment horizontal="center" vertical="center" wrapText="1"/>
    </x:xf>
    <x:xf numFmtId="0" fontId="14" fillId="10" borderId="46" xfId="0" applyNumberFormat="1" applyFont="1" applyFill="1" applyBorder="1" applyAlignment="1">
      <x:alignment horizontal="center" vertical="center" wrapText="1"/>
    </x:xf>
    <x:xf numFmtId="209" fontId="14" fillId="10" borderId="44" xfId="0" applyNumberFormat="1" applyFont="1" applyFill="1" applyBorder="1" applyAlignment="1">
      <x:alignment horizontal="center" vertical="center" wrapText="1"/>
    </x:xf>
    <x:xf numFmtId="203" fontId="14" fillId="10" borderId="44" xfId="0" applyNumberFormat="1" applyFont="1" applyFill="1" applyBorder="1" applyAlignment="1">
      <x:alignment horizontal="center" vertical="center" wrapText="1"/>
    </x:xf>
    <x:xf numFmtId="212" fontId="14" fillId="10" borderId="44" xfId="0" applyNumberFormat="1" applyFont="1" applyFill="1" applyBorder="1" applyAlignment="1">
      <x:alignment horizontal="center" vertical="center" wrapText="1"/>
    </x:xf>
    <x:xf numFmtId="0" fontId="14" fillId="10" borderId="47" xfId="0" applyNumberFormat="1" applyFont="1" applyFill="1" applyBorder="1" applyAlignment="1">
      <x:alignment horizontal="center" vertical="center" wrapText="1"/>
    </x:xf>
    <x:xf numFmtId="0" fontId="14" fillId="10" borderId="48" xfId="0" applyNumberFormat="1" applyFont="1" applyFill="1" applyBorder="1" applyAlignment="1">
      <x:alignment horizontal="center" vertical="center" wrapText="1"/>
    </x:xf>
    <x:xf numFmtId="0" fontId="14" fillId="10" borderId="49" xfId="0" applyNumberFormat="1" applyFont="1" applyFill="1" applyBorder="1" applyAlignment="1">
      <x:alignment horizontal="center" vertical="center" wrapText="1"/>
    </x:xf>
    <x:xf numFmtId="213"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16">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d6b389bf06414b" /><Relationship Type="http://schemas.openxmlformats.org/officeDocument/2006/relationships/theme" Target="/xl/theme/theme1.xml" Id="R402bbf19c92442f0" /><Relationship Type="http://schemas.microsoft.com/office/2022/11/relationships/FeaturePropertyBag" Target="/xl/featurePropertyBag/featurePropertyBag.xml" Id="R19d65af1d44a44aa" /><Relationship Type="http://schemas.openxmlformats.org/officeDocument/2006/relationships/sharedStrings" Target="/xl/sharedStrings.xml" Id="R09b1741d19904fdf" /><Relationship Type="http://schemas.openxmlformats.org/officeDocument/2006/relationships/worksheet" Target="/xl/worksheets/sheet1.xml" Id="R23e812f8c1854248" /><Relationship Type="http://schemas.openxmlformats.org/officeDocument/2006/relationships/worksheet" Target="/xl/worksheets/sheet2.xml" Id="R328dadd421644a07" /><Relationship Type="http://schemas.openxmlformats.org/officeDocument/2006/relationships/worksheet" Target="/xl/worksheets/sheet3.xml" Id="R1a775a6645404fa0" /><Relationship Type="http://schemas.openxmlformats.org/officeDocument/2006/relationships/worksheet" Target="/xl/worksheets/sheet4.xml" Id="R421a4803ae534405" /><Relationship Type="http://schemas.openxmlformats.org/officeDocument/2006/relationships/worksheet" Target="/xl/worksheets/sheet5.xml" Id="Rb47a4811a9204ca6" /><Relationship Type="http://schemas.openxmlformats.org/officeDocument/2006/relationships/worksheet" Target="/xl/worksheets/sheet6.xml" Id="Rf48b55deee244d24" /><Relationship Type="http://schemas.openxmlformats.org/officeDocument/2006/relationships/worksheet" Target="/xl/worksheets/sheet7.xml" Id="Ra092010fc119452d" /><Relationship Type="http://schemas.openxmlformats.org/officeDocument/2006/relationships/worksheet" Target="/xl/worksheets/sheet8.xml" Id="R0444e994e36e4327" /><Relationship Type="http://schemas.openxmlformats.org/officeDocument/2006/relationships/worksheet" Target="/xl/worksheets/sheet9.xml" Id="R8756810579d24292" /><Relationship Type="http://schemas.openxmlformats.org/officeDocument/2006/relationships/worksheet" Target="/xl/worksheets/sheet10.xml" Id="R8277f613d02045dc" /><Relationship Type="http://schemas.openxmlformats.org/officeDocument/2006/relationships/worksheet" Target="/xl/worksheets/sheet11.xml" Id="Rcff0e4ae4a2f4788" /><Relationship Type="http://schemas.openxmlformats.org/officeDocument/2006/relationships/worksheet" Target="/xl/worksheets/sheet12.xml" Id="R945d1b2dddbb4685" /><Relationship Type="http://schemas.openxmlformats.org/officeDocument/2006/relationships/worksheet" Target="/xl/worksheets/sheet13.xml" Id="R98fc34ceb9694e83" /><Relationship Type="http://schemas.openxmlformats.org/officeDocument/2006/relationships/worksheet" Target="/xl/worksheets/sheet14.xml" Id="R7c500f8536c24d3f" /><Relationship Type="http://schemas.openxmlformats.org/officeDocument/2006/relationships/worksheet" Target="/xl/worksheets/sheet15.xml" Id="R8ca29937a45d4bb6" /><Relationship Type="http://schemas.openxmlformats.org/officeDocument/2006/relationships/worksheet" Target="/xl/worksheets/sheet16.xml" Id="Rddd6be1053204e48" /><Relationship Type="http://schemas.openxmlformats.org/officeDocument/2006/relationships/worksheet" Target="/xl/worksheets/sheet17.xml" Id="R0ad355fa29a94e30" /><Relationship Type="http://schemas.openxmlformats.org/officeDocument/2006/relationships/worksheet" Target="/xl/worksheets/sheet18.xml" Id="R19f41400175a4466" /><Relationship Type="http://schemas.microsoft.com/office/2017/10/relationships/person" Target="/xl/persons/person.xml" Id="Rd10094cba3e24772" /></Relationships>
</file>

<file path=xl/drawings/_rels/drawing1.xml.rels>&#65279;<?xml version="1.0" encoding="utf-8"?><Relationships xmlns="http://schemas.openxmlformats.org/package/2006/relationships"><Relationship Type="http://schemas.openxmlformats.org/officeDocument/2006/relationships/chart" Target="/xl/drawings/charts/chart1.xml" Id="Rba0f9b4c5a1244b3" /><Relationship Type="http://schemas.openxmlformats.org/officeDocument/2006/relationships/chart" Target="/xl/drawings/charts/chart2.xml" Id="R0ee8d4402b8e4ed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0f9b4c5a1244b3"/>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e8d4402b8e4ed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18E502E2-9985-4A74-A8D0-031EFEC72C87}"/>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LabourAvailabilityTable" displayName="LabourAvailabilityTable" ref="A4:O520" headerRowCount="1" totalsRowCount="0" totalsRowShown="0">
  <x:tableColumns count="15">
    <x:tableColumn id="1" name="Observation ID"/>
    <x:tableColumn id="2" name="NOC"/>
    <x:tableColumn id="3" name="Occupation"/>
    <x:tableColumn id="4" name="Model trade node"/>
    <x:tableColumn id="5" name="Statistic"/>
    <x:tableColumn id="6" name="Value"/>
    <x:tableColumn id="7" name="Unit"/>
    <x:tableColumn id="8" name="Period start"/>
    <x:tableColumn id="9" name="Period end"/>
    <x:tableColumn id="10" name="Evidence status"/>
    <x:tableColumn id="11" name="Source ID"/>
    <x:tableColumn id="12" name="Transformation ID"/>
    <x:tableColumn id="13" name="Quality flags"/>
    <x:tableColumn id="14" name="Source URL"/>
    <x:tableColumn id="15" name="Missingness check"/>
  </x:tableColumns>
  <x:tableStyleInfo name="TableStyleMedium2" showFirstColumn="0" showLastColumn="0" showRowStripes="1" showColumnStripes="0"/>
</x:table>
</file>

<file path=xl/tables/table5.xml><?xml version="1.0" encoding="utf-8"?>
<x:table xmlns:x="http://schemas.openxmlformats.org/spreadsheetml/2006/main" id="5" name="LabourCanadaCoverageTable" displayName="LabourCanadaCoverageTable" ref="A4:I17" headerRowCount="1" totalsRowCount="0" totalsRowShown="0">
  <x:tableColumns count="9">
    <x:tableColumn id="1" name="Geography ID"/>
    <x:tableColumn id="2" name="Province / territory"/>
    <x:tableColumn id="3" name="Reported cells"/>
    <x:tableColumn id="4" name="Not published"/>
    <x:tableColumn id="5" name="Total cells"/>
    <x:tableColumn id="6" name="Coverage"/>
    <x:tableColumn id="7" name="Expected reported"/>
    <x:tableColumn id="8" name="Expected not published"/>
    <x:tableColumn id="9" name="Reconciliation"/>
  </x:tableColumns>
  <x:tableStyleInfo name="TableStyleMedium2" showFirstColumn="0" showLastColumn="0" showRowStripes="1" showColumnStripes="0"/>
</x:table>
</file>

<file path=xl/tables/table6.xml><?xml version="1.0" encoding="utf-8"?>
<x:table xmlns:x="http://schemas.openxmlformats.org/spreadsheetml/2006/main" id="6" name="LabourCanadaLatestTable" displayName="LabourCanadaLatestTable" ref="A21:Q177" headerRowCount="1" totalsRowCount="0" totalsRowShown="0">
  <x:tableColumns count="17">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Value"/>
    <x:tableColumn id="10" name="Unit"/>
    <x:tableColumn id="11" name="Period end"/>
    <x:tableColumn id="12" name="Evidence status"/>
    <x:tableColumn id="13" name="Source ID"/>
    <x:tableColumn id="14" name="Transformation ID"/>
    <x:tableColumn id="15" name="Quality flags"/>
    <x:tableColumn id="16" name="Source URL"/>
    <x:tableColumn id="17" name="Missingness check"/>
  </x:tableColumns>
  <x:tableStyleInfo name="TableStyleMedium2" showFirstColumn="0" showLastColumn="0" showRowStripes="1" showColumnStripes="0"/>
</x:table>
</file>

<file path=xl/tables/table7.xml><?xml version="1.0" encoding="utf-8"?>
<x:table xmlns:x="http://schemas.openxmlformats.org/spreadsheetml/2006/main" id="7" name="WorkforceCanadaCoverageTable" displayName="WorkforceCanadaCoverageTable" ref="A4:J17" headerRowCount="1" totalsRowCount="0" totalsRowShown="0">
  <x:tableColumns count="10">
    <x:tableColumn id="1" name="Geography ID"/>
    <x:tableColumn id="2" name="Province / territory"/>
    <x:tableColumn id="3" name="Published cells"/>
    <x:tableColumn id="4" name="Zero fillers"/>
    <x:tableColumn id="5" name="Total cells"/>
    <x:tableColumn id="6" name="Coverage"/>
    <x:tableColumn id="7" name="Expected published"/>
    <x:tableColumn id="8" name="Expected zero"/>
    <x:tableColumn id="9" name="Expected total"/>
    <x:tableColumn id="10" name="Reconciliation"/>
  </x:tableColumns>
  <x:tableStyleInfo name="TableStyleMedium2" showFirstColumn="0" showLastColumn="0" showRowStripes="1" showColumnStripes="0"/>
</x:table>
</file>

<file path=xl/tables/table8.xml><?xml version="1.0" encoding="utf-8"?>
<x:table xmlns:x="http://schemas.openxmlformats.org/spreadsheetml/2006/main" id="8" name="WorkforceCanadaTable" displayName="WorkforceCanadaTable" ref="A21:S99" headerRowCount="1" totalsRowCount="0" totalsRowShown="0">
  <x:tableColumns count="19">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Employed persons"/>
    <x:tableColumn id="10" name="Unit"/>
    <x:tableColumn id="11" name="Period start"/>
    <x:tableColumn id="12" name="Period end"/>
    <x:tableColumn id="13" name="Release date"/>
    <x:tableColumn id="14" name="Evidence status"/>
    <x:tableColumn id="15" name="Source ID"/>
    <x:tableColumn id="16" name="Transformation ID"/>
    <x:tableColumn id="17" name="Quality flags"/>
    <x:tableColumn id="18" name="Zero filler"/>
    <x:tableColumn id="19" name="Cell check"/>
  </x:tableColumns>
  <x:tableStyleInfo name="TableStyleMedium2" showFirstColumn="0" showLastColumn="0" showRowStripes="1" showColumnStripes="0"/>
</x:table>
</file>

<file path=xl/tables/table9.xml><?xml version="1.0" encoding="utf-8"?>
<x:table xmlns:x="http://schemas.openxmlformats.org/spreadsheetml/2006/main" id="9" name="AlbertaLabourDiagnosticTable" displayName="AlbertaLabourDiagnosticTable" ref="A4:G8" headerRowCount="1" totalsRowCount="0" totalsRowShown="0">
  <x:tableColumns count="7">
    <x:tableColumn id="1" name="Alberta model trade"/>
    <x:tableColumn id="2" name="Current vacancies"/>
    <x:tableColumn id="3" name="2021 employed stock"/>
    <x:tableColumn id="4" name="Per 1,000"/>
    <x:tableColumn id="5" name="Complete cells"/>
    <x:tableColumn id="6" name="Availability"/>
    <x:tableColumn id="7" name="Evidence status"/>
  </x:tableColumns>
  <x:tableStyleInfo name="TableStyleMedium2" showFirstColumn="0" showLastColumn="0" showRowStripes="1" showColumnStripes="0"/>
</x:table>
</file>

<file path=xl/tables/table10.xml><?xml version="1.0" encoding="utf-8"?>
<x:table xmlns:x="http://schemas.openxmlformats.org/spreadsheetml/2006/main" id="10" name="LabourDiagnosticTable" displayName="LabourDiagnosticTable" ref="A12:N90" headerRowCount="1" totalsRowCount="0" totalsRowShown="0">
  <x:tableColumns count="14">
    <x:tableColumn id="1" name="Geography ID"/>
    <x:tableColumn id="2" name="Province / territory"/>
    <x:tableColumn id="3" name="NOC"/>
    <x:tableColumn id="4" name="Occupation"/>
    <x:tableColumn id="5" name="Model trade node"/>
    <x:tableColumn id="6" name="Current vacancies"/>
    <x:tableColumn id="7" name="Vacancy period end"/>
    <x:tableColumn id="8" name="2021 employed stock"/>
    <x:tableColumn id="9" name="Workforce period end"/>
    <x:tableColumn id="10" name="Workbook per 1,000"/>
    <x:tableColumn id="11" name="Published per 1,000"/>
    <x:tableColumn id="12" name="Availability"/>
    <x:tableColumn id="13" name="Evidence status"/>
    <x:tableColumn id="14" name="Formula check"/>
  </x:tableColumns>
  <x:tableStyleInfo name="TableStyleMedium2" showFirstColumn="0" showLastColumn="0" showRowStripes="1" showColumnStripes="0"/>
</x:table>
</file>

<file path=xl/tables/table11.xml><?xml version="1.0" encoding="utf-8"?>
<x:table xmlns:x="http://schemas.openxmlformats.org/spreadsheetml/2006/main" id="11" name="MaterialScreenTable" displayName="MaterialScreenTable" ref="A4:R36" headerRowCount="1" totalsRowCount="0" totalsRowShown="0">
  <x:tableColumns count="18">
    <x:tableColumn id="1" name="Geography ID"/>
    <x:tableColumn id="2" name="Building archetype"/>
    <x:tableColumn id="3" name="Component"/>
    <x:tableColumn id="4" name="Indicator ID"/>
    <x:tableColumn id="5" name="Period end"/>
    <x:tableColumn id="6" name="Index value"/>
    <x:tableColumn id="7" name="Unit"/>
    <x:tableColumn id="8" name="Points from 2023 base"/>
    <x:tableColumn id="9" name="Prior-quarter end"/>
    <x:tableColumn id="10" name="Prior-quarter index"/>
    <x:tableColumn id="11" name="QoQ change"/>
    <x:tableColumn id="12" name="Year-ago end"/>
    <x:tableColumn id="13" name="Year-ago index"/>
    <x:tableColumn id="14" name="YoY change"/>
    <x:tableColumn id="15" name="Source ID"/>
    <x:tableColumn id="16" name="Source status"/>
    <x:tableColumn id="17" name="Change status"/>
    <x:tableColumn id="18" name="Source URL"/>
  </x:tableColumns>
  <x:tableStyleInfo name="TableStyleMedium2" showFirstColumn="0" showLastColumn="0" showRowStripes="1" showColumnStripes="0"/>
</x:table>
</file>

<file path=xl/tables/table12.xml><?xml version="1.0" encoding="utf-8"?>
<x:table xmlns:x="http://schemas.openxmlformats.org/spreadsheetml/2006/main" id="12" name="ProjectExposureSummaryTable" displayName="ProjectExposureSummaryTable" ref="A4:J10" headerRowCount="1" totalsRowCount="0" totalsRowShown="0">
  <x:tableColumns count="10">
    <x:tableColumn id="1" name="Asset class"/>
    <x:tableColumn id="2" name="Records"/>
    <x:tableColumn id="3" name="Overlap"/>
    <x:tableColumn id="4" name="Cost records"/>
    <x:tableColumn id="5" name="Reported cost (CAD)"/>
    <x:tableColumn id="6" name="Costed + dated overlap"/>
    <x:tableColumn id="7" name="Cost allocated to window (CAD)"/>
    <x:tableColumn id="8" name="Public sponsor signals"/>
    <x:tableColumn id="9" name="Utility signals"/>
    <x:tableColumn id="10" name="Unresolved sponsor signals"/>
  </x:tableColumns>
  <x:tableStyleInfo name="TableStyleMedium2" showFirstColumn="0" showLastColumn="0" showRowStripes="1" showColumnStripes="0"/>
</x:table>
</file>

<file path=xl/tables/table13.xml><?xml version="1.0" encoding="utf-8"?>
<x:table xmlns:x="http://schemas.openxmlformats.org/spreadsheetml/2006/main" id="13" name="ProjectExposureTable" displayName="ProjectExposureTable" ref="A14:Y555" headerRowCount="1" totalsRowCount="0" totalsRowShown="0">
  <x:tableColumns count="25">
    <x:tableColumn id="1" name="Project ID"/>
    <x:tableColumn id="2" name="Name"/>
    <x:tableColumn id="3" name="Asset class"/>
    <x:tableColumn id="4" name="Asset class status"/>
    <x:tableColumn id="5" name="Project type"/>
    <x:tableColumn id="6" name="Sector"/>
    <x:tableColumn id="7" name="Developer"/>
    <x:tableColumn id="8" name="Sponsor signal"/>
    <x:tableColumn id="9" name="Sponsor status"/>
    <x:tableColumn id="10" name="Municipality"/>
    <x:tableColumn id="11" name="Stage"/>
    <x:tableColumn id="12" name="Reported cost (CAD)"/>
    <x:tableColumn id="13" name="Start year"/>
    <x:tableColumn id="14" name="End year"/>
    <x:tableColumn id="15" name="Overlap status"/>
    <x:tableColumn id="16" name="Overlap years"/>
    <x:tableColumn id="17" name="Annualized cost if complete (CAD)"/>
    <x:tableColumn id="18" name="Cost allocated to window (CAD)"/>
    <x:tableColumn id="19" name="Longitude"/>
    <x:tableColumn id="20" name="Latitude"/>
    <x:tableColumn id="21" name="Location precision"/>
    <x:tableColumn id="22" name="Source ID"/>
    <x:tableColumn id="23" name="Source status"/>
    <x:tableColumn id="24" name="As-of date"/>
    <x:tableColumn id="25" name="Source URL"/>
  </x:tableColumns>
  <x:tableStyleInfo name="TableStyleMedium2" showFirstColumn="0" showLastColumn="0" showRowStripes="1" showColumnStripes="0"/>
</x:table>
</file>

<file path=xl/tables/table14.xml><?xml version="1.0" encoding="utf-8"?>
<x:table xmlns:x="http://schemas.openxmlformats.org/spreadsheetml/2006/main" id="14" name="PowerEvidenceTable" displayName="PowerEvidenceTable" ref="A13:H23" headerRowCount="1" totalsRowCount="0" totalsRowShown="0">
  <x:tableColumns count="8">
    <x:tableColumn id="1" name="Metric ID"/>
    <x:tableColumn id="2" name="Period"/>
    <x:tableColumn id="3" name="Value"/>
    <x:tableColumn id="4" name="Unit"/>
    <x:tableColumn id="5" name="Evidence status"/>
    <x:tableColumn id="6" name="Source ID"/>
    <x:tableColumn id="7" name="Source locator"/>
    <x:tableColumn id="8" name="Source URL"/>
  </x:tableColumns>
  <x:tableStyleInfo name="TableStyleMedium2" showFirstColumn="0" showLastColumn="0" showRowStripes="1" showColumnStripes="0"/>
</x:table>
</file>

<file path=xl/tables/table15.xml><?xml version="1.0" encoding="utf-8"?>
<x:table xmlns:x="http://schemas.openxmlformats.org/spreadsheetml/2006/main" id="15" name="SourceRegisterTable" displayName="SourceRegisterTable" ref="A4:H17"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9-01T00:21:56.106" personId="{18E502E2-9985-4A74-A8D0-031EFEC72C87}" id="{820EC83C-6651-4F20-899E-F885970476C1}">
    <xltc:text>Scenario-only input. This is not a forecast or a total of committed projects.</xltc:text>
  </xltc:threadedComment>
  <xltc:threadedComment ref="B10" dT="2026-09-01T00:21:56.107" personId="{18E502E2-9985-4A74-A8D0-031EFEC72C87}" id="{305DED9F-5498-4222-A57C-63C173425BA9}">
    <xltc:text>Assumed share of locally captured construction and service demand. Test through sensitivity analysis before interpretation.</xltc:text>
  </xltc:threadedComment>
  <xltc:threadedComment ref="C24" dT="2026-09-01T00:21:56.107" personId="{18E502E2-9985-4A74-A8D0-031EFEC72C87}" id="{8B59AE32-DBE9-443B-A506-5066EA955F88}">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ff28b0d35fb24c38" /></Relationships>
</file>

<file path=xl/worksheets/_rels/sheet3.xml.rels>&#65279;<?xml version="1.0" encoding="utf-8"?><Relationships xmlns="http://schemas.openxmlformats.org/package/2006/relationships"><Relationship Type="http://schemas.openxmlformats.org/officeDocument/2006/relationships/comments" Target="/xl/comments1.xml" Id="Raf7ad114186e42aa" /><Relationship Type="http://schemas.openxmlformats.org/officeDocument/2006/relationships/vmlDrawing" Target="/xl/drawings/vmldrawing.vml" Id="R854e2a6b9ea54b61" /><Relationship Type="http://schemas.microsoft.com/office/2017/10/relationships/threadedComment" Target="/xl/threadedcomments/threadedcomment.xml" Id="R64320960b5ad4b72" /></Relationships>
</file>

<file path=xl/worksheets/_rels/sheet7.xml.rels>&#65279;<?xml version="1.0" encoding="utf-8"?><Relationships xmlns="http://schemas.openxmlformats.org/package/2006/relationships"><Relationship Type="http://schemas.openxmlformats.org/officeDocument/2006/relationships/table" Target="/xl/tables/table1.xml" Id="R1c46388fa9284c5d" /></Relationships>
</file>

<file path=xl/worksheets/_rels/sheet8.xml.rels>&#65279;<?xml version="1.0" encoding="utf-8"?><Relationships xmlns="http://schemas.openxmlformats.org/package/2006/relationships"><Relationship Type="http://schemas.openxmlformats.org/officeDocument/2006/relationships/table" Target="/xl/tables/table2.xml" Id="R2d3cca7fd1b8433c" /></Relationships>
</file>

<file path=xl/worksheets/_rels/sheet9.xml.rels>&#65279;<?xml version="1.0" encoding="utf-8"?><Relationships xmlns="http://schemas.openxmlformats.org/package/2006/relationships"><Relationship Type="http://schemas.openxmlformats.org/officeDocument/2006/relationships/table" Target="/xl/tables/table3.xml" Id="Ra144c3974056489c" /></Relationships>
</file>

<file path=xl/worksheets/_rels/sheet10.xml.rels>&#65279;<?xml version="1.0" encoding="utf-8"?><Relationships xmlns="http://schemas.openxmlformats.org/package/2006/relationships"><Relationship Type="http://schemas.openxmlformats.org/officeDocument/2006/relationships/table" Target="/xl/tables/table4.xml" Id="Re110970bdb4e4fd4" /></Relationships>
</file>

<file path=xl/worksheets/_rels/sheet11.xml.rels>&#65279;<?xml version="1.0" encoding="utf-8"?><Relationships xmlns="http://schemas.openxmlformats.org/package/2006/relationships"><Relationship Type="http://schemas.openxmlformats.org/officeDocument/2006/relationships/table" Target="/xl/tables/table5.xml" Id="R655c332252834273" /><Relationship Type="http://schemas.openxmlformats.org/officeDocument/2006/relationships/table" Target="/xl/tables/table6.xml" Id="R4fe862ed77ed4f52" /></Relationships>
</file>

<file path=xl/worksheets/_rels/sheet12.xml.rels>&#65279;<?xml version="1.0" encoding="utf-8"?><Relationships xmlns="http://schemas.openxmlformats.org/package/2006/relationships"><Relationship Type="http://schemas.openxmlformats.org/officeDocument/2006/relationships/table" Target="/xl/tables/table7.xml" Id="Rf664e1ca14964b4e" /><Relationship Type="http://schemas.openxmlformats.org/officeDocument/2006/relationships/table" Target="/xl/tables/table8.xml" Id="R6509c25dfb0c40c6" /></Relationships>
</file>

<file path=xl/worksheets/_rels/sheet13.xml.rels>&#65279;<?xml version="1.0" encoding="utf-8"?><Relationships xmlns="http://schemas.openxmlformats.org/package/2006/relationships"><Relationship Type="http://schemas.openxmlformats.org/officeDocument/2006/relationships/table" Target="/xl/tables/table9.xml" Id="R84125cf0ca0f4501" /><Relationship Type="http://schemas.openxmlformats.org/officeDocument/2006/relationships/table" Target="/xl/tables/table10.xml" Id="Rc4b60db5bb244eb2" /></Relationships>
</file>

<file path=xl/worksheets/_rels/sheet14.xml.rels>&#65279;<?xml version="1.0" encoding="utf-8"?><Relationships xmlns="http://schemas.openxmlformats.org/package/2006/relationships"><Relationship Type="http://schemas.openxmlformats.org/officeDocument/2006/relationships/table" Target="/xl/tables/table11.xml" Id="R14bb8ae609a94ab3" /></Relationships>
</file>

<file path=xl/worksheets/_rels/sheet15.xml.rels>&#65279;<?xml version="1.0" encoding="utf-8"?><Relationships xmlns="http://schemas.openxmlformats.org/package/2006/relationships"><Relationship Type="http://schemas.openxmlformats.org/officeDocument/2006/relationships/table" Target="/xl/tables/table12.xml" Id="R20c9337497174d17" /><Relationship Type="http://schemas.openxmlformats.org/officeDocument/2006/relationships/table" Target="/xl/tables/table13.xml" Id="Rfb036825bce74811" /></Relationships>
</file>

<file path=xl/worksheets/_rels/sheet16.xml.rels>&#65279;<?xml version="1.0" encoding="utf-8"?><Relationships xmlns="http://schemas.openxmlformats.org/package/2006/relationships"><Relationship Type="http://schemas.openxmlformats.org/officeDocument/2006/relationships/table" Target="/xl/tables/table14.xml" Id="R2c724a975d74471a" /></Relationships>
</file>

<file path=xl/worksheets/_rels/sheet17.xml.rels>&#65279;<?xml version="1.0" encoding="utf-8"?><Relationships xmlns="http://schemas.openxmlformats.org/package/2006/relationships"><Relationship Type="http://schemas.openxmlformats.org/officeDocument/2006/relationships/table" Target="/xl/tables/table15.xml" Id="R4c185a9e9de947b8"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0.6.0-dev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Labour Availability</x:v>
      </x:c>
      <x:c r="C26" s="63" t="str">
        <x:v>Inspect Alberta vacancies, offered wages, quality flags and suppressed cells.</x:v>
      </x:c>
      <x:c r="D26" s="63" t="str"/>
      <x:c r="E26" s="63" t="str"/>
      <x:c r="F26" s="63" t="str"/>
      <x:c r="G26" s="63" t="str"/>
      <x:c r="H26" s="63" t="str"/>
    </x:row>
    <x:row r="27">
      <x:c r="A27" s="71" t="str">
        <x:v>10</x:v>
      </x:c>
      <x:c r="B27" s="72" t="str">
        <x:v>Labour Canada</x:v>
      </x:c>
      <x:c r="C27" s="63" t="str">
        <x:v>Compare latest-quarter publication coverage across all provinces and territories.</x:v>
      </x:c>
      <x:c r="D27" s="63" t="str"/>
      <x:c r="E27" s="63" t="str"/>
      <x:c r="F27" s="63" t="str"/>
      <x:c r="G27" s="63" t="str"/>
      <x:c r="H27" s="63" t="str"/>
    </x:row>
    <x:row r="28">
      <x:c r="A28" s="71" t="str">
        <x:v>11</x:v>
      </x:c>
      <x:c r="B28" s="72" t="str">
        <x:v>Workforce Stock</x:v>
      </x:c>
      <x:c r="C28" s="63" t="str">
        <x:v>Inspect 2021 Census employed-person counts, reference-week lineage and zero fillers.</x:v>
      </x:c>
      <x:c r="D28" s="63" t="str"/>
      <x:c r="E28" s="63" t="str"/>
      <x:c r="F28" s="63" t="str"/>
      <x:c r="G28" s="63" t="str"/>
      <x:c r="H28" s="63" t="str"/>
    </x:row>
    <x:row r="29">
      <x:c r="A29" s="71" t="str">
        <x:v>12</x:v>
      </x:c>
      <x:c r="B29" s="72" t="str">
        <x:v>Labour Diagnostic</x:v>
      </x:c>
      <x:c r="C29" s="63" t="str">
        <x:v>Review the guarded cross-vintage recruitment screen and formula reconciliation.</x:v>
      </x:c>
      <x:c r="D29" s="63" t="str"/>
      <x:c r="E29" s="63" t="str"/>
      <x:c r="F29" s="63" t="str"/>
      <x:c r="G29" s="63" t="str"/>
      <x:c r="H29" s="63" t="str"/>
    </x:row>
    <x:row r="30">
      <x:c r="A30" s="71" t="str">
        <x:v>13</x:v>
      </x:c>
      <x:c r="B30" s="72" t="str">
        <x:v>Material Screen</x:v>
      </x:c>
      <x:c r="C30" s="63" t="str">
        <x:v>Inspect selected BCPI component proxies and disclosed change calculations.</x:v>
      </x:c>
      <x:c r="D30" s="63" t="str"/>
      <x:c r="E30" s="63" t="str"/>
      <x:c r="F30" s="63" t="str"/>
      <x:c r="G30" s="63" t="str"/>
      <x:c r="H30" s="63" t="str"/>
    </x:row>
    <x:row r="31">
      <x:c r="A31" s="71" t="str">
        <x:v>14</x:v>
      </x:c>
      <x:c r="B31" s="72" t="str">
        <x:v>Project Exposure</x:v>
      </x:c>
      <x:c r="C31" s="63" t="str">
        <x:v>Inspect inferred asset classes, schedule overlap and cost-data coverage.</x:v>
      </x:c>
      <x:c r="D31" s="63" t="str"/>
      <x:c r="E31" s="63" t="str"/>
      <x:c r="F31" s="63" t="str"/>
      <x:c r="G31" s="63" t="str"/>
      <x:c r="H31" s="63" t="str"/>
    </x:row>
    <x:row r="32">
      <x:c r="A32" s="71" t="str">
        <x:v>15</x:v>
      </x:c>
      <x:c r="B32" s="72" t="str">
        <x:v>Power Evidence</x:v>
      </x:c>
      <x:c r="C32" s="63" t="str">
        <x:v>Separate AESO requests, limits and contracts from the independent power scenario.</x:v>
      </x:c>
      <x:c r="D32" s="63" t="str"/>
      <x:c r="E32" s="63" t="str"/>
      <x:c r="F32" s="63" t="str"/>
      <x:c r="G32" s="63" t="str"/>
      <x:c r="H32" s="63" t="str"/>
    </x:row>
    <x:row r="33">
      <x:c r="A33" s="71" t="str">
        <x:v>16</x:v>
      </x:c>
      <x:c r="B33" s="72" t="str">
        <x:v>Sources</x:v>
      </x:c>
      <x:c r="C33" s="63" t="str">
        <x:v>Open authoritative public URLs and check source vintages.</x:v>
      </x:c>
      <x:c r="D33" s="63" t="str"/>
      <x:c r="E33" s="63" t="str"/>
      <x:c r="F33" s="63" t="str"/>
      <x:c r="G33" s="63" t="str"/>
      <x:c r="H33" s="63" t="str"/>
    </x:row>
    <x:row r="34">
      <x:c r="A34" s="71" t="str">
        <x:v>17</x:v>
      </x:c>
      <x:c r="B34" s="72" t="str">
        <x:v>Release Checks</x:v>
      </x:c>
      <x:c r="C34" s="63" t="str">
        <x:v>Confirm formula reconciliations and manifest identity.</x:v>
      </x:c>
      <x:c r="D34" s="63" t="str"/>
      <x:c r="E34" s="63" t="str"/>
      <x:c r="F34" s="63" t="str"/>
      <x:c r="G34" s="63" t="str"/>
      <x:c r="H34" s="63" t="str"/>
    </x:row>
    <x:row r="35">
      <x:c r="A35" s="63"/>
      <x:c r="B35" s="63"/>
      <x:c r="C35" s="63"/>
      <x:c r="D35" s="63"/>
      <x:c r="E35" s="63"/>
      <x:c r="F35" s="63"/>
      <x:c r="G35" s="63"/>
      <x:c r="H35" s="63"/>
    </x:row>
    <x:row r="36">
      <x:c r="A36" s="73" t="str">
        <x:v>Interpretation boundary</x:v>
      </x:c>
      <x:c r="B36" s="73"/>
      <x:c r="C36" s="73"/>
      <x:c r="D36" s="73"/>
      <x:c r="E36" s="73"/>
      <x:c r="F36" s="73"/>
      <x:c r="G36" s="73"/>
      <x:c r="H36" s="73"/>
    </x:row>
    <x:row r="37">
      <x:c r="A37" s="60" t="str">
        <x:v>UNCALIBRATED STRUCTURAL DIAGNOSTIC. Pressure scores are not findings, forecasts, probabilities or percentages: 0.24 does not mean a 24% delay. The graph excludes 54% of scenario capex. AESO requests, executed contracts and connected load are distinct; additional transmission for the $50B case remains unknown. BCPI movements do not identify an AI effect. Project asset and sponsor labels are inferences, not ownership determinations. The labour recruitment screen combines current vacancies with a 2021 Census denominator and is not a current vacancy rate or spare-capacity measure.</x:v>
      </x:c>
      <x:c r="B37" s="60"/>
      <x:c r="C37" s="60"/>
      <x:c r="D37" s="60"/>
      <x:c r="E37" s="60"/>
      <x:c r="F37" s="60"/>
      <x:c r="G37" s="60"/>
      <x:c r="H37" s="60"/>
    </x:row>
    <x:row r="38">
      <x:c r="A38" s="60"/>
      <x:c r="B38" s="60"/>
      <x:c r="C38" s="60"/>
      <x:c r="D38" s="60"/>
      <x:c r="E38" s="60"/>
      <x:c r="F38" s="60"/>
      <x:c r="G38" s="60"/>
      <x:c r="H38" s="60"/>
    </x:row>
    <x:row r="39">
      <x:c r="A39" s="60"/>
      <x:c r="B39" s="60"/>
      <x:c r="C39" s="60"/>
      <x:c r="D39" s="60"/>
      <x:c r="E39" s="60"/>
      <x:c r="F39" s="60"/>
      <x:c r="G39" s="60"/>
      <x:c r="H39" s="60"/>
    </x:row>
    <x:row r="40">
      <x:c r="A40" s="60"/>
      <x:c r="B40" s="60"/>
      <x:c r="C40" s="60"/>
      <x:c r="D40" s="60"/>
      <x:c r="E40" s="60"/>
      <x:c r="F40" s="60"/>
      <x:c r="G40" s="60"/>
      <x:c r="H40" s="60"/>
    </x:row>
    <x:row r="41">
      <x:c r="A41" s="60"/>
      <x:c r="B41" s="60"/>
      <x:c r="C41" s="60"/>
      <x:c r="D41" s="60"/>
      <x:c r="E41" s="60"/>
      <x:c r="F41" s="60"/>
      <x:c r="G41" s="60"/>
      <x:c r="H41" s="60"/>
    </x:row>
    <x:row r="42">
      <x:c r="A42" s="63"/>
      <x:c r="B42" s="63"/>
      <x:c r="C42" s="63"/>
      <x:c r="D42" s="63"/>
      <x:c r="E42" s="63"/>
      <x:c r="F42" s="63"/>
      <x:c r="G42" s="63"/>
      <x:c r="H42"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C28:H28"/>
    <x:mergeCell ref="C29:H29"/>
    <x:mergeCell ref="C30:H30"/>
    <x:mergeCell ref="C31:H31"/>
    <x:mergeCell ref="C32:H32"/>
    <x:mergeCell ref="C33:H33"/>
    <x:mergeCell ref="C34:H34"/>
    <x:mergeCell ref="A36:H36"/>
    <x:mergeCell ref="A37:H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0.6.0-dev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84" t="str">
        <x:v>Known reported core capex</x:v>
      </x:c>
      <x:c r="B5" s="285"/>
      <x:c r="C5" s="286"/>
      <x:c r="D5" s="284" t="str">
        <x:v>Core facility records</x:v>
      </x:c>
      <x:c r="E5" s="285"/>
      <x:c r="F5" s="286"/>
      <x:c r="G5" s="284" t="str">
        <x:v>Central trade pressure</x:v>
      </x:c>
      <x:c r="H5" s="285"/>
      <x:c r="I5" s="286"/>
      <x:c r="J5" s="284" t="str">
        <x:v>Transfer planning proxy</x:v>
      </x:c>
      <x:c r="K5" s="285"/>
      <x:c r="L5" s="286"/>
    </x:row>
    <x:row r="6">
      <x:c r="A6" s="287" t="n">
        <x:f>SUMIF('AI Projects'!$M$5:$M$26,"core_data_centre",'AI Projects'!$C$5:$C$26)/1000000000</x:f>
        <x:v>49.01</x:v>
      </x:c>
      <x:c r="B6" s="288"/>
      <x:c r="C6" s="289"/>
      <x:c r="D6" s="290" t="n">
        <x:f>COUNTIF('AI Projects'!$M$5:$M$26,"core_data_centre")</x:f>
        <x:v>19</x:v>
      </x:c>
      <x:c r="E6" s="288"/>
      <x:c r="F6" s="289"/>
      <x:c r="G6" s="291" t="n">
        <x:f>MAX('Pressure Results'!$F$5:$F$8)</x:f>
        <x:v>0.3827</x:v>
      </x:c>
      <x:c r="H6" s="288"/>
      <x:c r="I6" s="289"/>
      <x:c r="J6" s="292" t="n">
        <x:f>'Assumptions'!K24/1000</x:f>
        <x:v>1.8215999999999999</x:v>
      </x:c>
      <x:c r="K6" s="288"/>
      <x:c r="L6" s="289"/>
    </x:row>
    <x:row r="7">
      <x:c r="A7" s="293"/>
      <x:c r="B7" s="294"/>
      <x:c r="C7" s="295"/>
      <x:c r="D7" s="293"/>
      <x:c r="E7" s="294"/>
      <x:c r="F7" s="295"/>
      <x:c r="G7" s="293"/>
      <x:c r="H7" s="294"/>
      <x:c r="I7" s="295"/>
      <x:c r="J7" s="293"/>
      <x:c r="K7" s="294"/>
      <x:c r="L7" s="295"/>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ht="28" customHeight="1">
      <x:c r="A16" s="44" t="str">
        <x:v>Recruitment screen</x:v>
      </x:c>
      <x:c r="B16" s="45" t="str">
        <x:v>Per 1,000</x:v>
      </x:c>
      <x:c r="C16" s="63"/>
      <x:c r="D16" s="63"/>
      <x:c r="E16" s="63"/>
      <x:c r="F16" s="63"/>
      <x:c r="G16" s="63"/>
      <x:c r="H16" s="63"/>
      <x:c r="I16" s="63"/>
      <x:c r="J16" s="63"/>
      <x:c r="K16" s="63"/>
      <x:c r="L16" s="63"/>
    </x:row>
    <x:row r="17">
      <x:c r="A17" s="63" t="str">
        <x:f>'Labour Diagnostic'!A5</x:f>
        <x:v>HVAC</x:v>
      </x:c>
      <x:c r="B17" s="147" t="n">
        <x:f>'Labour Diagnostic'!D5</x:f>
        <x:v>74.31</x:v>
      </x:c>
      <x:c r="C17" s="63"/>
      <x:c r="D17" s="63"/>
      <x:c r="E17" s="63"/>
      <x:c r="F17" s="63"/>
      <x:c r="G17" s="63"/>
      <x:c r="H17" s="63"/>
      <x:c r="I17" s="63"/>
      <x:c r="J17" s="63"/>
      <x:c r="K17" s="63"/>
      <x:c r="L17" s="63"/>
    </x:row>
    <x:row r="18">
      <x:c r="A18" s="63" t="str">
        <x:f>'Labour Diagnostic'!A6</x:f>
        <x:v>Electricians</x:v>
      </x:c>
      <x:c r="B18" s="147" t="n">
        <x:f>'Labour Diagnostic'!D6</x:f>
        <x:v>30.77</x:v>
      </x:c>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30" t="str">
        <x:v>Cross-vintage screening metric only; incomplete trades are excluded.</x:v>
      </x:c>
      <x:c r="B20" s="32"/>
      <x:c r="C20" s="63"/>
      <x:c r="D20" s="63"/>
      <x:c r="E20" s="63"/>
      <x:c r="F20" s="63"/>
      <x:c r="G20" s="63"/>
      <x:c r="H20" s="63"/>
      <x:c r="I20" s="63"/>
      <x:c r="J20" s="63"/>
      <x:c r="K20" s="63"/>
      <x:c r="L20" s="63"/>
    </x:row>
    <x:row r="21">
      <x:c r="A21" s="33"/>
      <x:c r="B21" s="35"/>
      <x:c r="C21" s="63"/>
      <x:c r="D21" s="63"/>
      <x:c r="E21" s="63"/>
      <x:c r="F21" s="63"/>
      <x:c r="G21" s="63"/>
      <x:c r="H21" s="63"/>
      <x:c r="I21" s="63"/>
      <x:c r="J21" s="63"/>
      <x:c r="K21" s="63"/>
      <x:c r="L21" s="63"/>
    </x:row>
    <x:row r="22">
      <x:c r="A22" s="36"/>
      <x:c r="B22" s="38"/>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96" t="n">
        <x:f>'Scenario Timeline'!C5/1000000000</x:f>
        <x:v>2</x:v>
      </x:c>
      <x:c r="C26" s="63"/>
      <x:c r="D26" s="63"/>
      <x:c r="E26" s="63"/>
      <x:c r="F26" s="63"/>
      <x:c r="G26" s="63"/>
      <x:c r="H26" s="63"/>
      <x:c r="I26" s="63"/>
      <x:c r="J26" s="63"/>
      <x:c r="K26" s="63"/>
      <x:c r="L26" s="63"/>
    </x:row>
    <x:row r="27">
      <x:c r="A27" s="63" t="n">
        <x:f>'Scenario Timeline'!A6</x:f>
        <x:v>2028</x:v>
      </x:c>
      <x:c r="B27" s="296" t="n">
        <x:f>'Scenario Timeline'!C6/1000000000</x:f>
        <x:v>3.5000000000000004</x:v>
      </x:c>
      <x:c r="C27" s="63"/>
      <x:c r="D27" s="63"/>
      <x:c r="E27" s="63"/>
      <x:c r="F27" s="63"/>
      <x:c r="G27" s="63"/>
      <x:c r="H27" s="63"/>
      <x:c r="I27" s="63"/>
      <x:c r="J27" s="63"/>
      <x:c r="K27" s="63"/>
      <x:c r="L27" s="63"/>
    </x:row>
    <x:row r="28">
      <x:c r="A28" s="63" t="n">
        <x:f>'Scenario Timeline'!A7</x:f>
        <x:v>2029</x:v>
      </x:c>
      <x:c r="B28" s="296" t="n">
        <x:f>'Scenario Timeline'!C7/1000000000</x:f>
        <x:v>5</x:v>
      </x:c>
      <x:c r="C28" s="63"/>
      <x:c r="D28" s="63"/>
      <x:c r="E28" s="63"/>
      <x:c r="F28" s="63"/>
      <x:c r="G28" s="63"/>
      <x:c r="H28" s="63"/>
      <x:c r="I28" s="63"/>
      <x:c r="J28" s="63"/>
      <x:c r="K28" s="63"/>
      <x:c r="L28" s="63"/>
    </x:row>
    <x:row r="29">
      <x:c r="A29" s="63" t="n">
        <x:f>'Scenario Timeline'!A8</x:f>
        <x:v>2030</x:v>
      </x:c>
      <x:c r="B29" s="296" t="n">
        <x:f>'Scenario Timeline'!C8/1000000000</x:f>
        <x:v>6</x:v>
      </x:c>
      <x:c r="C29" s="63"/>
      <x:c r="D29" s="63"/>
      <x:c r="E29" s="63"/>
      <x:c r="F29" s="63"/>
      <x:c r="G29" s="63"/>
      <x:c r="H29" s="63"/>
      <x:c r="I29" s="63"/>
      <x:c r="J29" s="63"/>
      <x:c r="K29" s="63"/>
      <x:c r="L29" s="63"/>
    </x:row>
    <x:row r="30">
      <x:c r="A30" s="63" t="n">
        <x:f>'Scenario Timeline'!A9</x:f>
        <x:v>2031</x:v>
      </x:c>
      <x:c r="B30" s="296" t="n">
        <x:f>'Scenario Timeline'!C9/1000000000</x:f>
        <x:v>7.000000000000001</x:v>
      </x:c>
      <x:c r="C30" s="63"/>
      <x:c r="D30" s="63"/>
      <x:c r="E30" s="63"/>
      <x:c r="F30" s="63"/>
      <x:c r="G30" s="63"/>
      <x:c r="H30" s="63"/>
      <x:c r="I30" s="63"/>
      <x:c r="J30" s="63"/>
      <x:c r="K30" s="63"/>
      <x:c r="L30" s="63"/>
    </x:row>
    <x:row r="31">
      <x:c r="A31" s="63" t="n">
        <x:f>'Scenario Timeline'!A10</x:f>
        <x:v>2032</x:v>
      </x:c>
      <x:c r="B31" s="296" t="n">
        <x:f>'Scenario Timeline'!C10/1000000000</x:f>
        <x:v>7.000000000000001</x:v>
      </x:c>
      <x:c r="C31" s="63"/>
      <x:c r="D31" s="63"/>
      <x:c r="E31" s="63"/>
      <x:c r="F31" s="63"/>
      <x:c r="G31" s="63"/>
      <x:c r="H31" s="63"/>
      <x:c r="I31" s="63"/>
      <x:c r="J31" s="63"/>
      <x:c r="K31" s="63"/>
      <x:c r="L31" s="63"/>
    </x:row>
    <x:row r="32">
      <x:c r="A32" s="63" t="n">
        <x:f>'Scenario Timeline'!A11</x:f>
        <x:v>2033</x:v>
      </x:c>
      <x:c r="B32" s="296" t="n">
        <x:f>'Scenario Timeline'!C11/1000000000</x:f>
        <x:v>6.5</x:v>
      </x:c>
      <x:c r="C32" s="63"/>
      <x:c r="D32" s="63"/>
      <x:c r="E32" s="63"/>
      <x:c r="F32" s="63"/>
      <x:c r="G32" s="63"/>
      <x:c r="H32" s="63"/>
      <x:c r="I32" s="63"/>
      <x:c r="J32" s="63"/>
      <x:c r="K32" s="63"/>
      <x:c r="L32" s="63"/>
    </x:row>
    <x:row r="33">
      <x:c r="A33" s="63" t="n">
        <x:f>'Scenario Timeline'!A12</x:f>
        <x:v>2034</x:v>
      </x:c>
      <x:c r="B33" s="296" t="n">
        <x:f>'Scenario Timeline'!C12/1000000000</x:f>
        <x:v>5.5</x:v>
      </x:c>
      <x:c r="C33" s="63"/>
      <x:c r="D33" s="63"/>
      <x:c r="E33" s="63"/>
      <x:c r="F33" s="63"/>
      <x:c r="G33" s="63"/>
      <x:c r="H33" s="63"/>
      <x:c r="I33" s="63"/>
      <x:c r="J33" s="63"/>
      <x:c r="K33" s="63"/>
      <x:c r="L33" s="63"/>
    </x:row>
    <x:row r="34">
      <x:c r="A34" s="63" t="n">
        <x:f>'Scenario Timeline'!A13</x:f>
        <x:v>2035</x:v>
      </x:c>
      <x:c r="B34" s="296" t="n">
        <x:f>'Scenario Timeline'!C13/1000000000</x:f>
        <x:v>4.5</x:v>
      </x:c>
      <x:c r="C34" s="63"/>
      <x:c r="D34" s="63"/>
      <x:c r="E34" s="63"/>
      <x:c r="F34" s="63"/>
      <x:c r="G34" s="63"/>
      <x:c r="H34" s="63"/>
      <x:c r="I34" s="63"/>
      <x:c r="J34" s="63"/>
      <x:c r="K34" s="63"/>
      <x:c r="L34" s="63"/>
    </x:row>
    <x:row r="35">
      <x:c r="A35" s="63" t="n">
        <x:f>'Scenario Timeline'!A14</x:f>
        <x:v>2036</x:v>
      </x:c>
      <x:c r="B35" s="296"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73" t="str">
        <x:v>UNCALIBRATED STRUCTURAL DIAGNOSTIC: project capex is an observed announcement pipeline with inferred classification. Pressure scores are not findings, percentages or delay estimates; 54% of scenario capex is excluded. AESO requests, contracts and connected load are distinct; additional transmission for the $50B case remains unknown. BCPI component movements are shared-market baselines, not AI-attributed effects. The recruitment screen is cross-vintage and not a current vacancy rate.</x:v>
      </x:c>
      <x:c r="B41" s="274"/>
      <x:c r="C41" s="274"/>
      <x:c r="D41" s="274"/>
      <x:c r="E41" s="274"/>
      <x:c r="F41" s="274"/>
      <x:c r="G41" s="274"/>
      <x:c r="H41" s="274"/>
      <x:c r="I41" s="274"/>
      <x:c r="J41" s="274"/>
      <x:c r="K41" s="274"/>
      <x:c r="L41" s="275"/>
    </x:row>
    <x:row r="42">
      <x:c r="A42" s="276"/>
      <x:c r="B42" s="277"/>
      <x:c r="C42" s="277"/>
      <x:c r="D42" s="277"/>
      <x:c r="E42" s="277"/>
      <x:c r="F42" s="277"/>
      <x:c r="G42" s="277"/>
      <x:c r="H42" s="277"/>
      <x:c r="I42" s="277"/>
      <x:c r="J42" s="277"/>
      <x:c r="K42" s="277"/>
      <x:c r="L42" s="278"/>
    </x:row>
    <x:row r="43">
      <x:c r="A43" s="279"/>
      <x:c r="B43" s="280"/>
      <x:c r="C43" s="280"/>
      <x:c r="D43" s="280"/>
      <x:c r="E43" s="280"/>
      <x:c r="F43" s="280"/>
      <x:c r="G43" s="280"/>
      <x:c r="H43" s="280"/>
      <x:c r="I43" s="280"/>
      <x:c r="J43" s="280"/>
      <x:c r="K43" s="280"/>
      <x:c r="L43" s="281"/>
    </x:row>
    <x:row r="44">
      <x:c r="A44" s="297" t="str">
        <x:v>Release hash: sha256:21559b99b94ed85ace15546adb4f31223b87ab825859da326233e58c5e27085f</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20:B22"/>
    <x:mergeCell ref="A41:L43"/>
    <x:mergeCell ref="A44:L44"/>
  </x:mergeCells>
  <x:pageMargins left="0.7" right="0.7" top="0.75" bottom="0.75" header="0.3" footer="0.3"/>
  <x:drawing xmlns:r="http://schemas.openxmlformats.org/officeDocument/2006/relationships" r:id="Rff28b0d35fb24c38"/>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854e2a6b9ea54b61"/>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1c46388fa9284c5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2d3cca7fd1b8433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a144c3974056489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46" hidden="0" customWidth="1"/>
    <x:col min="4" max="4" width="24" hidden="0" customWidth="1"/>
    <x:col min="5" max="5" width="31" hidden="0" customWidth="1"/>
    <x:col min="6" max="6" width="13" hidden="0" customWidth="1"/>
    <x:col min="7" max="7" width="13" hidden="0" customWidth="1"/>
    <x:col min="8" max="8" width="14" hidden="0" customWidth="1"/>
    <x:col min="9" max="9" width="14" hidden="0" customWidth="1"/>
    <x:col min="10" max="10" width="17" hidden="0" customWidth="1"/>
    <x:col min="11" max="11" width="28" hidden="0" customWidth="1"/>
    <x:col min="12" max="12" width="31" hidden="0" customWidth="1"/>
    <x:col min="13" max="13" width="38" hidden="0" customWidth="1"/>
    <x:col min="14" max="14" width="45" hidden="0" customWidth="1"/>
    <x:col min="15" max="15" width="18" hidden="0" customWidth="1"/>
  </x:cols>
  <x:sheetData>
    <x:row r="1" ht="28" customHeight="1">
      <x:c r="A1" s="61" t="str">
        <x:v>Alberta trade labour evidence</x:v>
      </x:c>
      <x:c r="B1" s="61"/>
      <x:c r="C1" s="61"/>
      <x:c r="D1" s="61"/>
      <x:c r="E1" s="61"/>
      <x:c r="F1" s="61"/>
      <x:c r="G1" s="61"/>
      <x:c r="H1" s="61"/>
      <x:c r="I1" s="61"/>
      <x:c r="J1" s="61"/>
      <x:c r="K1" s="61"/>
      <x:c r="L1" s="61"/>
      <x:c r="M1" s="61"/>
      <x:c r="N1" s="61"/>
      <x:c r="O1" s="61"/>
    </x:row>
    <x:row r="2" ht="28" customHeight="1">
      <x:c r="A2" s="61"/>
      <x:c r="B2" s="61"/>
      <x:c r="C2" s="61"/>
      <x:c r="D2" s="61"/>
      <x:c r="E2" s="61"/>
      <x:c r="F2" s="61"/>
      <x:c r="G2" s="61"/>
      <x:c r="H2" s="61"/>
      <x:c r="I2" s="61"/>
      <x:c r="J2" s="61"/>
      <x:c r="K2" s="61"/>
      <x:c r="L2" s="61"/>
      <x:c r="M2" s="61"/>
      <x:c r="N2" s="61"/>
      <x:c r="O2" s="61"/>
    </x:row>
    <x:row r="3" ht="21" customHeight="1">
      <x:c r="A3" s="62" t="str">
        <x:v>Statistics Canada table 14-10-0444-01 · missing and suppressed values remain blank</x:v>
      </x:c>
      <x:c r="B3" s="62"/>
      <x:c r="C3" s="62"/>
      <x:c r="D3" s="62"/>
      <x:c r="E3" s="62"/>
      <x:c r="F3" s="62"/>
      <x:c r="G3" s="62"/>
      <x:c r="H3" s="62"/>
      <x:c r="I3" s="62"/>
      <x:c r="J3" s="62"/>
      <x:c r="K3" s="62"/>
      <x:c r="L3" s="62"/>
      <x:c r="M3" s="62"/>
      <x:c r="N3" s="62"/>
      <x:c r="O3" s="62"/>
    </x:row>
    <x:row r="4" ht="28" customHeight="1">
      <x:c r="A4" s="44" t="str">
        <x:v>Observation ID</x:v>
      </x:c>
      <x:c r="B4" s="84" t="str">
        <x:v>NOC</x:v>
      </x:c>
      <x:c r="C4" s="84" t="str">
        <x:v>Occupation</x:v>
      </x:c>
      <x:c r="D4" s="84" t="str">
        <x:v>Model trade node</x:v>
      </x:c>
      <x:c r="E4" s="84" t="str">
        <x:v>Statistic</x:v>
      </x:c>
      <x:c r="F4" s="84" t="str">
        <x:v>Value</x:v>
      </x:c>
      <x:c r="G4" s="84" t="str">
        <x:v>Unit</x:v>
      </x:c>
      <x:c r="H4" s="84" t="str">
        <x:v>Period start</x:v>
      </x:c>
      <x:c r="I4" s="84" t="str">
        <x:v>Period end</x:v>
      </x:c>
      <x:c r="J4" s="84" t="str">
        <x:v>Evidence status</x:v>
      </x:c>
      <x:c r="K4" s="84" t="str">
        <x:v>Source ID</x:v>
      </x:c>
      <x:c r="L4" s="84" t="str">
        <x:v>Transformation ID</x:v>
      </x:c>
      <x:c r="M4" s="84" t="str">
        <x:v>Quality flags</x:v>
      </x:c>
      <x:c r="N4" s="84" t="str">
        <x:v>Source URL</x:v>
      </x:c>
      <x:c r="O4" s="45" t="str">
        <x:v>Missingness check</x:v>
      </x:c>
    </x:row>
    <x:row r="5">
      <x:c r="A5" s="63" t="str">
        <x:v>OBS_JVWS_D64CA27766B1D77A23B5</x:v>
      </x:c>
      <x:c r="B5" s="63" t="str">
        <x:v>73100</x:v>
      </x:c>
      <x:c r="C5" s="63" t="str">
        <x:v>Concrete finishers</x:v>
      </x:c>
      <x:c r="D5" s="63" t="str">
        <x:v>trade_concrete</x:v>
      </x:c>
      <x:c r="E5" s="63" t="str">
        <x:v>Average offered hourly wage</x:v>
      </x:c>
      <x:c r="F5" s="147" t="n">
        <x:v>32.85</x:v>
      </x:c>
      <x:c r="G5" s="63" t="str">
        <x:v>Dollars</x:v>
      </x:c>
      <x:c r="H5" s="155" t="n">
        <x:v>46023</x:v>
      </x:c>
      <x:c r="I5" s="155" t="n">
        <x:v>46112</x:v>
      </x:c>
      <x:c r="J5" s="63" t="str">
        <x:v>observed</x:v>
      </x:c>
      <x:c r="K5" s="63" t="str">
        <x:v>STATCAN_JVWS_14100444</x:v>
      </x:c>
      <x:c r="L5" s="63" t="str">
        <x:v>TR_STATCAN_JVWS_AB_NOC_1_0_0</x:v>
      </x:c>
      <x:c r="M5" s="63" t="str">
        <x:v>status:E</x:v>
      </x:c>
      <x:c r="N5" s="63" t="str">
        <x:v>https://www150.statcan.gc.ca/t1/tbl1/en/tv.action?pid=1410044401</x:v>
      </x:c>
      <x:c r="O5" s="63" t="str">
        <x:v>PASS</x:v>
      </x:c>
    </x:row>
    <x:row r="6">
      <x:c r="A6" s="63" t="str">
        <x:v>OBS_JVWS_8518C84C98519EB8DA69</x:v>
      </x:c>
      <x:c r="B6" s="63" t="str">
        <x:v>73100</x:v>
      </x:c>
      <x:c r="C6" s="63" t="str">
        <x:v>Concrete finishers</x:v>
      </x:c>
      <x:c r="D6" s="63" t="str">
        <x:v>trade_concrete</x:v>
      </x:c>
      <x:c r="E6" s="63" t="str">
        <x:v>Job vacancies</x:v>
      </x:c>
      <x:c r="F6" s="147"/>
      <x:c r="G6" s="63" t="str">
        <x:v>Number</x:v>
      </x:c>
      <x:c r="H6" s="155" t="n">
        <x:v>46023</x:v>
      </x:c>
      <x:c r="I6" s="155" t="n">
        <x:v>46112</x:v>
      </x:c>
      <x:c r="J6" s="63" t="str">
        <x:v>observed</x:v>
      </x:c>
      <x:c r="K6" s="63" t="str">
        <x:v>STATCAN_JVWS_14100444</x:v>
      </x:c>
      <x:c r="L6" s="63" t="str">
        <x:v>TR_STATCAN_JVWS_AB_NOC_1_0_0</x:v>
      </x:c>
      <x:c r="M6" s="63" t="str">
        <x:v>status:F|value_missing_or_suppressed</x:v>
      </x:c>
      <x:c r="N6" s="63" t="str">
        <x:v>https://www150.statcan.gc.ca/t1/tbl1/en/tv.action?pid=1410044401</x:v>
      </x:c>
      <x:c r="O6" s="63" t="str">
        <x:v>PASS</x:v>
      </x:c>
    </x:row>
    <x:row r="7">
      <x:c r="A7" s="63" t="str">
        <x:v>OBS_JVWS_329C2BDEB84516DB1AFE</x:v>
      </x:c>
      <x:c r="B7" s="63" t="str">
        <x:v>72200</x:v>
      </x:c>
      <x:c r="C7" s="63" t="str">
        <x:v>Electricians (except industrial and power system)</x:v>
      </x:c>
      <x:c r="D7" s="63" t="str">
        <x:v>trade_electricians</x:v>
      </x:c>
      <x:c r="E7" s="63" t="str">
        <x:v>Average offered hourly wage</x:v>
      </x:c>
      <x:c r="F7" s="147" t="n">
        <x:v>29.3</x:v>
      </x:c>
      <x:c r="G7" s="63" t="str">
        <x:v>Dollars</x:v>
      </x:c>
      <x:c r="H7" s="155" t="n">
        <x:v>46023</x:v>
      </x:c>
      <x:c r="I7" s="155" t="n">
        <x:v>46112</x:v>
      </x:c>
      <x:c r="J7" s="63" t="str">
        <x:v>observed</x:v>
      </x:c>
      <x:c r="K7" s="63" t="str">
        <x:v>STATCAN_JVWS_14100444</x:v>
      </x:c>
      <x:c r="L7" s="63" t="str">
        <x:v>TR_STATCAN_JVWS_AB_NOC_1_0_0</x:v>
      </x:c>
      <x:c r="M7" s="63" t="str">
        <x:v>status:B</x:v>
      </x:c>
      <x:c r="N7" s="63" t="str">
        <x:v>https://www150.statcan.gc.ca/t1/tbl1/en/tv.action?pid=1410044401</x:v>
      </x:c>
      <x:c r="O7" s="63" t="str">
        <x:v>PASS</x:v>
      </x:c>
    </x:row>
    <x:row r="8">
      <x:c r="A8" s="63" t="str">
        <x:v>OBS_JVWS_996307289B305C086EF1</x:v>
      </x:c>
      <x:c r="B8" s="63" t="str">
        <x:v>72200</x:v>
      </x:c>
      <x:c r="C8" s="63" t="str">
        <x:v>Electricians (except industrial and power system)</x:v>
      </x:c>
      <x:c r="D8" s="63" t="str">
        <x:v>trade_electricians</x:v>
      </x:c>
      <x:c r="E8" s="63" t="str">
        <x:v>Job vacancies</x:v>
      </x:c>
      <x:c r="F8" s="147" t="n">
        <x:v>460</x:v>
      </x:c>
      <x:c r="G8" s="63" t="str">
        <x:v>Number</x:v>
      </x:c>
      <x:c r="H8" s="155" t="n">
        <x:v>46023</x:v>
      </x:c>
      <x:c r="I8" s="155" t="n">
        <x:v>46112</x:v>
      </x:c>
      <x:c r="J8" s="63" t="str">
        <x:v>observed</x:v>
      </x:c>
      <x:c r="K8" s="63" t="str">
        <x:v>STATCAN_JVWS_14100444</x:v>
      </x:c>
      <x:c r="L8" s="63" t="str">
        <x:v>TR_STATCAN_JVWS_AB_NOC_1_0_0</x:v>
      </x:c>
      <x:c r="M8" s="63" t="str">
        <x:v>status:E</x:v>
      </x:c>
      <x:c r="N8" s="63" t="str">
        <x:v>https://www150.statcan.gc.ca/t1/tbl1/en/tv.action?pid=1410044401</x:v>
      </x:c>
      <x:c r="O8" s="63" t="str">
        <x:v>PASS</x:v>
      </x:c>
    </x:row>
    <x:row r="9">
      <x:c r="A9" s="63" t="str">
        <x:v>OBS_JVWS_AC3E60777ABE191D55B3</x:v>
      </x:c>
      <x:c r="B9" s="63" t="str">
        <x:v>72201</x:v>
      </x:c>
      <x:c r="C9" s="63" t="str">
        <x:v>Industrial electricians</x:v>
      </x:c>
      <x:c r="D9" s="63" t="str">
        <x:v>trade_electricians</x:v>
      </x:c>
      <x:c r="E9" s="63" t="str">
        <x:v>Average offered hourly wage</x:v>
      </x:c>
      <x:c r="F9" s="147" t="n">
        <x:v>45.15</x:v>
      </x:c>
      <x:c r="G9" s="63" t="str">
        <x:v>Dollars</x:v>
      </x:c>
      <x:c r="H9" s="155" t="n">
        <x:v>46023</x:v>
      </x:c>
      <x:c r="I9" s="155" t="n">
        <x:v>46112</x:v>
      </x:c>
      <x:c r="J9" s="63" t="str">
        <x:v>observed</x:v>
      </x:c>
      <x:c r="K9" s="63" t="str">
        <x:v>STATCAN_JVWS_14100444</x:v>
      </x:c>
      <x:c r="L9" s="63" t="str">
        <x:v>TR_STATCAN_JVWS_AB_NOC_1_0_0</x:v>
      </x:c>
      <x:c r="M9" s="63" t="str">
        <x:v>status:B</x:v>
      </x:c>
      <x:c r="N9" s="63" t="str">
        <x:v>https://www150.statcan.gc.ca/t1/tbl1/en/tv.action?pid=1410044401</x:v>
      </x:c>
      <x:c r="O9" s="63" t="str">
        <x:v>PASS</x:v>
      </x:c>
    </x:row>
    <x:row r="10">
      <x:c r="A10" s="63" t="str">
        <x:v>OBS_JVWS_640E14AAAF5B4B0E3932</x:v>
      </x:c>
      <x:c r="B10" s="63" t="str">
        <x:v>72201</x:v>
      </x:c>
      <x:c r="C10" s="63" t="str">
        <x:v>Industrial electricians</x:v>
      </x:c>
      <x:c r="D10" s="63" t="str">
        <x:v>trade_electricians</x:v>
      </x:c>
      <x:c r="E10" s="63" t="str">
        <x:v>Job vacancies</x:v>
      </x:c>
      <x:c r="F10" s="147" t="n">
        <x:v>80</x:v>
      </x:c>
      <x:c r="G10" s="63" t="str">
        <x:v>Number</x:v>
      </x:c>
      <x:c r="H10" s="155" t="n">
        <x:v>46023</x:v>
      </x:c>
      <x:c r="I10" s="155" t="n">
        <x:v>46112</x:v>
      </x:c>
      <x:c r="J10" s="63" t="str">
        <x:v>observed</x:v>
      </x:c>
      <x:c r="K10" s="63" t="str">
        <x:v>STATCAN_JVWS_14100444</x:v>
      </x:c>
      <x:c r="L10" s="63" t="str">
        <x:v>TR_STATCAN_JVWS_AB_NOC_1_0_0</x:v>
      </x:c>
      <x:c r="M10" s="63" t="str">
        <x:v>status:E</x:v>
      </x:c>
      <x:c r="N10" s="63" t="str">
        <x:v>https://www150.statcan.gc.ca/t1/tbl1/en/tv.action?pid=1410044401</x:v>
      </x:c>
      <x:c r="O10" s="63" t="str">
        <x:v>PASS</x:v>
      </x:c>
    </x:row>
    <x:row r="11">
      <x:c r="A11" s="63" t="str">
        <x:v>OBS_JVWS_F751E089ADE12F6BE3DC</x:v>
      </x:c>
      <x:c r="B11" s="63" t="str">
        <x:v>72402</x:v>
      </x:c>
      <x:c r="C11" s="63" t="str">
        <x:v>Heating, refrigeration and air conditioning mechanics</x:v>
      </x:c>
      <x:c r="D11" s="63" t="str">
        <x:v>trade_hvac</x:v>
      </x:c>
      <x:c r="E11" s="63" t="str">
        <x:v>Average offered hourly wage</x:v>
      </x:c>
      <x:c r="F11" s="147" t="n">
        <x:v>37.1</x:v>
      </x:c>
      <x:c r="G11" s="63" t="str">
        <x:v>Dollars</x:v>
      </x:c>
      <x:c r="H11" s="155" t="n">
        <x:v>46023</x:v>
      </x:c>
      <x:c r="I11" s="155" t="n">
        <x:v>46112</x:v>
      </x:c>
      <x:c r="J11" s="63" t="str">
        <x:v>observed</x:v>
      </x:c>
      <x:c r="K11" s="63" t="str">
        <x:v>STATCAN_JVWS_14100444</x:v>
      </x:c>
      <x:c r="L11" s="63" t="str">
        <x:v>TR_STATCAN_JVWS_AB_NOC_1_0_0</x:v>
      </x:c>
      <x:c r="M11" s="63" t="str">
        <x:v>status:A</x:v>
      </x:c>
      <x:c r="N11" s="63" t="str">
        <x:v>https://www150.statcan.gc.ca/t1/tbl1/en/tv.action?pid=1410044401</x:v>
      </x:c>
      <x:c r="O11" s="63" t="str">
        <x:v>PASS</x:v>
      </x:c>
    </x:row>
    <x:row r="12">
      <x:c r="A12" s="63" t="str">
        <x:v>OBS_JVWS_AB9BFCA78334E53B249D</x:v>
      </x:c>
      <x:c r="B12" s="63" t="str">
        <x:v>72402</x:v>
      </x:c>
      <x:c r="C12" s="63" t="str">
        <x:v>Heating, refrigeration and air conditioning mechanics</x:v>
      </x:c>
      <x:c r="D12" s="63" t="str">
        <x:v>trade_hvac</x:v>
      </x:c>
      <x:c r="E12" s="63" t="str">
        <x:v>Job vacancies</x:v>
      </x:c>
      <x:c r="F12" s="147" t="n">
        <x:v>230</x:v>
      </x:c>
      <x:c r="G12" s="63" t="str">
        <x:v>Number</x:v>
      </x:c>
      <x:c r="H12" s="155" t="n">
        <x:v>46023</x:v>
      </x:c>
      <x:c r="I12" s="155" t="n">
        <x:v>46112</x:v>
      </x:c>
      <x:c r="J12" s="63" t="str">
        <x:v>observed</x:v>
      </x:c>
      <x:c r="K12" s="63" t="str">
        <x:v>STATCAN_JVWS_14100444</x:v>
      </x:c>
      <x:c r="L12" s="63" t="str">
        <x:v>TR_STATCAN_JVWS_AB_NOC_1_0_0</x:v>
      </x:c>
      <x:c r="M12" s="63" t="str">
        <x:v>status:E</x:v>
      </x:c>
      <x:c r="N12" s="63" t="str">
        <x:v>https://www150.statcan.gc.ca/t1/tbl1/en/tv.action?pid=1410044401</x:v>
      </x:c>
      <x:c r="O12" s="63" t="str">
        <x:v>PASS</x:v>
      </x:c>
    </x:row>
    <x:row r="13">
      <x:c r="A13" s="63" t="str">
        <x:v>OBS_JVWS_700A0E6F9E46DE111DEB</x:v>
      </x:c>
      <x:c r="B13" s="63" t="str">
        <x:v>72202</x:v>
      </x:c>
      <x:c r="C13" s="63" t="str">
        <x:v>Power system electricians</x:v>
      </x:c>
      <x:c r="D13" s="63" t="str">
        <x:v>trade_power_line</x:v>
      </x:c>
      <x:c r="E13" s="63" t="str">
        <x:v>Average offered hourly wage</x:v>
      </x:c>
      <x:c r="F13" s="147"/>
      <x:c r="G13" s="63" t="str">
        <x:v>Dollars</x:v>
      </x:c>
      <x:c r="H13" s="155" t="n">
        <x:v>46023</x:v>
      </x:c>
      <x:c r="I13" s="155" t="n">
        <x:v>46112</x:v>
      </x:c>
      <x:c r="J13" s="63" t="str">
        <x:v>observed</x:v>
      </x:c>
      <x:c r="K13" s="63" t="str">
        <x:v>STATCAN_JVWS_14100444</x:v>
      </x:c>
      <x:c r="L13" s="63" t="str">
        <x:v>TR_STATCAN_JVWS_AB_NOC_1_0_0</x:v>
      </x:c>
      <x:c r="M13" s="63" t="str">
        <x:v>status:F|value_missing_or_suppressed</x:v>
      </x:c>
      <x:c r="N13" s="63" t="str">
        <x:v>https://www150.statcan.gc.ca/t1/tbl1/en/tv.action?pid=1410044401</x:v>
      </x:c>
      <x:c r="O13" s="63" t="str">
        <x:v>PASS</x:v>
      </x:c>
    </x:row>
    <x:row r="14">
      <x:c r="A14" s="63" t="str">
        <x:v>OBS_JVWS_75B69B7E87BE50BCF8FC</x:v>
      </x:c>
      <x:c r="B14" s="63" t="str">
        <x:v>72202</x:v>
      </x:c>
      <x:c r="C14" s="63" t="str">
        <x:v>Power system electricians</x:v>
      </x:c>
      <x:c r="D14" s="63" t="str">
        <x:v>trade_power_line</x:v>
      </x:c>
      <x:c r="E14" s="63" t="str">
        <x:v>Job vacancies</x:v>
      </x:c>
      <x:c r="F14" s="147"/>
      <x:c r="G14" s="63" t="str">
        <x:v>Number</x:v>
      </x:c>
      <x:c r="H14" s="155" t="n">
        <x:v>46023</x:v>
      </x:c>
      <x:c r="I14" s="155" t="n">
        <x:v>46112</x:v>
      </x:c>
      <x:c r="J14" s="63" t="str">
        <x:v>observed</x:v>
      </x:c>
      <x:c r="K14" s="63" t="str">
        <x:v>STATCAN_JVWS_14100444</x:v>
      </x:c>
      <x:c r="L14" s="63" t="str">
        <x:v>TR_STATCAN_JVWS_AB_NOC_1_0_0</x:v>
      </x:c>
      <x:c r="M14" s="63" t="str">
        <x:v>status:F|value_missing_or_suppressed</x:v>
      </x:c>
      <x:c r="N14" s="63" t="str">
        <x:v>https://www150.statcan.gc.ca/t1/tbl1/en/tv.action?pid=1410044401</x:v>
      </x:c>
      <x:c r="O14" s="63" t="str">
        <x:v>PASS</x:v>
      </x:c>
    </x:row>
    <x:row r="15">
      <x:c r="A15" s="63" t="str">
        <x:v>OBS_JVWS_0BCA937280A1F14B1481</x:v>
      </x:c>
      <x:c r="B15" s="63" t="str">
        <x:v>72203</x:v>
      </x:c>
      <x:c r="C15" s="63" t="str">
        <x:v>Electrical power line and cable workers</x:v>
      </x:c>
      <x:c r="D15" s="63" t="str">
        <x:v>trade_power_line</x:v>
      </x:c>
      <x:c r="E15" s="63" t="str">
        <x:v>Average offered hourly wage</x:v>
      </x:c>
      <x:c r="F15" s="147" t="n">
        <x:v>50.55</x:v>
      </x:c>
      <x:c r="G15" s="63" t="str">
        <x:v>Dollars</x:v>
      </x:c>
      <x:c r="H15" s="155" t="n">
        <x:v>46023</x:v>
      </x:c>
      <x:c r="I15" s="155" t="n">
        <x:v>46112</x:v>
      </x:c>
      <x:c r="J15" s="63" t="str">
        <x:v>observed</x:v>
      </x:c>
      <x:c r="K15" s="63" t="str">
        <x:v>STATCAN_JVWS_14100444</x:v>
      </x:c>
      <x:c r="L15" s="63" t="str">
        <x:v>TR_STATCAN_JVWS_AB_NOC_1_0_0</x:v>
      </x:c>
      <x:c r="M15" s="63" t="str">
        <x:v>status:C</x:v>
      </x:c>
      <x:c r="N15" s="63" t="str">
        <x:v>https://www150.statcan.gc.ca/t1/tbl1/en/tv.action?pid=1410044401</x:v>
      </x:c>
      <x:c r="O15" s="63" t="str">
        <x:v>PASS</x:v>
      </x:c>
    </x:row>
    <x:row r="16">
      <x:c r="A16" s="63" t="str">
        <x:v>OBS_JVWS_B95114EA86545CF4EE09</x:v>
      </x:c>
      <x:c r="B16" s="63" t="str">
        <x:v>72203</x:v>
      </x:c>
      <x:c r="C16" s="63" t="str">
        <x:v>Electrical power line and cable workers</x:v>
      </x:c>
      <x:c r="D16" s="63" t="str">
        <x:v>trade_power_line</x:v>
      </x:c>
      <x:c r="E16" s="63" t="str">
        <x:v>Job vacancies</x:v>
      </x:c>
      <x:c r="F16" s="147"/>
      <x:c r="G16" s="63" t="str">
        <x:v>Number</x:v>
      </x:c>
      <x:c r="H16" s="155" t="n">
        <x:v>46023</x:v>
      </x:c>
      <x:c r="I16" s="155" t="n">
        <x:v>46112</x:v>
      </x:c>
      <x:c r="J16" s="63" t="str">
        <x:v>observed</x:v>
      </x:c>
      <x:c r="K16" s="63" t="str">
        <x:v>STATCAN_JVWS_14100444</x:v>
      </x:c>
      <x:c r="L16" s="63" t="str">
        <x:v>TR_STATCAN_JVWS_AB_NOC_1_0_0</x:v>
      </x:c>
      <x:c r="M16" s="63" t="str">
        <x:v>status:F|value_missing_or_suppressed</x:v>
      </x:c>
      <x:c r="N16" s="63" t="str">
        <x:v>https://www150.statcan.gc.ca/t1/tbl1/en/tv.action?pid=1410044401</x:v>
      </x:c>
      <x:c r="O16" s="63" t="str">
        <x:v>PASS</x:v>
      </x:c>
    </x:row>
    <x:row r="17">
      <x:c r="A17" s="63" t="str">
        <x:v>OBS_JVWS_191F45D855DE135DDBB1</x:v>
      </x:c>
      <x:c r="B17" s="63" t="str">
        <x:v>73100</x:v>
      </x:c>
      <x:c r="C17" s="63" t="str">
        <x:v>Concrete finishers</x:v>
      </x:c>
      <x:c r="D17" s="63" t="str">
        <x:v>trade_concrete</x:v>
      </x:c>
      <x:c r="E17" s="63" t="str">
        <x:v>Average offered hourly wage</x:v>
      </x:c>
      <x:c r="F17" s="147" t="n">
        <x:v>32.6</x:v>
      </x:c>
      <x:c r="G17" s="63" t="str">
        <x:v>Dollars</x:v>
      </x:c>
      <x:c r="H17" s="155" t="n">
        <x:v>45931</x:v>
      </x:c>
      <x:c r="I17" s="155" t="n">
        <x:v>46022</x:v>
      </x:c>
      <x:c r="J17" s="63" t="str">
        <x:v>observed</x:v>
      </x:c>
      <x:c r="K17" s="63" t="str">
        <x:v>STATCAN_JVWS_14100444</x:v>
      </x:c>
      <x:c r="L17" s="63" t="str">
        <x:v>TR_STATCAN_JVWS_AB_NOC_1_0_0</x:v>
      </x:c>
      <x:c r="M17" s="63" t="str">
        <x:v>status:E</x:v>
      </x:c>
      <x:c r="N17" s="63" t="str">
        <x:v>https://www150.statcan.gc.ca/t1/tbl1/en/tv.action?pid=1410044401</x:v>
      </x:c>
      <x:c r="O17" s="63" t="str">
        <x:v>PASS</x:v>
      </x:c>
    </x:row>
    <x:row r="18">
      <x:c r="A18" s="63" t="str">
        <x:v>OBS_JVWS_033DE8EB2CCF6F74B8C9</x:v>
      </x:c>
      <x:c r="B18" s="63" t="str">
        <x:v>73100</x:v>
      </x:c>
      <x:c r="C18" s="63" t="str">
        <x:v>Concrete finishers</x:v>
      </x:c>
      <x:c r="D18" s="63" t="str">
        <x:v>trade_concrete</x:v>
      </x:c>
      <x:c r="E18" s="63" t="str">
        <x:v>Job vacancies</x:v>
      </x:c>
      <x:c r="F18" s="147"/>
      <x:c r="G18" s="63" t="str">
        <x:v>Number</x:v>
      </x:c>
      <x:c r="H18" s="155" t="n">
        <x:v>45931</x:v>
      </x:c>
      <x:c r="I18" s="155" t="n">
        <x:v>46022</x:v>
      </x:c>
      <x:c r="J18" s="63" t="str">
        <x:v>observed</x:v>
      </x:c>
      <x:c r="K18" s="63" t="str">
        <x:v>STATCAN_JVWS_14100444</x:v>
      </x:c>
      <x:c r="L18" s="63" t="str">
        <x:v>TR_STATCAN_JVWS_AB_NOC_1_0_0</x:v>
      </x:c>
      <x:c r="M18" s="63" t="str">
        <x:v>status:F|value_missing_or_suppressed</x:v>
      </x:c>
      <x:c r="N18" s="63" t="str">
        <x:v>https://www150.statcan.gc.ca/t1/tbl1/en/tv.action?pid=1410044401</x:v>
      </x:c>
      <x:c r="O18" s="63" t="str">
        <x:v>PASS</x:v>
      </x:c>
    </x:row>
    <x:row r="19">
      <x:c r="A19" s="63" t="str">
        <x:v>OBS_JVWS_26D69BA6414EE6F4C1C0</x:v>
      </x:c>
      <x:c r="B19" s="63" t="str">
        <x:v>72200</x:v>
      </x:c>
      <x:c r="C19" s="63" t="str">
        <x:v>Electricians (except industrial and power system)</x:v>
      </x:c>
      <x:c r="D19" s="63" t="str">
        <x:v>trade_electricians</x:v>
      </x:c>
      <x:c r="E19" s="63" t="str">
        <x:v>Average offered hourly wage</x:v>
      </x:c>
      <x:c r="F19" s="147" t="n">
        <x:v>32.15</x:v>
      </x:c>
      <x:c r="G19" s="63" t="str">
        <x:v>Dollars</x:v>
      </x:c>
      <x:c r="H19" s="155" t="n">
        <x:v>45931</x:v>
      </x:c>
      <x:c r="I19" s="155" t="n">
        <x:v>46022</x:v>
      </x:c>
      <x:c r="J19" s="63" t="str">
        <x:v>observed</x:v>
      </x:c>
      <x:c r="K19" s="63" t="str">
        <x:v>STATCAN_JVWS_14100444</x:v>
      </x:c>
      <x:c r="L19" s="63" t="str">
        <x:v>TR_STATCAN_JVWS_AB_NOC_1_0_0</x:v>
      </x:c>
      <x:c r="M19" s="63" t="str">
        <x:v>status:A</x:v>
      </x:c>
      <x:c r="N19" s="63" t="str">
        <x:v>https://www150.statcan.gc.ca/t1/tbl1/en/tv.action?pid=1410044401</x:v>
      </x:c>
      <x:c r="O19" s="63" t="str">
        <x:v>PASS</x:v>
      </x:c>
    </x:row>
    <x:row r="20">
      <x:c r="A20" s="63" t="str">
        <x:v>OBS_JVWS_F7C2EA44B16E90212AEC</x:v>
      </x:c>
      <x:c r="B20" s="63" t="str">
        <x:v>72200</x:v>
      </x:c>
      <x:c r="C20" s="63" t="str">
        <x:v>Electricians (except industrial and power system)</x:v>
      </x:c>
      <x:c r="D20" s="63" t="str">
        <x:v>trade_electricians</x:v>
      </x:c>
      <x:c r="E20" s="63" t="str">
        <x:v>Job vacancies</x:v>
      </x:c>
      <x:c r="F20" s="147" t="n">
        <x:v>640</x:v>
      </x:c>
      <x:c r="G20" s="63" t="str">
        <x:v>Number</x:v>
      </x:c>
      <x:c r="H20" s="155" t="n">
        <x:v>45931</x:v>
      </x:c>
      <x:c r="I20" s="155" t="n">
        <x:v>46022</x:v>
      </x:c>
      <x:c r="J20" s="63" t="str">
        <x:v>observed</x:v>
      </x:c>
      <x:c r="K20" s="63" t="str">
        <x:v>STATCAN_JVWS_14100444</x:v>
      </x:c>
      <x:c r="L20" s="63" t="str">
        <x:v>TR_STATCAN_JVWS_AB_NOC_1_0_0</x:v>
      </x:c>
      <x:c r="M20" s="63" t="str">
        <x:v>status:D</x:v>
      </x:c>
      <x:c r="N20" s="63" t="str">
        <x:v>https://www150.statcan.gc.ca/t1/tbl1/en/tv.action?pid=1410044401</x:v>
      </x:c>
      <x:c r="O20" s="63" t="str">
        <x:v>PASS</x:v>
      </x:c>
    </x:row>
    <x:row r="21">
      <x:c r="A21" s="63" t="str">
        <x:v>OBS_JVWS_2FCE1098C5DF7FDAF424</x:v>
      </x:c>
      <x:c r="B21" s="63" t="str">
        <x:v>72201</x:v>
      </x:c>
      <x:c r="C21" s="63" t="str">
        <x:v>Industrial electricians</x:v>
      </x:c>
      <x:c r="D21" s="63" t="str">
        <x:v>trade_electricians</x:v>
      </x:c>
      <x:c r="E21" s="63" t="str">
        <x:v>Average offered hourly wage</x:v>
      </x:c>
      <x:c r="F21" s="147" t="n">
        <x:v>45.15</x:v>
      </x:c>
      <x:c r="G21" s="63" t="str">
        <x:v>Dollars</x:v>
      </x:c>
      <x:c r="H21" s="155" t="n">
        <x:v>45931</x:v>
      </x:c>
      <x:c r="I21" s="155" t="n">
        <x:v>46022</x:v>
      </x:c>
      <x:c r="J21" s="63" t="str">
        <x:v>observed</x:v>
      </x:c>
      <x:c r="K21" s="63" t="str">
        <x:v>STATCAN_JVWS_14100444</x:v>
      </x:c>
      <x:c r="L21" s="63" t="str">
        <x:v>TR_STATCAN_JVWS_AB_NOC_1_0_0</x:v>
      </x:c>
      <x:c r="M21" s="63" t="str">
        <x:v>status:A</x:v>
      </x:c>
      <x:c r="N21" s="63" t="str">
        <x:v>https://www150.statcan.gc.ca/t1/tbl1/en/tv.action?pid=1410044401</x:v>
      </x:c>
      <x:c r="O21" s="63" t="str">
        <x:v>PASS</x:v>
      </x:c>
    </x:row>
    <x:row r="22">
      <x:c r="A22" s="63" t="str">
        <x:v>OBS_JVWS_617924D8E9F179D9C3C8</x:v>
      </x:c>
      <x:c r="B22" s="63" t="str">
        <x:v>72201</x:v>
      </x:c>
      <x:c r="C22" s="63" t="str">
        <x:v>Industrial electricians</x:v>
      </x:c>
      <x:c r="D22" s="63" t="str">
        <x:v>trade_electricians</x:v>
      </x:c>
      <x:c r="E22" s="63" t="str">
        <x:v>Job vacancies</x:v>
      </x:c>
      <x:c r="F22" s="147" t="n">
        <x:v>75</x:v>
      </x:c>
      <x:c r="G22" s="63" t="str">
        <x:v>Number</x:v>
      </x:c>
      <x:c r="H22" s="155" t="n">
        <x:v>45931</x:v>
      </x:c>
      <x:c r="I22" s="155" t="n">
        <x:v>46022</x:v>
      </x:c>
      <x:c r="J22" s="63" t="str">
        <x:v>observed</x:v>
      </x:c>
      <x:c r="K22" s="63" t="str">
        <x:v>STATCAN_JVWS_14100444</x:v>
      </x:c>
      <x:c r="L22" s="63" t="str">
        <x:v>TR_STATCAN_JVWS_AB_NOC_1_0_0</x:v>
      </x:c>
      <x:c r="M22" s="63" t="str">
        <x:v>status:D</x:v>
      </x:c>
      <x:c r="N22" s="63" t="str">
        <x:v>https://www150.statcan.gc.ca/t1/tbl1/en/tv.action?pid=1410044401</x:v>
      </x:c>
      <x:c r="O22" s="63" t="str">
        <x:v>PASS</x:v>
      </x:c>
    </x:row>
    <x:row r="23">
      <x:c r="A23" s="63" t="str">
        <x:v>OBS_JVWS_1B9C91FA4631CF72552D</x:v>
      </x:c>
      <x:c r="B23" s="63" t="str">
        <x:v>72402</x:v>
      </x:c>
      <x:c r="C23" s="63" t="str">
        <x:v>Heating, refrigeration and air conditioning mechanics</x:v>
      </x:c>
      <x:c r="D23" s="63" t="str">
        <x:v>trade_hvac</x:v>
      </x:c>
      <x:c r="E23" s="63" t="str">
        <x:v>Average offered hourly wage</x:v>
      </x:c>
      <x:c r="F23" s="147" t="n">
        <x:v>32.55</x:v>
      </x:c>
      <x:c r="G23" s="63" t="str">
        <x:v>Dollars</x:v>
      </x:c>
      <x:c r="H23" s="155" t="n">
        <x:v>45931</x:v>
      </x:c>
      <x:c r="I23" s="155" t="n">
        <x:v>46022</x:v>
      </x:c>
      <x:c r="J23" s="63" t="str">
        <x:v>observed</x:v>
      </x:c>
      <x:c r="K23" s="63" t="str">
        <x:v>STATCAN_JVWS_14100444</x:v>
      </x:c>
      <x:c r="L23" s="63" t="str">
        <x:v>TR_STATCAN_JVWS_AB_NOC_1_0_0</x:v>
      </x:c>
      <x:c r="M23" s="63" t="str">
        <x:v>status:C</x:v>
      </x:c>
      <x:c r="N23" s="63" t="str">
        <x:v>https://www150.statcan.gc.ca/t1/tbl1/en/tv.action?pid=1410044401</x:v>
      </x:c>
      <x:c r="O23" s="63" t="str">
        <x:v>PASS</x:v>
      </x:c>
    </x:row>
    <x:row r="24">
      <x:c r="A24" s="63" t="str">
        <x:v>OBS_JVWS_3A6656D5C61A2D21FB51</x:v>
      </x:c>
      <x:c r="B24" s="63" t="str">
        <x:v>72402</x:v>
      </x:c>
      <x:c r="C24" s="63" t="str">
        <x:v>Heating, refrigeration and air conditioning mechanics</x:v>
      </x:c>
      <x:c r="D24" s="63" t="str">
        <x:v>trade_hvac</x:v>
      </x:c>
      <x:c r="E24" s="63" t="str">
        <x:v>Job vacancies</x:v>
      </x:c>
      <x:c r="F24" s="147" t="n">
        <x:v>280</x:v>
      </x:c>
      <x:c r="G24" s="63" t="str">
        <x:v>Number</x:v>
      </x:c>
      <x:c r="H24" s="155" t="n">
        <x:v>45931</x:v>
      </x:c>
      <x:c r="I24" s="155" t="n">
        <x:v>46022</x:v>
      </x:c>
      <x:c r="J24" s="63" t="str">
        <x:v>observed</x:v>
      </x:c>
      <x:c r="K24" s="63" t="str">
        <x:v>STATCAN_JVWS_14100444</x:v>
      </x:c>
      <x:c r="L24" s="63" t="str">
        <x:v>TR_STATCAN_JVWS_AB_NOC_1_0_0</x:v>
      </x:c>
      <x:c r="M24" s="63" t="str">
        <x:v>status:E</x:v>
      </x:c>
      <x:c r="N24" s="63" t="str">
        <x:v>https://www150.statcan.gc.ca/t1/tbl1/en/tv.action?pid=1410044401</x:v>
      </x:c>
      <x:c r="O24" s="63" t="str">
        <x:v>PASS</x:v>
      </x:c>
    </x:row>
    <x:row r="25">
      <x:c r="A25" s="63" t="str">
        <x:v>OBS_JVWS_2D5A9AC163C1067D5E7B</x:v>
      </x:c>
      <x:c r="B25" s="63" t="str">
        <x:v>72202</x:v>
      </x:c>
      <x:c r="C25" s="63" t="str">
        <x:v>Power system electricians</x:v>
      </x:c>
      <x:c r="D25" s="63" t="str">
        <x:v>trade_power_line</x:v>
      </x:c>
      <x:c r="E25" s="63" t="str">
        <x:v>Average offered hourly wage</x:v>
      </x:c>
      <x:c r="F25" s="147"/>
      <x:c r="G25" s="63" t="str">
        <x:v>Dollars</x:v>
      </x:c>
      <x:c r="H25" s="155" t="n">
        <x:v>45931</x:v>
      </x:c>
      <x:c r="I25" s="155" t="n">
        <x:v>46022</x:v>
      </x:c>
      <x:c r="J25" s="63" t="str">
        <x:v>observed</x:v>
      </x:c>
      <x:c r="K25" s="63" t="str">
        <x:v>STATCAN_JVWS_14100444</x:v>
      </x:c>
      <x:c r="L25" s="63" t="str">
        <x:v>TR_STATCAN_JVWS_AB_NOC_1_0_0</x:v>
      </x:c>
      <x:c r="M25" s="63" t="str">
        <x:v>status:..|value_missing_or_suppressed</x:v>
      </x:c>
      <x:c r="N25" s="63" t="str">
        <x:v>https://www150.statcan.gc.ca/t1/tbl1/en/tv.action?pid=1410044401</x:v>
      </x:c>
      <x:c r="O25" s="63" t="str">
        <x:v>PASS</x:v>
      </x:c>
    </x:row>
    <x:row r="26">
      <x:c r="A26" s="63" t="str">
        <x:v>OBS_JVWS_92C59B15A11EB96E0544</x:v>
      </x:c>
      <x:c r="B26" s="63" t="str">
        <x:v>72202</x:v>
      </x:c>
      <x:c r="C26" s="63" t="str">
        <x:v>Power system electricians</x:v>
      </x:c>
      <x:c r="D26" s="63" t="str">
        <x:v>trade_power_line</x:v>
      </x:c>
      <x:c r="E26" s="63" t="str">
        <x:v>Job vacancies</x:v>
      </x:c>
      <x:c r="F26" s="147"/>
      <x:c r="G26" s="63" t="str">
        <x:v>Number</x:v>
      </x:c>
      <x:c r="H26" s="155" t="n">
        <x:v>45931</x:v>
      </x:c>
      <x:c r="I26" s="155" t="n">
        <x:v>46022</x:v>
      </x:c>
      <x:c r="J26" s="63" t="str">
        <x:v>observed</x:v>
      </x:c>
      <x:c r="K26" s="63" t="str">
        <x:v>STATCAN_JVWS_14100444</x:v>
      </x:c>
      <x:c r="L26" s="63" t="str">
        <x:v>TR_STATCAN_JVWS_AB_NOC_1_0_0</x:v>
      </x:c>
      <x:c r="M26" s="63" t="str">
        <x:v>status:..|value_missing_or_suppressed</x:v>
      </x:c>
      <x:c r="N26" s="63" t="str">
        <x:v>https://www150.statcan.gc.ca/t1/tbl1/en/tv.action?pid=1410044401</x:v>
      </x:c>
      <x:c r="O26" s="63" t="str">
        <x:v>PASS</x:v>
      </x:c>
    </x:row>
    <x:row r="27">
      <x:c r="A27" t="str">
        <x:v>OBS_JVWS_3769E1F8F0F0B3FF787F</x:v>
      </x:c>
      <x:c r="B27" t="str">
        <x:v>72203</x:v>
      </x:c>
      <x:c r="C27" t="str">
        <x:v>Electrical power line and cable workers</x:v>
      </x:c>
      <x:c r="D27" t="str">
        <x:v>trade_power_line</x:v>
      </x:c>
      <x:c r="E27" t="str">
        <x:v>Average offered hourly wage</x:v>
      </x:c>
      <x:c r="F27" s="145" t="n">
        <x:v>48.2</x:v>
      </x:c>
      <x:c r="G27" t="str">
        <x:v>Dollars</x:v>
      </x:c>
      <x:c r="H27" s="153" t="n">
        <x:v>45931</x:v>
      </x:c>
      <x:c r="I27" s="153" t="n">
        <x:v>46022</x:v>
      </x:c>
      <x:c r="J27" t="str">
        <x:v>observed</x:v>
      </x:c>
      <x:c r="K27" t="str">
        <x:v>STATCAN_JVWS_14100444</x:v>
      </x:c>
      <x:c r="L27" t="str">
        <x:v>TR_STATCAN_JVWS_AB_NOC_1_0_0</x:v>
      </x:c>
      <x:c r="M27" t="str">
        <x:v>status:B</x:v>
      </x:c>
      <x:c r="N27" t="str">
        <x:v>https://www150.statcan.gc.ca/t1/tbl1/en/tv.action?pid=1410044401</x:v>
      </x:c>
      <x:c r="O27" t="str">
        <x:v>PASS</x:v>
      </x:c>
    </x:row>
    <x:row r="28">
      <x:c r="A28" t="str">
        <x:v>OBS_JVWS_95793DFEC06BFA875856</x:v>
      </x:c>
      <x:c r="B28" t="str">
        <x:v>72203</x:v>
      </x:c>
      <x:c r="C28" t="str">
        <x:v>Electrical power line and cable workers</x:v>
      </x:c>
      <x:c r="D28" t="str">
        <x:v>trade_power_line</x:v>
      </x:c>
      <x:c r="E28" t="str">
        <x:v>Job vacancies</x:v>
      </x:c>
      <x:c r="F28" s="145"/>
      <x:c r="G28" t="str">
        <x:v>Number</x:v>
      </x:c>
      <x:c r="H28" s="153" t="n">
        <x:v>45931</x:v>
      </x:c>
      <x:c r="I28" s="153" t="n">
        <x:v>46022</x:v>
      </x:c>
      <x:c r="J28" t="str">
        <x:v>observed</x:v>
      </x:c>
      <x:c r="K28" t="str">
        <x:v>STATCAN_JVWS_14100444</x:v>
      </x:c>
      <x:c r="L28" t="str">
        <x:v>TR_STATCAN_JVWS_AB_NOC_1_0_0</x:v>
      </x:c>
      <x:c r="M28" t="str">
        <x:v>status:F|value_missing_or_suppressed</x:v>
      </x:c>
      <x:c r="N28" t="str">
        <x:v>https://www150.statcan.gc.ca/t1/tbl1/en/tv.action?pid=1410044401</x:v>
      </x:c>
      <x:c r="O28" t="str">
        <x:v>PASS</x:v>
      </x:c>
    </x:row>
    <x:row r="29">
      <x:c r="A29" t="str">
        <x:v>OBS_JVWS_484293D1AE43967D1955</x:v>
      </x:c>
      <x:c r="B29" t="str">
        <x:v>73100</x:v>
      </x:c>
      <x:c r="C29" t="str">
        <x:v>Concrete finishers</x:v>
      </x:c>
      <x:c r="D29" t="str">
        <x:v>trade_concrete</x:v>
      </x:c>
      <x:c r="E29" t="str">
        <x:v>Average offered hourly wage</x:v>
      </x:c>
      <x:c r="F29" s="145" t="n">
        <x:v>33.65</x:v>
      </x:c>
      <x:c r="G29" t="str">
        <x:v>Dollars</x:v>
      </x:c>
      <x:c r="H29" s="153" t="n">
        <x:v>45839</x:v>
      </x:c>
      <x:c r="I29" s="153" t="n">
        <x:v>45930</x:v>
      </x:c>
      <x:c r="J29" t="str">
        <x:v>observed</x:v>
      </x:c>
      <x:c r="K29" t="str">
        <x:v>STATCAN_JVWS_14100444</x:v>
      </x:c>
      <x:c r="L29" t="str">
        <x:v>TR_STATCAN_JVWS_AB_NOC_1_0_0</x:v>
      </x:c>
      <x:c r="M29" t="str">
        <x:v>status:A</x:v>
      </x:c>
      <x:c r="N29" t="str">
        <x:v>https://www150.statcan.gc.ca/t1/tbl1/en/tv.action?pid=1410044401</x:v>
      </x:c>
      <x:c r="O29" t="str">
        <x:v>PASS</x:v>
      </x:c>
    </x:row>
    <x:row r="30">
      <x:c r="A30" t="str">
        <x:v>OBS_JVWS_BCD46F12C844101237A3</x:v>
      </x:c>
      <x:c r="B30" t="str">
        <x:v>73100</x:v>
      </x:c>
      <x:c r="C30" t="str">
        <x:v>Concrete finishers</x:v>
      </x:c>
      <x:c r="D30" t="str">
        <x:v>trade_concrete</x:v>
      </x:c>
      <x:c r="E30" t="str">
        <x:v>Job vacancies</x:v>
      </x:c>
      <x:c r="F30" s="145"/>
      <x:c r="G30" t="str">
        <x:v>Number</x:v>
      </x:c>
      <x:c r="H30" s="153" t="n">
        <x:v>45839</x:v>
      </x:c>
      <x:c r="I30" s="153" t="n">
        <x:v>45930</x:v>
      </x:c>
      <x:c r="J30" t="str">
        <x:v>observed</x:v>
      </x:c>
      <x:c r="K30" t="str">
        <x:v>STATCAN_JVWS_14100444</x:v>
      </x:c>
      <x:c r="L30" t="str">
        <x:v>TR_STATCAN_JVWS_AB_NOC_1_0_0</x:v>
      </x:c>
      <x:c r="M30" t="str">
        <x:v>status:F|value_missing_or_suppressed</x:v>
      </x:c>
      <x:c r="N30" t="str">
        <x:v>https://www150.statcan.gc.ca/t1/tbl1/en/tv.action?pid=1410044401</x:v>
      </x:c>
      <x:c r="O30" t="str">
        <x:v>PASS</x:v>
      </x:c>
    </x:row>
    <x:row r="31">
      <x:c r="A31" t="str">
        <x:v>OBS_JVWS_07C0E8BE07392A603FBE</x:v>
      </x:c>
      <x:c r="B31" t="str">
        <x:v>72200</x:v>
      </x:c>
      <x:c r="C31" t="str">
        <x:v>Electricians (except industrial and power system)</x:v>
      </x:c>
      <x:c r="D31" t="str">
        <x:v>trade_electricians</x:v>
      </x:c>
      <x:c r="E31" t="str">
        <x:v>Average offered hourly wage</x:v>
      </x:c>
      <x:c r="F31" s="145" t="n">
        <x:v>28.45</x:v>
      </x:c>
      <x:c r="G31" t="str">
        <x:v>Dollars</x:v>
      </x:c>
      <x:c r="H31" s="153" t="n">
        <x:v>45839</x:v>
      </x:c>
      <x:c r="I31" s="153" t="n">
        <x:v>45930</x:v>
      </x:c>
      <x:c r="J31" t="str">
        <x:v>observed</x:v>
      </x:c>
      <x:c r="K31" t="str">
        <x:v>STATCAN_JVWS_14100444</x:v>
      </x:c>
      <x:c r="L31" t="str">
        <x:v>TR_STATCAN_JVWS_AB_NOC_1_0_0</x:v>
      </x:c>
      <x:c r="M31" t="str">
        <x:v>status:B</x:v>
      </x:c>
      <x:c r="N31" t="str">
        <x:v>https://www150.statcan.gc.ca/t1/tbl1/en/tv.action?pid=1410044401</x:v>
      </x:c>
      <x:c r="O31" t="str">
        <x:v>PASS</x:v>
      </x:c>
    </x:row>
    <x:row r="32">
      <x:c r="A32" t="str">
        <x:v>OBS_JVWS_34E2F9F6714BFD64E79D</x:v>
      </x:c>
      <x:c r="B32" t="str">
        <x:v>72200</x:v>
      </x:c>
      <x:c r="C32" t="str">
        <x:v>Electricians (except industrial and power system)</x:v>
      </x:c>
      <x:c r="D32" t="str">
        <x:v>trade_electricians</x:v>
      </x:c>
      <x:c r="E32" t="str">
        <x:v>Job vacancies</x:v>
      </x:c>
      <x:c r="F32" s="145" t="n">
        <x:v>550</x:v>
      </x:c>
      <x:c r="G32" t="str">
        <x:v>Number</x:v>
      </x:c>
      <x:c r="H32" s="153" t="n">
        <x:v>45839</x:v>
      </x:c>
      <x:c r="I32" s="153" t="n">
        <x:v>45930</x:v>
      </x:c>
      <x:c r="J32" t="str">
        <x:v>observed</x:v>
      </x:c>
      <x:c r="K32" t="str">
        <x:v>STATCAN_JVWS_14100444</x:v>
      </x:c>
      <x:c r="L32" t="str">
        <x:v>TR_STATCAN_JVWS_AB_NOC_1_0_0</x:v>
      </x:c>
      <x:c r="M32" t="str">
        <x:v>status:E</x:v>
      </x:c>
      <x:c r="N32" t="str">
        <x:v>https://www150.statcan.gc.ca/t1/tbl1/en/tv.action?pid=1410044401</x:v>
      </x:c>
      <x:c r="O32" t="str">
        <x:v>PASS</x:v>
      </x:c>
    </x:row>
    <x:row r="33">
      <x:c r="A33" t="str">
        <x:v>OBS_JVWS_159B0FB31ED48CF1500D</x:v>
      </x:c>
      <x:c r="B33" t="str">
        <x:v>72201</x:v>
      </x:c>
      <x:c r="C33" t="str">
        <x:v>Industrial electricians</x:v>
      </x:c>
      <x:c r="D33" t="str">
        <x:v>trade_electricians</x:v>
      </x:c>
      <x:c r="E33" t="str">
        <x:v>Average offered hourly wage</x:v>
      </x:c>
      <x:c r="F33" s="145" t="n">
        <x:v>36.4</x:v>
      </x:c>
      <x:c r="G33" t="str">
        <x:v>Dollars</x:v>
      </x:c>
      <x:c r="H33" s="153" t="n">
        <x:v>45839</x:v>
      </x:c>
      <x:c r="I33" s="153" t="n">
        <x:v>45930</x:v>
      </x:c>
      <x:c r="J33" t="str">
        <x:v>observed</x:v>
      </x:c>
      <x:c r="K33" t="str">
        <x:v>STATCAN_JVWS_14100444</x:v>
      </x:c>
      <x:c r="L33" t="str">
        <x:v>TR_STATCAN_JVWS_AB_NOC_1_0_0</x:v>
      </x:c>
      <x:c r="M33" t="str">
        <x:v>status:B</x:v>
      </x:c>
      <x:c r="N33" t="str">
        <x:v>https://www150.statcan.gc.ca/t1/tbl1/en/tv.action?pid=1410044401</x:v>
      </x:c>
      <x:c r="O33" t="str">
        <x:v>PASS</x:v>
      </x:c>
    </x:row>
    <x:row r="34">
      <x:c r="A34" t="str">
        <x:v>OBS_JVWS_A85AE967951C3489A255</x:v>
      </x:c>
      <x:c r="B34" t="str">
        <x:v>72201</x:v>
      </x:c>
      <x:c r="C34" t="str">
        <x:v>Industrial electricians</x:v>
      </x:c>
      <x:c r="D34" t="str">
        <x:v>trade_electricians</x:v>
      </x:c>
      <x:c r="E34" t="str">
        <x:v>Job vacancies</x:v>
      </x:c>
      <x:c r="F34" s="145" t="n">
        <x:v>110</x:v>
      </x:c>
      <x:c r="G34" t="str">
        <x:v>Number</x:v>
      </x:c>
      <x:c r="H34" s="153" t="n">
        <x:v>45839</x:v>
      </x:c>
      <x:c r="I34" s="153" t="n">
        <x:v>45930</x:v>
      </x:c>
      <x:c r="J34" t="str">
        <x:v>observed</x:v>
      </x:c>
      <x:c r="K34" t="str">
        <x:v>STATCAN_JVWS_14100444</x:v>
      </x:c>
      <x:c r="L34" t="str">
        <x:v>TR_STATCAN_JVWS_AB_NOC_1_0_0</x:v>
      </x:c>
      <x:c r="M34" t="str">
        <x:v>status:E</x:v>
      </x:c>
      <x:c r="N34" t="str">
        <x:v>https://www150.statcan.gc.ca/t1/tbl1/en/tv.action?pid=1410044401</x:v>
      </x:c>
      <x:c r="O34" t="str">
        <x:v>PASS</x:v>
      </x:c>
    </x:row>
    <x:row r="35">
      <x:c r="A35" t="str">
        <x:v>OBS_JVWS_25C831FE16EEC734BF6B</x:v>
      </x:c>
      <x:c r="B35" t="str">
        <x:v>72402</x:v>
      </x:c>
      <x:c r="C35" t="str">
        <x:v>Heating, refrigeration and air conditioning mechanics</x:v>
      </x:c>
      <x:c r="D35" t="str">
        <x:v>trade_hvac</x:v>
      </x:c>
      <x:c r="E35" t="str">
        <x:v>Average offered hourly wage</x:v>
      </x:c>
      <x:c r="F35" s="145" t="n">
        <x:v>39.15</x:v>
      </x:c>
      <x:c r="G35" t="str">
        <x:v>Dollars</x:v>
      </x:c>
      <x:c r="H35" s="153" t="n">
        <x:v>45839</x:v>
      </x:c>
      <x:c r="I35" s="153" t="n">
        <x:v>45930</x:v>
      </x:c>
      <x:c r="J35" t="str">
        <x:v>observed</x:v>
      </x:c>
      <x:c r="K35" t="str">
        <x:v>STATCAN_JVWS_14100444</x:v>
      </x:c>
      <x:c r="L35" t="str">
        <x:v>TR_STATCAN_JVWS_AB_NOC_1_0_0</x:v>
      </x:c>
      <x:c r="M35" t="str">
        <x:v>status:B</x:v>
      </x:c>
      <x:c r="N35" t="str">
        <x:v>https://www150.statcan.gc.ca/t1/tbl1/en/tv.action?pid=1410044401</x:v>
      </x:c>
      <x:c r="O35" t="str">
        <x:v>PASS</x:v>
      </x:c>
    </x:row>
    <x:row r="36">
      <x:c r="A36" t="str">
        <x:v>OBS_JVWS_D129CA52FE5B364CF845</x:v>
      </x:c>
      <x:c r="B36" t="str">
        <x:v>72402</x:v>
      </x:c>
      <x:c r="C36" t="str">
        <x:v>Heating, refrigeration and air conditioning mechanics</x:v>
      </x:c>
      <x:c r="D36" t="str">
        <x:v>trade_hvac</x:v>
      </x:c>
      <x:c r="E36" t="str">
        <x:v>Job vacancies</x:v>
      </x:c>
      <x:c r="F36" s="145" t="n">
        <x:v>285</x:v>
      </x:c>
      <x:c r="G36" t="str">
        <x:v>Number</x:v>
      </x:c>
      <x:c r="H36" s="153" t="n">
        <x:v>45839</x:v>
      </x:c>
      <x:c r="I36" s="153" t="n">
        <x:v>45930</x:v>
      </x:c>
      <x:c r="J36" t="str">
        <x:v>observed</x:v>
      </x:c>
      <x:c r="K36" t="str">
        <x:v>STATCAN_JVWS_14100444</x:v>
      </x:c>
      <x:c r="L36" t="str">
        <x:v>TR_STATCAN_JVWS_AB_NOC_1_0_0</x:v>
      </x:c>
      <x:c r="M36" t="str">
        <x:v>status:E</x:v>
      </x:c>
      <x:c r="N36" t="str">
        <x:v>https://www150.statcan.gc.ca/t1/tbl1/en/tv.action?pid=1410044401</x:v>
      </x:c>
      <x:c r="O36" t="str">
        <x:v>PASS</x:v>
      </x:c>
    </x:row>
    <x:row r="37">
      <x:c r="A37" t="str">
        <x:v>OBS_JVWS_01D62AF1281CC4CA7725</x:v>
      </x:c>
      <x:c r="B37" t="str">
        <x:v>72202</x:v>
      </x:c>
      <x:c r="C37" t="str">
        <x:v>Power system electricians</x:v>
      </x:c>
      <x:c r="D37" t="str">
        <x:v>trade_power_line</x:v>
      </x:c>
      <x:c r="E37" t="str">
        <x:v>Average offered hourly wage</x:v>
      </x:c>
      <x:c r="F37" s="145"/>
      <x:c r="G37" t="str">
        <x:v>Dollars</x:v>
      </x:c>
      <x:c r="H37" s="153" t="n">
        <x:v>45839</x:v>
      </x:c>
      <x:c r="I37" s="153" t="n">
        <x:v>45930</x:v>
      </x:c>
      <x:c r="J37" t="str">
        <x:v>observed</x:v>
      </x:c>
      <x:c r="K37" t="str">
        <x:v>STATCAN_JVWS_14100444</x:v>
      </x:c>
      <x:c r="L37" t="str">
        <x:v>TR_STATCAN_JVWS_AB_NOC_1_0_0</x:v>
      </x:c>
      <x:c r="M37" t="str">
        <x:v>status:F|value_missing_or_suppressed</x:v>
      </x:c>
      <x:c r="N37" t="str">
        <x:v>https://www150.statcan.gc.ca/t1/tbl1/en/tv.action?pid=1410044401</x:v>
      </x:c>
      <x:c r="O37" t="str">
        <x:v>PASS</x:v>
      </x:c>
    </x:row>
    <x:row r="38">
      <x:c r="A38" t="str">
        <x:v>OBS_JVWS_D2C350C062575EF1F313</x:v>
      </x:c>
      <x:c r="B38" t="str">
        <x:v>72202</x:v>
      </x:c>
      <x:c r="C38" t="str">
        <x:v>Power system electricians</x:v>
      </x:c>
      <x:c r="D38" t="str">
        <x:v>trade_power_line</x:v>
      </x:c>
      <x:c r="E38" t="str">
        <x:v>Job vacancies</x:v>
      </x:c>
      <x:c r="F38" s="145"/>
      <x:c r="G38" t="str">
        <x:v>Number</x:v>
      </x:c>
      <x:c r="H38" s="153" t="n">
        <x:v>45839</x:v>
      </x:c>
      <x:c r="I38" s="153" t="n">
        <x:v>45930</x:v>
      </x:c>
      <x:c r="J38" t="str">
        <x:v>observed</x:v>
      </x:c>
      <x:c r="K38" t="str">
        <x:v>STATCAN_JVWS_14100444</x:v>
      </x:c>
      <x:c r="L38" t="str">
        <x:v>TR_STATCAN_JVWS_AB_NOC_1_0_0</x:v>
      </x:c>
      <x:c r="M38" t="str">
        <x:v>status:F|value_missing_or_suppressed</x:v>
      </x:c>
      <x:c r="N38" t="str">
        <x:v>https://www150.statcan.gc.ca/t1/tbl1/en/tv.action?pid=1410044401</x:v>
      </x:c>
      <x:c r="O38" t="str">
        <x:v>PASS</x:v>
      </x:c>
    </x:row>
    <x:row r="39">
      <x:c r="A39" t="str">
        <x:v>OBS_JVWS_1FF24F9E5FA5BC7A37A8</x:v>
      </x:c>
      <x:c r="B39" t="str">
        <x:v>72203</x:v>
      </x:c>
      <x:c r="C39" t="str">
        <x:v>Electrical power line and cable workers</x:v>
      </x:c>
      <x:c r="D39" t="str">
        <x:v>trade_power_line</x:v>
      </x:c>
      <x:c r="E39" t="str">
        <x:v>Average offered hourly wage</x:v>
      </x:c>
      <x:c r="F39" s="145" t="n">
        <x:v>52.15</x:v>
      </x:c>
      <x:c r="G39" t="str">
        <x:v>Dollars</x:v>
      </x:c>
      <x:c r="H39" s="153" t="n">
        <x:v>45839</x:v>
      </x:c>
      <x:c r="I39" s="153" t="n">
        <x:v>45930</x:v>
      </x:c>
      <x:c r="J39" t="str">
        <x:v>observed</x:v>
      </x:c>
      <x:c r="K39" t="str">
        <x:v>STATCAN_JVWS_14100444</x:v>
      </x:c>
      <x:c r="L39" t="str">
        <x:v>TR_STATCAN_JVWS_AB_NOC_1_0_0</x:v>
      </x:c>
      <x:c r="M39" t="str">
        <x:v>status:C</x:v>
      </x:c>
      <x:c r="N39" t="str">
        <x:v>https://www150.statcan.gc.ca/t1/tbl1/en/tv.action?pid=1410044401</x:v>
      </x:c>
      <x:c r="O39" t="str">
        <x:v>PASS</x:v>
      </x:c>
    </x:row>
    <x:row r="40">
      <x:c r="A40" t="str">
        <x:v>OBS_JVWS_A1310DEBFB48B7F99082</x:v>
      </x:c>
      <x:c r="B40" t="str">
        <x:v>72203</x:v>
      </x:c>
      <x:c r="C40" t="str">
        <x:v>Electrical power line and cable workers</x:v>
      </x:c>
      <x:c r="D40" t="str">
        <x:v>trade_power_line</x:v>
      </x:c>
      <x:c r="E40" t="str">
        <x:v>Job vacancies</x:v>
      </x:c>
      <x:c r="F40" s="145" t="n">
        <x:v>15</x:v>
      </x:c>
      <x:c r="G40" t="str">
        <x:v>Number</x:v>
      </x:c>
      <x:c r="H40" s="153" t="n">
        <x:v>45839</x:v>
      </x:c>
      <x:c r="I40" s="153" t="n">
        <x:v>45930</x:v>
      </x:c>
      <x:c r="J40" t="str">
        <x:v>observed</x:v>
      </x:c>
      <x:c r="K40" t="str">
        <x:v>STATCAN_JVWS_14100444</x:v>
      </x:c>
      <x:c r="L40" t="str">
        <x:v>TR_STATCAN_JVWS_AB_NOC_1_0_0</x:v>
      </x:c>
      <x:c r="M40" t="str">
        <x:v>status:E</x:v>
      </x:c>
      <x:c r="N40" t="str">
        <x:v>https://www150.statcan.gc.ca/t1/tbl1/en/tv.action?pid=1410044401</x:v>
      </x:c>
      <x:c r="O40" t="str">
        <x:v>PASS</x:v>
      </x:c>
    </x:row>
    <x:row r="41">
      <x:c r="A41" t="str">
        <x:v>OBS_JVWS_CE337E7FD98E211B388C</x:v>
      </x:c>
      <x:c r="B41" t="str">
        <x:v>73100</x:v>
      </x:c>
      <x:c r="C41" t="str">
        <x:v>Concrete finishers</x:v>
      </x:c>
      <x:c r="D41" t="str">
        <x:v>trade_concrete</x:v>
      </x:c>
      <x:c r="E41" t="str">
        <x:v>Average offered hourly wage</x:v>
      </x:c>
      <x:c r="F41" s="145" t="n">
        <x:v>32.55</x:v>
      </x:c>
      <x:c r="G41" t="str">
        <x:v>Dollars</x:v>
      </x:c>
      <x:c r="H41" s="153" t="n">
        <x:v>45748</x:v>
      </x:c>
      <x:c r="I41" s="153" t="n">
        <x:v>45838</x:v>
      </x:c>
      <x:c r="J41" t="str">
        <x:v>observed</x:v>
      </x:c>
      <x:c r="K41" t="str">
        <x:v>STATCAN_JVWS_14100444</x:v>
      </x:c>
      <x:c r="L41" t="str">
        <x:v>TR_STATCAN_JVWS_AB_NOC_1_0_0</x:v>
      </x:c>
      <x:c r="M41" t="str">
        <x:v>status:B</x:v>
      </x:c>
      <x:c r="N41" t="str">
        <x:v>https://www150.statcan.gc.ca/t1/tbl1/en/tv.action?pid=1410044401</x:v>
      </x:c>
      <x:c r="O41" t="str">
        <x:v>PASS</x:v>
      </x:c>
    </x:row>
    <x:row r="42">
      <x:c r="A42" t="str">
        <x:v>OBS_JVWS_EE861CAFE98D400E445B</x:v>
      </x:c>
      <x:c r="B42" t="str">
        <x:v>73100</x:v>
      </x:c>
      <x:c r="C42" t="str">
        <x:v>Concrete finishers</x:v>
      </x:c>
      <x:c r="D42" t="str">
        <x:v>trade_concrete</x:v>
      </x:c>
      <x:c r="E42" t="str">
        <x:v>Job vacancies</x:v>
      </x:c>
      <x:c r="F42" s="145"/>
      <x:c r="G42" t="str">
        <x:v>Number</x:v>
      </x:c>
      <x:c r="H42" s="153" t="n">
        <x:v>45748</x:v>
      </x:c>
      <x:c r="I42" s="153" t="n">
        <x:v>45838</x:v>
      </x:c>
      <x:c r="J42" t="str">
        <x:v>observed</x:v>
      </x:c>
      <x:c r="K42" t="str">
        <x:v>STATCAN_JVWS_14100444</x:v>
      </x:c>
      <x:c r="L42" t="str">
        <x:v>TR_STATCAN_JVWS_AB_NOC_1_0_0</x:v>
      </x:c>
      <x:c r="M42" t="str">
        <x:v>status:F|value_missing_or_suppressed</x:v>
      </x:c>
      <x:c r="N42" t="str">
        <x:v>https://www150.statcan.gc.ca/t1/tbl1/en/tv.action?pid=1410044401</x:v>
      </x:c>
      <x:c r="O42" t="str">
        <x:v>PASS</x:v>
      </x:c>
    </x:row>
    <x:row r="43">
      <x:c r="A43" t="str">
        <x:v>OBS_JVWS_8F083A50DB43E2DA571F</x:v>
      </x:c>
      <x:c r="B43" t="str">
        <x:v>72200</x:v>
      </x:c>
      <x:c r="C43" t="str">
        <x:v>Electricians (except industrial and power system)</x:v>
      </x:c>
      <x:c r="D43" t="str">
        <x:v>trade_electricians</x:v>
      </x:c>
      <x:c r="E43" t="str">
        <x:v>Average offered hourly wage</x:v>
      </x:c>
      <x:c r="F43" s="145" t="n">
        <x:v>27.3</x:v>
      </x:c>
      <x:c r="G43" t="str">
        <x:v>Dollars</x:v>
      </x:c>
      <x:c r="H43" s="153" t="n">
        <x:v>45748</x:v>
      </x:c>
      <x:c r="I43" s="153" t="n">
        <x:v>45838</x:v>
      </x:c>
      <x:c r="J43" t="str">
        <x:v>observed</x:v>
      </x:c>
      <x:c r="K43" t="str">
        <x:v>STATCAN_JVWS_14100444</x:v>
      </x:c>
      <x:c r="L43" t="str">
        <x:v>TR_STATCAN_JVWS_AB_NOC_1_0_0</x:v>
      </x:c>
      <x:c r="M43" t="str">
        <x:v>status:C</x:v>
      </x:c>
      <x:c r="N43" t="str">
        <x:v>https://www150.statcan.gc.ca/t1/tbl1/en/tv.action?pid=1410044401</x:v>
      </x:c>
      <x:c r="O43" t="str">
        <x:v>PASS</x:v>
      </x:c>
    </x:row>
    <x:row r="44">
      <x:c r="A44" t="str">
        <x:v>OBS_JVWS_5BE42AC6FF4DAEE1F79A</x:v>
      </x:c>
      <x:c r="B44" t="str">
        <x:v>72200</x:v>
      </x:c>
      <x:c r="C44" t="str">
        <x:v>Electricians (except industrial and power system)</x:v>
      </x:c>
      <x:c r="D44" t="str">
        <x:v>trade_electricians</x:v>
      </x:c>
      <x:c r="E44" t="str">
        <x:v>Job vacancies</x:v>
      </x:c>
      <x:c r="F44" s="145" t="n">
        <x:v>810</x:v>
      </x:c>
      <x:c r="G44" t="str">
        <x:v>Number</x:v>
      </x:c>
      <x:c r="H44" s="153" t="n">
        <x:v>45748</x:v>
      </x:c>
      <x:c r="I44" s="153" t="n">
        <x:v>45838</x:v>
      </x:c>
      <x:c r="J44" t="str">
        <x:v>observed</x:v>
      </x:c>
      <x:c r="K44" t="str">
        <x:v>STATCAN_JVWS_14100444</x:v>
      </x:c>
      <x:c r="L44" t="str">
        <x:v>TR_STATCAN_JVWS_AB_NOC_1_0_0</x:v>
      </x:c>
      <x:c r="M44" t="str">
        <x:v>status:E</x:v>
      </x:c>
      <x:c r="N44" t="str">
        <x:v>https://www150.statcan.gc.ca/t1/tbl1/en/tv.action?pid=1410044401</x:v>
      </x:c>
      <x:c r="O44" t="str">
        <x:v>PASS</x:v>
      </x:c>
    </x:row>
    <x:row r="45">
      <x:c r="A45" t="str">
        <x:v>OBS_JVWS_55A39AF05C6DB41684AF</x:v>
      </x:c>
      <x:c r="B45" t="str">
        <x:v>72201</x:v>
      </x:c>
      <x:c r="C45" t="str">
        <x:v>Industrial electricians</x:v>
      </x:c>
      <x:c r="D45" t="str">
        <x:v>trade_electricians</x:v>
      </x:c>
      <x:c r="E45" t="str">
        <x:v>Average offered hourly wage</x:v>
      </x:c>
      <x:c r="F45" s="145" t="n">
        <x:v>41.65</x:v>
      </x:c>
      <x:c r="G45" t="str">
        <x:v>Dollars</x:v>
      </x:c>
      <x:c r="H45" s="153" t="n">
        <x:v>45748</x:v>
      </x:c>
      <x:c r="I45" s="153" t="n">
        <x:v>45838</x:v>
      </x:c>
      <x:c r="J45" t="str">
        <x:v>observed</x:v>
      </x:c>
      <x:c r="K45" t="str">
        <x:v>STATCAN_JVWS_14100444</x:v>
      </x:c>
      <x:c r="L45" t="str">
        <x:v>TR_STATCAN_JVWS_AB_NOC_1_0_0</x:v>
      </x:c>
      <x:c r="M45" t="str">
        <x:v>status:A</x:v>
      </x:c>
      <x:c r="N45" t="str">
        <x:v>https://www150.statcan.gc.ca/t1/tbl1/en/tv.action?pid=1410044401</x:v>
      </x:c>
      <x:c r="O45" t="str">
        <x:v>PASS</x:v>
      </x:c>
    </x:row>
    <x:row r="46">
      <x:c r="A46" t="str">
        <x:v>OBS_JVWS_86390FC038CB2C52EFEC</x:v>
      </x:c>
      <x:c r="B46" t="str">
        <x:v>72201</x:v>
      </x:c>
      <x:c r="C46" t="str">
        <x:v>Industrial electricians</x:v>
      </x:c>
      <x:c r="D46" t="str">
        <x:v>trade_electricians</x:v>
      </x:c>
      <x:c r="E46" t="str">
        <x:v>Job vacancies</x:v>
      </x:c>
      <x:c r="F46" s="145" t="n">
        <x:v>85</x:v>
      </x:c>
      <x:c r="G46" t="str">
        <x:v>Number</x:v>
      </x:c>
      <x:c r="H46" s="153" t="n">
        <x:v>45748</x:v>
      </x:c>
      <x:c r="I46" s="153" t="n">
        <x:v>45838</x:v>
      </x:c>
      <x:c r="J46" t="str">
        <x:v>observed</x:v>
      </x:c>
      <x:c r="K46" t="str">
        <x:v>STATCAN_JVWS_14100444</x:v>
      </x:c>
      <x:c r="L46" t="str">
        <x:v>TR_STATCAN_JVWS_AB_NOC_1_0_0</x:v>
      </x:c>
      <x:c r="M46" t="str">
        <x:v>status:E</x:v>
      </x:c>
      <x:c r="N46" t="str">
        <x:v>https://www150.statcan.gc.ca/t1/tbl1/en/tv.action?pid=1410044401</x:v>
      </x:c>
      <x:c r="O46" t="str">
        <x:v>PASS</x:v>
      </x:c>
    </x:row>
    <x:row r="47">
      <x:c r="A47" t="str">
        <x:v>OBS_JVWS_87E843179B0BB4E8E476</x:v>
      </x:c>
      <x:c r="B47" t="str">
        <x:v>72402</x:v>
      </x:c>
      <x:c r="C47" t="str">
        <x:v>Heating, refrigeration and air conditioning mechanics</x:v>
      </x:c>
      <x:c r="D47" t="str">
        <x:v>trade_hvac</x:v>
      </x:c>
      <x:c r="E47" t="str">
        <x:v>Average offered hourly wage</x:v>
      </x:c>
      <x:c r="F47" s="145" t="n">
        <x:v>29.6</x:v>
      </x:c>
      <x:c r="G47" t="str">
        <x:v>Dollars</x:v>
      </x:c>
      <x:c r="H47" s="153" t="n">
        <x:v>45748</x:v>
      </x:c>
      <x:c r="I47" s="153" t="n">
        <x:v>45838</x:v>
      </x:c>
      <x:c r="J47" t="str">
        <x:v>observed</x:v>
      </x:c>
      <x:c r="K47" t="str">
        <x:v>STATCAN_JVWS_14100444</x:v>
      </x:c>
      <x:c r="L47" t="str">
        <x:v>TR_STATCAN_JVWS_AB_NOC_1_0_0</x:v>
      </x:c>
      <x:c r="M47" t="str">
        <x:v>status:B</x:v>
      </x:c>
      <x:c r="N47" t="str">
        <x:v>https://www150.statcan.gc.ca/t1/tbl1/en/tv.action?pid=1410044401</x:v>
      </x:c>
      <x:c r="O47" t="str">
        <x:v>PASS</x:v>
      </x:c>
    </x:row>
    <x:row r="48">
      <x:c r="A48" t="str">
        <x:v>OBS_JVWS_ACE600097BFB7BCE2D02</x:v>
      </x:c>
      <x:c r="B48" t="str">
        <x:v>72402</x:v>
      </x:c>
      <x:c r="C48" t="str">
        <x:v>Heating, refrigeration and air conditioning mechanics</x:v>
      </x:c>
      <x:c r="D48" t="str">
        <x:v>trade_hvac</x:v>
      </x:c>
      <x:c r="E48" t="str">
        <x:v>Job vacancies</x:v>
      </x:c>
      <x:c r="F48" s="145" t="n">
        <x:v>325</x:v>
      </x:c>
      <x:c r="G48" t="str">
        <x:v>Number</x:v>
      </x:c>
      <x:c r="H48" s="153" t="n">
        <x:v>45748</x:v>
      </x:c>
      <x:c r="I48" s="153" t="n">
        <x:v>45838</x:v>
      </x:c>
      <x:c r="J48" t="str">
        <x:v>observed</x:v>
      </x:c>
      <x:c r="K48" t="str">
        <x:v>STATCAN_JVWS_14100444</x:v>
      </x:c>
      <x:c r="L48" t="str">
        <x:v>TR_STATCAN_JVWS_AB_NOC_1_0_0</x:v>
      </x:c>
      <x:c r="M48" t="str">
        <x:v>status:E</x:v>
      </x:c>
      <x:c r="N48" t="str">
        <x:v>https://www150.statcan.gc.ca/t1/tbl1/en/tv.action?pid=1410044401</x:v>
      </x:c>
      <x:c r="O48" t="str">
        <x:v>PASS</x:v>
      </x:c>
    </x:row>
    <x:row r="49">
      <x:c r="A49" t="str">
        <x:v>OBS_JVWS_ED592E9B475AC6524697</x:v>
      </x:c>
      <x:c r="B49" t="str">
        <x:v>72202</x:v>
      </x:c>
      <x:c r="C49" t="str">
        <x:v>Power system electricians</x:v>
      </x:c>
      <x:c r="D49" t="str">
        <x:v>trade_power_line</x:v>
      </x:c>
      <x:c r="E49" t="str">
        <x:v>Average offered hourly wage</x:v>
      </x:c>
      <x:c r="F49" s="145"/>
      <x:c r="G49" t="str">
        <x:v>Dollars</x:v>
      </x:c>
      <x:c r="H49" s="153" t="n">
        <x:v>45748</x:v>
      </x:c>
      <x:c r="I49" s="153" t="n">
        <x:v>45838</x:v>
      </x:c>
      <x:c r="J49" t="str">
        <x:v>observed</x:v>
      </x:c>
      <x:c r="K49" t="str">
        <x:v>STATCAN_JVWS_14100444</x:v>
      </x:c>
      <x:c r="L49" t="str">
        <x:v>TR_STATCAN_JVWS_AB_NOC_1_0_0</x:v>
      </x:c>
      <x:c r="M49" t="str">
        <x:v>status:..|value_missing_or_suppressed</x:v>
      </x:c>
      <x:c r="N49" t="str">
        <x:v>https://www150.statcan.gc.ca/t1/tbl1/en/tv.action?pid=1410044401</x:v>
      </x:c>
      <x:c r="O49" t="str">
        <x:v>PASS</x:v>
      </x:c>
    </x:row>
    <x:row r="50">
      <x:c r="A50" t="str">
        <x:v>OBS_JVWS_2965F8076DE6AA2A4461</x:v>
      </x:c>
      <x:c r="B50" t="str">
        <x:v>72202</x:v>
      </x:c>
      <x:c r="C50" t="str">
        <x:v>Power system electricians</x:v>
      </x:c>
      <x:c r="D50" t="str">
        <x:v>trade_power_line</x:v>
      </x:c>
      <x:c r="E50" t="str">
        <x:v>Job vacancies</x:v>
      </x:c>
      <x:c r="F50" s="145"/>
      <x:c r="G50" t="str">
        <x:v>Number</x:v>
      </x:c>
      <x:c r="H50" s="153" t="n">
        <x:v>45748</x:v>
      </x:c>
      <x:c r="I50" s="153" t="n">
        <x:v>45838</x:v>
      </x:c>
      <x:c r="J50" t="str">
        <x:v>observed</x:v>
      </x:c>
      <x:c r="K50" t="str">
        <x:v>STATCAN_JVWS_14100444</x:v>
      </x:c>
      <x:c r="L50" t="str">
        <x:v>TR_STATCAN_JVWS_AB_NOC_1_0_0</x:v>
      </x:c>
      <x:c r="M50" t="str">
        <x:v>status:..|value_missing_or_suppressed</x:v>
      </x:c>
      <x:c r="N50" t="str">
        <x:v>https://www150.statcan.gc.ca/t1/tbl1/en/tv.action?pid=1410044401</x:v>
      </x:c>
      <x:c r="O50" t="str">
        <x:v>PASS</x:v>
      </x:c>
    </x:row>
    <x:row r="51">
      <x:c r="A51" t="str">
        <x:v>OBS_JVWS_03EAEB429297B0FB1915</x:v>
      </x:c>
      <x:c r="B51" t="str">
        <x:v>72203</x:v>
      </x:c>
      <x:c r="C51" t="str">
        <x:v>Electrical power line and cable workers</x:v>
      </x:c>
      <x:c r="D51" t="str">
        <x:v>trade_power_line</x:v>
      </x:c>
      <x:c r="E51" t="str">
        <x:v>Average offered hourly wage</x:v>
      </x:c>
      <x:c r="F51" s="145" t="n">
        <x:v>40.25</x:v>
      </x:c>
      <x:c r="G51" t="str">
        <x:v>Dollars</x:v>
      </x:c>
      <x:c r="H51" s="153" t="n">
        <x:v>45748</x:v>
      </x:c>
      <x:c r="I51" s="153" t="n">
        <x:v>45838</x:v>
      </x:c>
      <x:c r="J51" t="str">
        <x:v>observed</x:v>
      </x:c>
      <x:c r="K51" t="str">
        <x:v>STATCAN_JVWS_14100444</x:v>
      </x:c>
      <x:c r="L51" t="str">
        <x:v>TR_STATCAN_JVWS_AB_NOC_1_0_0</x:v>
      </x:c>
      <x:c r="M51" t="str">
        <x:v>status:B</x:v>
      </x:c>
      <x:c r="N51" t="str">
        <x:v>https://www150.statcan.gc.ca/t1/tbl1/en/tv.action?pid=1410044401</x:v>
      </x:c>
      <x:c r="O51" t="str">
        <x:v>PASS</x:v>
      </x:c>
    </x:row>
    <x:row r="52">
      <x:c r="A52" t="str">
        <x:v>OBS_JVWS_E7A880E2F430585FB02F</x:v>
      </x:c>
      <x:c r="B52" t="str">
        <x:v>72203</x:v>
      </x:c>
      <x:c r="C52" t="str">
        <x:v>Electrical power line and cable workers</x:v>
      </x:c>
      <x:c r="D52" t="str">
        <x:v>trade_power_line</x:v>
      </x:c>
      <x:c r="E52" t="str">
        <x:v>Job vacancies</x:v>
      </x:c>
      <x:c r="F52" s="145"/>
      <x:c r="G52" t="str">
        <x:v>Number</x:v>
      </x:c>
      <x:c r="H52" s="153" t="n">
        <x:v>45748</x:v>
      </x:c>
      <x:c r="I52" s="153" t="n">
        <x:v>45838</x:v>
      </x:c>
      <x:c r="J52" t="str">
        <x:v>observed</x:v>
      </x:c>
      <x:c r="K52" t="str">
        <x:v>STATCAN_JVWS_14100444</x:v>
      </x:c>
      <x:c r="L52" t="str">
        <x:v>TR_STATCAN_JVWS_AB_NOC_1_0_0</x:v>
      </x:c>
      <x:c r="M52" t="str">
        <x:v>status:F|value_missing_or_suppressed</x:v>
      </x:c>
      <x:c r="N52" t="str">
        <x:v>https://www150.statcan.gc.ca/t1/tbl1/en/tv.action?pid=1410044401</x:v>
      </x:c>
      <x:c r="O52" t="str">
        <x:v>PASS</x:v>
      </x:c>
    </x:row>
    <x:row r="53">
      <x:c r="A53" t="str">
        <x:v>OBS_JVWS_EFA3278255E6384F0017</x:v>
      </x:c>
      <x:c r="B53" t="str">
        <x:v>73100</x:v>
      </x:c>
      <x:c r="C53" t="str">
        <x:v>Concrete finishers</x:v>
      </x:c>
      <x:c r="D53" t="str">
        <x:v>trade_concrete</x:v>
      </x:c>
      <x:c r="E53" t="str">
        <x:v>Average offered hourly wage</x:v>
      </x:c>
      <x:c r="F53" s="145" t="n">
        <x:v>30.8</x:v>
      </x:c>
      <x:c r="G53" t="str">
        <x:v>Dollars</x:v>
      </x:c>
      <x:c r="H53" s="153" t="n">
        <x:v>45658</x:v>
      </x:c>
      <x:c r="I53" s="153" t="n">
        <x:v>45747</x:v>
      </x:c>
      <x:c r="J53" t="str">
        <x:v>observed</x:v>
      </x:c>
      <x:c r="K53" t="str">
        <x:v>STATCAN_JVWS_14100444</x:v>
      </x:c>
      <x:c r="L53" t="str">
        <x:v>TR_STATCAN_JVWS_AB_NOC_1_0_0</x:v>
      </x:c>
      <x:c r="M53" t="str">
        <x:v>status:B</x:v>
      </x:c>
      <x:c r="N53" t="str">
        <x:v>https://www150.statcan.gc.ca/t1/tbl1/en/tv.action?pid=1410044401</x:v>
      </x:c>
      <x:c r="O53" t="str">
        <x:v>PASS</x:v>
      </x:c>
    </x:row>
    <x:row r="54">
      <x:c r="A54" t="str">
        <x:v>OBS_JVWS_6DCA7C7D3DCB91BA42E8</x:v>
      </x:c>
      <x:c r="B54" t="str">
        <x:v>73100</x:v>
      </x:c>
      <x:c r="C54" t="str">
        <x:v>Concrete finishers</x:v>
      </x:c>
      <x:c r="D54" t="str">
        <x:v>trade_concrete</x:v>
      </x:c>
      <x:c r="E54" t="str">
        <x:v>Job vacancies</x:v>
      </x:c>
      <x:c r="F54" s="145"/>
      <x:c r="G54" t="str">
        <x:v>Number</x:v>
      </x:c>
      <x:c r="H54" s="153" t="n">
        <x:v>45658</x:v>
      </x:c>
      <x:c r="I54" s="153" t="n">
        <x:v>45747</x:v>
      </x:c>
      <x:c r="J54" t="str">
        <x:v>observed</x:v>
      </x:c>
      <x:c r="K54" t="str">
        <x:v>STATCAN_JVWS_14100444</x:v>
      </x:c>
      <x:c r="L54" t="str">
        <x:v>TR_STATCAN_JVWS_AB_NOC_1_0_0</x:v>
      </x:c>
      <x:c r="M54" t="str">
        <x:v>status:F|value_missing_or_suppressed</x:v>
      </x:c>
      <x:c r="N54" t="str">
        <x:v>https://www150.statcan.gc.ca/t1/tbl1/en/tv.action?pid=1410044401</x:v>
      </x:c>
      <x:c r="O54" t="str">
        <x:v>PASS</x:v>
      </x:c>
    </x:row>
    <x:row r="55">
      <x:c r="A55" t="str">
        <x:v>OBS_JVWS_A4AD91CB01A6409B592C</x:v>
      </x:c>
      <x:c r="B55" t="str">
        <x:v>72200</x:v>
      </x:c>
      <x:c r="C55" t="str">
        <x:v>Electricians (except industrial and power system)</x:v>
      </x:c>
      <x:c r="D55" t="str">
        <x:v>trade_electricians</x:v>
      </x:c>
      <x:c r="E55" t="str">
        <x:v>Average offered hourly wage</x:v>
      </x:c>
      <x:c r="F55" s="145" t="n">
        <x:v>28.9</x:v>
      </x:c>
      <x:c r="G55" t="str">
        <x:v>Dollars</x:v>
      </x:c>
      <x:c r="H55" s="153" t="n">
        <x:v>45658</x:v>
      </x:c>
      <x:c r="I55" s="153" t="n">
        <x:v>45747</x:v>
      </x:c>
      <x:c r="J55" t="str">
        <x:v>observed</x:v>
      </x:c>
      <x:c r="K55" t="str">
        <x:v>STATCAN_JVWS_14100444</x:v>
      </x:c>
      <x:c r="L55" t="str">
        <x:v>TR_STATCAN_JVWS_AB_NOC_1_0_0</x:v>
      </x:c>
      <x:c r="M55" t="str">
        <x:v>status:B</x:v>
      </x:c>
      <x:c r="N55" t="str">
        <x:v>https://www150.statcan.gc.ca/t1/tbl1/en/tv.action?pid=1410044401</x:v>
      </x:c>
      <x:c r="O55" t="str">
        <x:v>PASS</x:v>
      </x:c>
    </x:row>
    <x:row r="56">
      <x:c r="A56" t="str">
        <x:v>OBS_JVWS_F5C15339E41761A91B2A</x:v>
      </x:c>
      <x:c r="B56" t="str">
        <x:v>72200</x:v>
      </x:c>
      <x:c r="C56" t="str">
        <x:v>Electricians (except industrial and power system)</x:v>
      </x:c>
      <x:c r="D56" t="str">
        <x:v>trade_electricians</x:v>
      </x:c>
      <x:c r="E56" t="str">
        <x:v>Job vacancies</x:v>
      </x:c>
      <x:c r="F56" s="145"/>
      <x:c r="G56" t="str">
        <x:v>Number</x:v>
      </x:c>
      <x:c r="H56" s="153" t="n">
        <x:v>45658</x:v>
      </x:c>
      <x:c r="I56" s="153" t="n">
        <x:v>45747</x:v>
      </x:c>
      <x:c r="J56" t="str">
        <x:v>observed</x:v>
      </x:c>
      <x:c r="K56" t="str">
        <x:v>STATCAN_JVWS_14100444</x:v>
      </x:c>
      <x:c r="L56" t="str">
        <x:v>TR_STATCAN_JVWS_AB_NOC_1_0_0</x:v>
      </x:c>
      <x:c r="M56" t="str">
        <x:v>status:F|value_missing_or_suppressed</x:v>
      </x:c>
      <x:c r="N56" t="str">
        <x:v>https://www150.statcan.gc.ca/t1/tbl1/en/tv.action?pid=1410044401</x:v>
      </x:c>
      <x:c r="O56" t="str">
        <x:v>PASS</x:v>
      </x:c>
    </x:row>
    <x:row r="57">
      <x:c r="A57" t="str">
        <x:v>OBS_JVWS_BE60959260D04633AC66</x:v>
      </x:c>
      <x:c r="B57" t="str">
        <x:v>72201</x:v>
      </x:c>
      <x:c r="C57" t="str">
        <x:v>Industrial electricians</x:v>
      </x:c>
      <x:c r="D57" t="str">
        <x:v>trade_electricians</x:v>
      </x:c>
      <x:c r="E57" t="str">
        <x:v>Average offered hourly wage</x:v>
      </x:c>
      <x:c r="F57" s="145" t="n">
        <x:v>45.5</x:v>
      </x:c>
      <x:c r="G57" t="str">
        <x:v>Dollars</x:v>
      </x:c>
      <x:c r="H57" s="153" t="n">
        <x:v>45658</x:v>
      </x:c>
      <x:c r="I57" s="153" t="n">
        <x:v>45747</x:v>
      </x:c>
      <x:c r="J57" t="str">
        <x:v>observed</x:v>
      </x:c>
      <x:c r="K57" t="str">
        <x:v>STATCAN_JVWS_14100444</x:v>
      </x:c>
      <x:c r="L57" t="str">
        <x:v>TR_STATCAN_JVWS_AB_NOC_1_0_0</x:v>
      </x:c>
      <x:c r="M57" t="str">
        <x:v>status:A</x:v>
      </x:c>
      <x:c r="N57" t="str">
        <x:v>https://www150.statcan.gc.ca/t1/tbl1/en/tv.action?pid=1410044401</x:v>
      </x:c>
      <x:c r="O57" t="str">
        <x:v>PASS</x:v>
      </x:c>
    </x:row>
    <x:row r="58">
      <x:c r="A58" t="str">
        <x:v>OBS_JVWS_9D9BBD588034EE182DD1</x:v>
      </x:c>
      <x:c r="B58" t="str">
        <x:v>72201</x:v>
      </x:c>
      <x:c r="C58" t="str">
        <x:v>Industrial electricians</x:v>
      </x:c>
      <x:c r="D58" t="str">
        <x:v>trade_electricians</x:v>
      </x:c>
      <x:c r="E58" t="str">
        <x:v>Job vacancies</x:v>
      </x:c>
      <x:c r="F58" s="145" t="n">
        <x:v>70</x:v>
      </x:c>
      <x:c r="G58" t="str">
        <x:v>Number</x:v>
      </x:c>
      <x:c r="H58" s="153" t="n">
        <x:v>45658</x:v>
      </x:c>
      <x:c r="I58" s="153" t="n">
        <x:v>45747</x:v>
      </x:c>
      <x:c r="J58" t="str">
        <x:v>observed</x:v>
      </x:c>
      <x:c r="K58" t="str">
        <x:v>STATCAN_JVWS_14100444</x:v>
      </x:c>
      <x:c r="L58" t="str">
        <x:v>TR_STATCAN_JVWS_AB_NOC_1_0_0</x:v>
      </x:c>
      <x:c r="M58" t="str">
        <x:v>status:D</x:v>
      </x:c>
      <x:c r="N58" t="str">
        <x:v>https://www150.statcan.gc.ca/t1/tbl1/en/tv.action?pid=1410044401</x:v>
      </x:c>
      <x:c r="O58" t="str">
        <x:v>PASS</x:v>
      </x:c>
    </x:row>
    <x:row r="59">
      <x:c r="A59" t="str">
        <x:v>OBS_JVWS_9C578F9C62074049A49D</x:v>
      </x:c>
      <x:c r="B59" t="str">
        <x:v>72402</x:v>
      </x:c>
      <x:c r="C59" t="str">
        <x:v>Heating, refrigeration and air conditioning mechanics</x:v>
      </x:c>
      <x:c r="D59" t="str">
        <x:v>trade_hvac</x:v>
      </x:c>
      <x:c r="E59" t="str">
        <x:v>Average offered hourly wage</x:v>
      </x:c>
      <x:c r="F59" s="145" t="n">
        <x:v>32.8</x:v>
      </x:c>
      <x:c r="G59" t="str">
        <x:v>Dollars</x:v>
      </x:c>
      <x:c r="H59" s="153" t="n">
        <x:v>45658</x:v>
      </x:c>
      <x:c r="I59" s="153" t="n">
        <x:v>45747</x:v>
      </x:c>
      <x:c r="J59" t="str">
        <x:v>observed</x:v>
      </x:c>
      <x:c r="K59" t="str">
        <x:v>STATCAN_JVWS_14100444</x:v>
      </x:c>
      <x:c r="L59" t="str">
        <x:v>TR_STATCAN_JVWS_AB_NOC_1_0_0</x:v>
      </x:c>
      <x:c r="M59" t="str">
        <x:v>status:B</x:v>
      </x:c>
      <x:c r="N59" t="str">
        <x:v>https://www150.statcan.gc.ca/t1/tbl1/en/tv.action?pid=1410044401</x:v>
      </x:c>
      <x:c r="O59" t="str">
        <x:v>PASS</x:v>
      </x:c>
    </x:row>
    <x:row r="60">
      <x:c r="A60" t="str">
        <x:v>OBS_JVWS_76655AC7BBEB17167C97</x:v>
      </x:c>
      <x:c r="B60" t="str">
        <x:v>72402</x:v>
      </x:c>
      <x:c r="C60" t="str">
        <x:v>Heating, refrigeration and air conditioning mechanics</x:v>
      </x:c>
      <x:c r="D60" t="str">
        <x:v>trade_hvac</x:v>
      </x:c>
      <x:c r="E60" t="str">
        <x:v>Job vacancies</x:v>
      </x:c>
      <x:c r="F60" s="145" t="n">
        <x:v>305</x:v>
      </x:c>
      <x:c r="G60" t="str">
        <x:v>Number</x:v>
      </x:c>
      <x:c r="H60" s="153" t="n">
        <x:v>45658</x:v>
      </x:c>
      <x:c r="I60" s="153" t="n">
        <x:v>45747</x:v>
      </x:c>
      <x:c r="J60" t="str">
        <x:v>observed</x:v>
      </x:c>
      <x:c r="K60" t="str">
        <x:v>STATCAN_JVWS_14100444</x:v>
      </x:c>
      <x:c r="L60" t="str">
        <x:v>TR_STATCAN_JVWS_AB_NOC_1_0_0</x:v>
      </x:c>
      <x:c r="M60" t="str">
        <x:v>status:E</x:v>
      </x:c>
      <x:c r="N60" t="str">
        <x:v>https://www150.statcan.gc.ca/t1/tbl1/en/tv.action?pid=1410044401</x:v>
      </x:c>
      <x:c r="O60" t="str">
        <x:v>PASS</x:v>
      </x:c>
    </x:row>
    <x:row r="61">
      <x:c r="A61" t="str">
        <x:v>OBS_JVWS_70054FBAA32FC9974E9A</x:v>
      </x:c>
      <x:c r="B61" t="str">
        <x:v>72202</x:v>
      </x:c>
      <x:c r="C61" t="str">
        <x:v>Power system electricians</x:v>
      </x:c>
      <x:c r="D61" t="str">
        <x:v>trade_power_line</x:v>
      </x:c>
      <x:c r="E61" t="str">
        <x:v>Average offered hourly wage</x:v>
      </x:c>
      <x:c r="F61" s="145"/>
      <x:c r="G61" t="str">
        <x:v>Dollars</x:v>
      </x:c>
      <x:c r="H61" s="153" t="n">
        <x:v>45658</x:v>
      </x:c>
      <x:c r="I61" s="153" t="n">
        <x:v>45747</x:v>
      </x:c>
      <x:c r="J61" t="str">
        <x:v>observed</x:v>
      </x:c>
      <x:c r="K61" t="str">
        <x:v>STATCAN_JVWS_14100444</x:v>
      </x:c>
      <x:c r="L61" t="str">
        <x:v>TR_STATCAN_JVWS_AB_NOC_1_0_0</x:v>
      </x:c>
      <x:c r="M61" t="str">
        <x:v>status:F|value_missing_or_suppressed</x:v>
      </x:c>
      <x:c r="N61" t="str">
        <x:v>https://www150.statcan.gc.ca/t1/tbl1/en/tv.action?pid=1410044401</x:v>
      </x:c>
      <x:c r="O61" t="str">
        <x:v>PASS</x:v>
      </x:c>
    </x:row>
    <x:row r="62">
      <x:c r="A62" t="str">
        <x:v>OBS_JVWS_0A2942800A478ABB0D73</x:v>
      </x:c>
      <x:c r="B62" t="str">
        <x:v>72202</x:v>
      </x:c>
      <x:c r="C62" t="str">
        <x:v>Power system electricians</x:v>
      </x:c>
      <x:c r="D62" t="str">
        <x:v>trade_power_line</x:v>
      </x:c>
      <x:c r="E62" t="str">
        <x:v>Job vacancies</x:v>
      </x:c>
      <x:c r="F62" s="145"/>
      <x:c r="G62" t="str">
        <x:v>Number</x:v>
      </x:c>
      <x:c r="H62" s="153" t="n">
        <x:v>45658</x:v>
      </x:c>
      <x:c r="I62" s="153" t="n">
        <x:v>45747</x:v>
      </x:c>
      <x:c r="J62" t="str">
        <x:v>observed</x:v>
      </x:c>
      <x:c r="K62" t="str">
        <x:v>STATCAN_JVWS_14100444</x:v>
      </x:c>
      <x:c r="L62" t="str">
        <x:v>TR_STATCAN_JVWS_AB_NOC_1_0_0</x:v>
      </x:c>
      <x:c r="M62" t="str">
        <x:v>status:F|value_missing_or_suppressed</x:v>
      </x:c>
      <x:c r="N62" t="str">
        <x:v>https://www150.statcan.gc.ca/t1/tbl1/en/tv.action?pid=1410044401</x:v>
      </x:c>
      <x:c r="O62" t="str">
        <x:v>PASS</x:v>
      </x:c>
    </x:row>
    <x:row r="63">
      <x:c r="A63" t="str">
        <x:v>OBS_JVWS_4956D64CF77AD1BB3B08</x:v>
      </x:c>
      <x:c r="B63" t="str">
        <x:v>72203</x:v>
      </x:c>
      <x:c r="C63" t="str">
        <x:v>Electrical power line and cable workers</x:v>
      </x:c>
      <x:c r="D63" t="str">
        <x:v>trade_power_line</x:v>
      </x:c>
      <x:c r="E63" t="str">
        <x:v>Average offered hourly wage</x:v>
      </x:c>
      <x:c r="F63" s="145" t="n">
        <x:v>51.85</x:v>
      </x:c>
      <x:c r="G63" t="str">
        <x:v>Dollars</x:v>
      </x:c>
      <x:c r="H63" s="153" t="n">
        <x:v>45658</x:v>
      </x:c>
      <x:c r="I63" s="153" t="n">
        <x:v>45747</x:v>
      </x:c>
      <x:c r="J63" t="str">
        <x:v>observed</x:v>
      </x:c>
      <x:c r="K63" t="str">
        <x:v>STATCAN_JVWS_14100444</x:v>
      </x:c>
      <x:c r="L63" t="str">
        <x:v>TR_STATCAN_JVWS_AB_NOC_1_0_0</x:v>
      </x:c>
      <x:c r="M63" t="str">
        <x:v>status:A</x:v>
      </x:c>
      <x:c r="N63" t="str">
        <x:v>https://www150.statcan.gc.ca/t1/tbl1/en/tv.action?pid=1410044401</x:v>
      </x:c>
      <x:c r="O63" t="str">
        <x:v>PASS</x:v>
      </x:c>
    </x:row>
    <x:row r="64">
      <x:c r="A64" t="str">
        <x:v>OBS_JVWS_8FD3F48237C78A6BA857</x:v>
      </x:c>
      <x:c r="B64" t="str">
        <x:v>72203</x:v>
      </x:c>
      <x:c r="C64" t="str">
        <x:v>Electrical power line and cable workers</x:v>
      </x:c>
      <x:c r="D64" t="str">
        <x:v>trade_power_line</x:v>
      </x:c>
      <x:c r="E64" t="str">
        <x:v>Job vacancies</x:v>
      </x:c>
      <x:c r="F64" s="145"/>
      <x:c r="G64" t="str">
        <x:v>Number</x:v>
      </x:c>
      <x:c r="H64" s="153" t="n">
        <x:v>45658</x:v>
      </x:c>
      <x:c r="I64" s="153" t="n">
        <x:v>45747</x:v>
      </x:c>
      <x:c r="J64" t="str">
        <x:v>observed</x:v>
      </x:c>
      <x:c r="K64" t="str">
        <x:v>STATCAN_JVWS_14100444</x:v>
      </x:c>
      <x:c r="L64" t="str">
        <x:v>TR_STATCAN_JVWS_AB_NOC_1_0_0</x:v>
      </x:c>
      <x:c r="M64" t="str">
        <x:v>status:F|value_missing_or_suppressed</x:v>
      </x:c>
      <x:c r="N64" t="str">
        <x:v>https://www150.statcan.gc.ca/t1/tbl1/en/tv.action?pid=1410044401</x:v>
      </x:c>
      <x:c r="O64" t="str">
        <x:v>PASS</x:v>
      </x:c>
    </x:row>
    <x:row r="65">
      <x:c r="A65" t="str">
        <x:v>OBS_JVWS_44A6632D0F0EA8328001</x:v>
      </x:c>
      <x:c r="B65" t="str">
        <x:v>73100</x:v>
      </x:c>
      <x:c r="C65" t="str">
        <x:v>Concrete finishers</x:v>
      </x:c>
      <x:c r="D65" t="str">
        <x:v>trade_concrete</x:v>
      </x:c>
      <x:c r="E65" t="str">
        <x:v>Average offered hourly wage</x:v>
      </x:c>
      <x:c r="F65" s="145"/>
      <x:c r="G65" t="str">
        <x:v>Dollars</x:v>
      </x:c>
      <x:c r="H65" s="153" t="n">
        <x:v>45566</x:v>
      </x:c>
      <x:c r="I65" s="153" t="n">
        <x:v>45657</x:v>
      </x:c>
      <x:c r="J65" t="str">
        <x:v>observed</x:v>
      </x:c>
      <x:c r="K65" t="str">
        <x:v>STATCAN_JVWS_14100444</x:v>
      </x:c>
      <x:c r="L65" t="str">
        <x:v>TR_STATCAN_JVWS_AB_NOC_1_0_0</x:v>
      </x:c>
      <x:c r="M65" t="str">
        <x:v>status:F|value_missing_or_suppressed</x:v>
      </x:c>
      <x:c r="N65" t="str">
        <x:v>https://www150.statcan.gc.ca/t1/tbl1/en/tv.action?pid=1410044401</x:v>
      </x:c>
      <x:c r="O65" t="str">
        <x:v>PASS</x:v>
      </x:c>
    </x:row>
    <x:row r="66">
      <x:c r="A66" t="str">
        <x:v>OBS_JVWS_871128F46C13E6BE7F36</x:v>
      </x:c>
      <x:c r="B66" t="str">
        <x:v>73100</x:v>
      </x:c>
      <x:c r="C66" t="str">
        <x:v>Concrete finishers</x:v>
      </x:c>
      <x:c r="D66" t="str">
        <x:v>trade_concrete</x:v>
      </x:c>
      <x:c r="E66" t="str">
        <x:v>Job vacancies</x:v>
      </x:c>
      <x:c r="F66" s="145"/>
      <x:c r="G66" t="str">
        <x:v>Number</x:v>
      </x:c>
      <x:c r="H66" s="153" t="n">
        <x:v>45566</x:v>
      </x:c>
      <x:c r="I66" s="153" t="n">
        <x:v>45657</x:v>
      </x:c>
      <x:c r="J66" t="str">
        <x:v>observed</x:v>
      </x:c>
      <x:c r="K66" t="str">
        <x:v>STATCAN_JVWS_14100444</x:v>
      </x:c>
      <x:c r="L66" t="str">
        <x:v>TR_STATCAN_JVWS_AB_NOC_1_0_0</x:v>
      </x:c>
      <x:c r="M66" t="str">
        <x:v>status:F|value_missing_or_suppressed</x:v>
      </x:c>
      <x:c r="N66" t="str">
        <x:v>https://www150.statcan.gc.ca/t1/tbl1/en/tv.action?pid=1410044401</x:v>
      </x:c>
      <x:c r="O66" t="str">
        <x:v>PASS</x:v>
      </x:c>
    </x:row>
    <x:row r="67">
      <x:c r="A67" t="str">
        <x:v>OBS_JVWS_2BDA922079A06C9895F9</x:v>
      </x:c>
      <x:c r="B67" t="str">
        <x:v>72200</x:v>
      </x:c>
      <x:c r="C67" t="str">
        <x:v>Electricians (except industrial and power system)</x:v>
      </x:c>
      <x:c r="D67" t="str">
        <x:v>trade_electricians</x:v>
      </x:c>
      <x:c r="E67" t="str">
        <x:v>Average offered hourly wage</x:v>
      </x:c>
      <x:c r="F67" s="145" t="n">
        <x:v>31</x:v>
      </x:c>
      <x:c r="G67" t="str">
        <x:v>Dollars</x:v>
      </x:c>
      <x:c r="H67" s="153" t="n">
        <x:v>45566</x:v>
      </x:c>
      <x:c r="I67" s="153" t="n">
        <x:v>45657</x:v>
      </x:c>
      <x:c r="J67" t="str">
        <x:v>observed</x:v>
      </x:c>
      <x:c r="K67" t="str">
        <x:v>STATCAN_JVWS_14100444</x:v>
      </x:c>
      <x:c r="L67" t="str">
        <x:v>TR_STATCAN_JVWS_AB_NOC_1_0_0</x:v>
      </x:c>
      <x:c r="M67" t="str">
        <x:v>status:B</x:v>
      </x:c>
      <x:c r="N67" t="str">
        <x:v>https://www150.statcan.gc.ca/t1/tbl1/en/tv.action?pid=1410044401</x:v>
      </x:c>
      <x:c r="O67" t="str">
        <x:v>PASS</x:v>
      </x:c>
    </x:row>
    <x:row r="68">
      <x:c r="A68" t="str">
        <x:v>OBS_JVWS_FC4A6D3D87D6ADB8BFFD</x:v>
      </x:c>
      <x:c r="B68" t="str">
        <x:v>72200</x:v>
      </x:c>
      <x:c r="C68" t="str">
        <x:v>Electricians (except industrial and power system)</x:v>
      </x:c>
      <x:c r="D68" t="str">
        <x:v>trade_electricians</x:v>
      </x:c>
      <x:c r="E68" t="str">
        <x:v>Job vacancies</x:v>
      </x:c>
      <x:c r="F68" s="145" t="n">
        <x:v>540</x:v>
      </x:c>
      <x:c r="G68" t="str">
        <x:v>Number</x:v>
      </x:c>
      <x:c r="H68" s="153" t="n">
        <x:v>45566</x:v>
      </x:c>
      <x:c r="I68" s="153" t="n">
        <x:v>45657</x:v>
      </x:c>
      <x:c r="J68" t="str">
        <x:v>observed</x:v>
      </x:c>
      <x:c r="K68" t="str">
        <x:v>STATCAN_JVWS_14100444</x:v>
      </x:c>
      <x:c r="L68" t="str">
        <x:v>TR_STATCAN_JVWS_AB_NOC_1_0_0</x:v>
      </x:c>
      <x:c r="M68" t="str">
        <x:v>status:D</x:v>
      </x:c>
      <x:c r="N68" t="str">
        <x:v>https://www150.statcan.gc.ca/t1/tbl1/en/tv.action?pid=1410044401</x:v>
      </x:c>
      <x:c r="O68" t="str">
        <x:v>PASS</x:v>
      </x:c>
    </x:row>
    <x:row r="69">
      <x:c r="A69" t="str">
        <x:v>OBS_JVWS_58C91D810EC04D379DB5</x:v>
      </x:c>
      <x:c r="B69" t="str">
        <x:v>72201</x:v>
      </x:c>
      <x:c r="C69" t="str">
        <x:v>Industrial electricians</x:v>
      </x:c>
      <x:c r="D69" t="str">
        <x:v>trade_electricians</x:v>
      </x:c>
      <x:c r="E69" t="str">
        <x:v>Average offered hourly wage</x:v>
      </x:c>
      <x:c r="F69" s="145" t="n">
        <x:v>40.95</x:v>
      </x:c>
      <x:c r="G69" t="str">
        <x:v>Dollars</x:v>
      </x:c>
      <x:c r="H69" s="153" t="n">
        <x:v>45566</x:v>
      </x:c>
      <x:c r="I69" s="153" t="n">
        <x:v>45657</x:v>
      </x:c>
      <x:c r="J69" t="str">
        <x:v>observed</x:v>
      </x:c>
      <x:c r="K69" t="str">
        <x:v>STATCAN_JVWS_14100444</x:v>
      </x:c>
      <x:c r="L69" t="str">
        <x:v>TR_STATCAN_JVWS_AB_NOC_1_0_0</x:v>
      </x:c>
      <x:c r="M69" t="str">
        <x:v>status:A</x:v>
      </x:c>
      <x:c r="N69" t="str">
        <x:v>https://www150.statcan.gc.ca/t1/tbl1/en/tv.action?pid=1410044401</x:v>
      </x:c>
      <x:c r="O69" t="str">
        <x:v>PASS</x:v>
      </x:c>
    </x:row>
    <x:row r="70">
      <x:c r="A70" t="str">
        <x:v>OBS_JVWS_8A9DF5C55AA03DC85C7F</x:v>
      </x:c>
      <x:c r="B70" t="str">
        <x:v>72201</x:v>
      </x:c>
      <x:c r="C70" t="str">
        <x:v>Industrial electricians</x:v>
      </x:c>
      <x:c r="D70" t="str">
        <x:v>trade_electricians</x:v>
      </x:c>
      <x:c r="E70" t="str">
        <x:v>Job vacancies</x:v>
      </x:c>
      <x:c r="F70" s="145" t="n">
        <x:v>105</x:v>
      </x:c>
      <x:c r="G70" t="str">
        <x:v>Number</x:v>
      </x:c>
      <x:c r="H70" s="153" t="n">
        <x:v>45566</x:v>
      </x:c>
      <x:c r="I70" s="153" t="n">
        <x:v>45657</x:v>
      </x:c>
      <x:c r="J70" t="str">
        <x:v>observed</x:v>
      </x:c>
      <x:c r="K70" t="str">
        <x:v>STATCAN_JVWS_14100444</x:v>
      </x:c>
      <x:c r="L70" t="str">
        <x:v>TR_STATCAN_JVWS_AB_NOC_1_0_0</x:v>
      </x:c>
      <x:c r="M70" t="str">
        <x:v>status:D</x:v>
      </x:c>
      <x:c r="N70" t="str">
        <x:v>https://www150.statcan.gc.ca/t1/tbl1/en/tv.action?pid=1410044401</x:v>
      </x:c>
      <x:c r="O70" t="str">
        <x:v>PASS</x:v>
      </x:c>
    </x:row>
    <x:row r="71">
      <x:c r="A71" t="str">
        <x:v>OBS_JVWS_F5901D9CCBE8CA908E76</x:v>
      </x:c>
      <x:c r="B71" t="str">
        <x:v>72402</x:v>
      </x:c>
      <x:c r="C71" t="str">
        <x:v>Heating, refrigeration and air conditioning mechanics</x:v>
      </x:c>
      <x:c r="D71" t="str">
        <x:v>trade_hvac</x:v>
      </x:c>
      <x:c r="E71" t="str">
        <x:v>Average offered hourly wage</x:v>
      </x:c>
      <x:c r="F71" s="145" t="n">
        <x:v>34.25</x:v>
      </x:c>
      <x:c r="G71" t="str">
        <x:v>Dollars</x:v>
      </x:c>
      <x:c r="H71" s="153" t="n">
        <x:v>45566</x:v>
      </x:c>
      <x:c r="I71" s="153" t="n">
        <x:v>45657</x:v>
      </x:c>
      <x:c r="J71" t="str">
        <x:v>observed</x:v>
      </x:c>
      <x:c r="K71" t="str">
        <x:v>STATCAN_JVWS_14100444</x:v>
      </x:c>
      <x:c r="L71" t="str">
        <x:v>TR_STATCAN_JVWS_AB_NOC_1_0_0</x:v>
      </x:c>
      <x:c r="M71" t="str">
        <x:v>status:B</x:v>
      </x:c>
      <x:c r="N71" t="str">
        <x:v>https://www150.statcan.gc.ca/t1/tbl1/en/tv.action?pid=1410044401</x:v>
      </x:c>
      <x:c r="O71" t="str">
        <x:v>PASS</x:v>
      </x:c>
    </x:row>
    <x:row r="72">
      <x:c r="A72" t="str">
        <x:v>OBS_JVWS_A374F3B760E3D5E59F36</x:v>
      </x:c>
      <x:c r="B72" t="str">
        <x:v>72402</x:v>
      </x:c>
      <x:c r="C72" t="str">
        <x:v>Heating, refrigeration and air conditioning mechanics</x:v>
      </x:c>
      <x:c r="D72" t="str">
        <x:v>trade_hvac</x:v>
      </x:c>
      <x:c r="E72" t="str">
        <x:v>Job vacancies</x:v>
      </x:c>
      <x:c r="F72" s="145" t="n">
        <x:v>290</x:v>
      </x:c>
      <x:c r="G72" t="str">
        <x:v>Number</x:v>
      </x:c>
      <x:c r="H72" s="153" t="n">
        <x:v>45566</x:v>
      </x:c>
      <x:c r="I72" s="153" t="n">
        <x:v>45657</x:v>
      </x:c>
      <x:c r="J72" t="str">
        <x:v>observed</x:v>
      </x:c>
      <x:c r="K72" t="str">
        <x:v>STATCAN_JVWS_14100444</x:v>
      </x:c>
      <x:c r="L72" t="str">
        <x:v>TR_STATCAN_JVWS_AB_NOC_1_0_0</x:v>
      </x:c>
      <x:c r="M72" t="str">
        <x:v>status:E</x:v>
      </x:c>
      <x:c r="N72" t="str">
        <x:v>https://www150.statcan.gc.ca/t1/tbl1/en/tv.action?pid=1410044401</x:v>
      </x:c>
      <x:c r="O72" t="str">
        <x:v>PASS</x:v>
      </x:c>
    </x:row>
    <x:row r="73">
      <x:c r="A73" t="str">
        <x:v>OBS_JVWS_FB050EB3C5BB105A2300</x:v>
      </x:c>
      <x:c r="B73" t="str">
        <x:v>72202</x:v>
      </x:c>
      <x:c r="C73" t="str">
        <x:v>Power system electricians</x:v>
      </x:c>
      <x:c r="D73" t="str">
        <x:v>trade_power_line</x:v>
      </x:c>
      <x:c r="E73" t="str">
        <x:v>Average offered hourly wage</x:v>
      </x:c>
      <x:c r="F73" s="145"/>
      <x:c r="G73" t="str">
        <x:v>Dollars</x:v>
      </x:c>
      <x:c r="H73" s="153" t="n">
        <x:v>45566</x:v>
      </x:c>
      <x:c r="I73" s="153" t="n">
        <x:v>45657</x:v>
      </x:c>
      <x:c r="J73" t="str">
        <x:v>observed</x:v>
      </x:c>
      <x:c r="K73" t="str">
        <x:v>STATCAN_JVWS_14100444</x:v>
      </x:c>
      <x:c r="L73" t="str">
        <x:v>TR_STATCAN_JVWS_AB_NOC_1_0_0</x:v>
      </x:c>
      <x:c r="M73" t="str">
        <x:v>status:F|value_missing_or_suppressed</x:v>
      </x:c>
      <x:c r="N73" t="str">
        <x:v>https://www150.statcan.gc.ca/t1/tbl1/en/tv.action?pid=1410044401</x:v>
      </x:c>
      <x:c r="O73" t="str">
        <x:v>PASS</x:v>
      </x:c>
    </x:row>
    <x:row r="74">
      <x:c r="A74" t="str">
        <x:v>OBS_JVWS_64A1C87048B92B2F0DB4</x:v>
      </x:c>
      <x:c r="B74" t="str">
        <x:v>72202</x:v>
      </x:c>
      <x:c r="C74" t="str">
        <x:v>Power system electricians</x:v>
      </x:c>
      <x:c r="D74" t="str">
        <x:v>trade_power_line</x:v>
      </x:c>
      <x:c r="E74" t="str">
        <x:v>Job vacancies</x:v>
      </x:c>
      <x:c r="F74" s="145"/>
      <x:c r="G74" t="str">
        <x:v>Number</x:v>
      </x:c>
      <x:c r="H74" s="153" t="n">
        <x:v>45566</x:v>
      </x:c>
      <x:c r="I74" s="153" t="n">
        <x:v>45657</x:v>
      </x:c>
      <x:c r="J74" t="str">
        <x:v>observed</x:v>
      </x:c>
      <x:c r="K74" t="str">
        <x:v>STATCAN_JVWS_14100444</x:v>
      </x:c>
      <x:c r="L74" t="str">
        <x:v>TR_STATCAN_JVWS_AB_NOC_1_0_0</x:v>
      </x:c>
      <x:c r="M74" t="str">
        <x:v>status:F|value_missing_or_suppressed</x:v>
      </x:c>
      <x:c r="N74" t="str">
        <x:v>https://www150.statcan.gc.ca/t1/tbl1/en/tv.action?pid=1410044401</x:v>
      </x:c>
      <x:c r="O74" t="str">
        <x:v>PASS</x:v>
      </x:c>
    </x:row>
    <x:row r="75">
      <x:c r="A75" t="str">
        <x:v>OBS_JVWS_D29A18767924AEA74B5B</x:v>
      </x:c>
      <x:c r="B75" t="str">
        <x:v>72203</x:v>
      </x:c>
      <x:c r="C75" t="str">
        <x:v>Electrical power line and cable workers</x:v>
      </x:c>
      <x:c r="D75" t="str">
        <x:v>trade_power_line</x:v>
      </x:c>
      <x:c r="E75" t="str">
        <x:v>Average offered hourly wage</x:v>
      </x:c>
      <x:c r="F75" s="145" t="n">
        <x:v>46.6</x:v>
      </x:c>
      <x:c r="G75" t="str">
        <x:v>Dollars</x:v>
      </x:c>
      <x:c r="H75" s="153" t="n">
        <x:v>45566</x:v>
      </x:c>
      <x:c r="I75" s="153" t="n">
        <x:v>45657</x:v>
      </x:c>
      <x:c r="J75" t="str">
        <x:v>observed</x:v>
      </x:c>
      <x:c r="K75" t="str">
        <x:v>STATCAN_JVWS_14100444</x:v>
      </x:c>
      <x:c r="L75" t="str">
        <x:v>TR_STATCAN_JVWS_AB_NOC_1_0_0</x:v>
      </x:c>
      <x:c r="M75" t="str">
        <x:v>status:E</x:v>
      </x:c>
      <x:c r="N75" t="str">
        <x:v>https://www150.statcan.gc.ca/t1/tbl1/en/tv.action?pid=1410044401</x:v>
      </x:c>
      <x:c r="O75" t="str">
        <x:v>PASS</x:v>
      </x:c>
    </x:row>
    <x:row r="76">
      <x:c r="A76" t="str">
        <x:v>OBS_JVWS_3DFBDDE7CB14069B35B7</x:v>
      </x:c>
      <x:c r="B76" t="str">
        <x:v>72203</x:v>
      </x:c>
      <x:c r="C76" t="str">
        <x:v>Electrical power line and cable workers</x:v>
      </x:c>
      <x:c r="D76" t="str">
        <x:v>trade_power_line</x:v>
      </x:c>
      <x:c r="E76" t="str">
        <x:v>Job vacancies</x:v>
      </x:c>
      <x:c r="F76" s="145" t="n">
        <x:v>15</x:v>
      </x:c>
      <x:c r="G76" t="str">
        <x:v>Number</x:v>
      </x:c>
      <x:c r="H76" s="153" t="n">
        <x:v>45566</x:v>
      </x:c>
      <x:c r="I76" s="153" t="n">
        <x:v>45657</x:v>
      </x:c>
      <x:c r="J76" t="str">
        <x:v>observed</x:v>
      </x:c>
      <x:c r="K76" t="str">
        <x:v>STATCAN_JVWS_14100444</x:v>
      </x:c>
      <x:c r="L76" t="str">
        <x:v>TR_STATCAN_JVWS_AB_NOC_1_0_0</x:v>
      </x:c>
      <x:c r="M76" t="str">
        <x:v>status:E</x:v>
      </x:c>
      <x:c r="N76" t="str">
        <x:v>https://www150.statcan.gc.ca/t1/tbl1/en/tv.action?pid=1410044401</x:v>
      </x:c>
      <x:c r="O76" t="str">
        <x:v>PASS</x:v>
      </x:c>
    </x:row>
    <x:row r="77">
      <x:c r="A77" t="str">
        <x:v>OBS_JVWS_EE2E6594991A63140FDB</x:v>
      </x:c>
      <x:c r="B77" t="str">
        <x:v>73100</x:v>
      </x:c>
      <x:c r="C77" t="str">
        <x:v>Concrete finishers</x:v>
      </x:c>
      <x:c r="D77" t="str">
        <x:v>trade_concrete</x:v>
      </x:c>
      <x:c r="E77" t="str">
        <x:v>Average offered hourly wage</x:v>
      </x:c>
      <x:c r="F77" s="145" t="n">
        <x:v>29.55</x:v>
      </x:c>
      <x:c r="G77" t="str">
        <x:v>Dollars</x:v>
      </x:c>
      <x:c r="H77" s="153" t="n">
        <x:v>45474</x:v>
      </x:c>
      <x:c r="I77" s="153" t="n">
        <x:v>45565</x:v>
      </x:c>
      <x:c r="J77" t="str">
        <x:v>observed</x:v>
      </x:c>
      <x:c r="K77" t="str">
        <x:v>STATCAN_JVWS_14100444</x:v>
      </x:c>
      <x:c r="L77" t="str">
        <x:v>TR_STATCAN_JVWS_AB_NOC_1_0_0</x:v>
      </x:c>
      <x:c r="M77" t="str">
        <x:v>status:B</x:v>
      </x:c>
      <x:c r="N77" t="str">
        <x:v>https://www150.statcan.gc.ca/t1/tbl1/en/tv.action?pid=1410044401</x:v>
      </x:c>
      <x:c r="O77" t="str">
        <x:v>PASS</x:v>
      </x:c>
    </x:row>
    <x:row r="78">
      <x:c r="A78" t="str">
        <x:v>OBS_JVWS_BBF22E371E2F8AE0C933</x:v>
      </x:c>
      <x:c r="B78" t="str">
        <x:v>73100</x:v>
      </x:c>
      <x:c r="C78" t="str">
        <x:v>Concrete finishers</x:v>
      </x:c>
      <x:c r="D78" t="str">
        <x:v>trade_concrete</x:v>
      </x:c>
      <x:c r="E78" t="str">
        <x:v>Job vacancies</x:v>
      </x:c>
      <x:c r="F78" s="145"/>
      <x:c r="G78" t="str">
        <x:v>Number</x:v>
      </x:c>
      <x:c r="H78" s="153" t="n">
        <x:v>45474</x:v>
      </x:c>
      <x:c r="I78" s="153" t="n">
        <x:v>45565</x:v>
      </x:c>
      <x:c r="J78" t="str">
        <x:v>observed</x:v>
      </x:c>
      <x:c r="K78" t="str">
        <x:v>STATCAN_JVWS_14100444</x:v>
      </x:c>
      <x:c r="L78" t="str">
        <x:v>TR_STATCAN_JVWS_AB_NOC_1_0_0</x:v>
      </x:c>
      <x:c r="M78" t="str">
        <x:v>status:F|value_missing_or_suppressed</x:v>
      </x:c>
      <x:c r="N78" t="str">
        <x:v>https://www150.statcan.gc.ca/t1/tbl1/en/tv.action?pid=1410044401</x:v>
      </x:c>
      <x:c r="O78" t="str">
        <x:v>PASS</x:v>
      </x:c>
    </x:row>
    <x:row r="79">
      <x:c r="A79" t="str">
        <x:v>OBS_JVWS_3E403A8301683EA17DA4</x:v>
      </x:c>
      <x:c r="B79" t="str">
        <x:v>72200</x:v>
      </x:c>
      <x:c r="C79" t="str">
        <x:v>Electricians (except industrial and power system)</x:v>
      </x:c>
      <x:c r="D79" t="str">
        <x:v>trade_electricians</x:v>
      </x:c>
      <x:c r="E79" t="str">
        <x:v>Average offered hourly wage</x:v>
      </x:c>
      <x:c r="F79" s="145" t="n">
        <x:v>32.7</x:v>
      </x:c>
      <x:c r="G79" t="str">
        <x:v>Dollars</x:v>
      </x:c>
      <x:c r="H79" s="153" t="n">
        <x:v>45474</x:v>
      </x:c>
      <x:c r="I79" s="153" t="n">
        <x:v>45565</x:v>
      </x:c>
      <x:c r="J79" t="str">
        <x:v>observed</x:v>
      </x:c>
      <x:c r="K79" t="str">
        <x:v>STATCAN_JVWS_14100444</x:v>
      </x:c>
      <x:c r="L79" t="str">
        <x:v>TR_STATCAN_JVWS_AB_NOC_1_0_0</x:v>
      </x:c>
      <x:c r="M79" t="str">
        <x:v>status:B</x:v>
      </x:c>
      <x:c r="N79" t="str">
        <x:v>https://www150.statcan.gc.ca/t1/tbl1/en/tv.action?pid=1410044401</x:v>
      </x:c>
      <x:c r="O79" t="str">
        <x:v>PASS</x:v>
      </x:c>
    </x:row>
    <x:row r="80">
      <x:c r="A80" t="str">
        <x:v>OBS_JVWS_B396F3545D09ED163063</x:v>
      </x:c>
      <x:c r="B80" t="str">
        <x:v>72200</x:v>
      </x:c>
      <x:c r="C80" t="str">
        <x:v>Electricians (except industrial and power system)</x:v>
      </x:c>
      <x:c r="D80" t="str">
        <x:v>trade_electricians</x:v>
      </x:c>
      <x:c r="E80" t="str">
        <x:v>Job vacancies</x:v>
      </x:c>
      <x:c r="F80" s="145" t="n">
        <x:v>725</x:v>
      </x:c>
      <x:c r="G80" t="str">
        <x:v>Number</x:v>
      </x:c>
      <x:c r="H80" s="153" t="n">
        <x:v>45474</x:v>
      </x:c>
      <x:c r="I80" s="153" t="n">
        <x:v>45565</x:v>
      </x:c>
      <x:c r="J80" t="str">
        <x:v>observed</x:v>
      </x:c>
      <x:c r="K80" t="str">
        <x:v>STATCAN_JVWS_14100444</x:v>
      </x:c>
      <x:c r="L80" t="str">
        <x:v>TR_STATCAN_JVWS_AB_NOC_1_0_0</x:v>
      </x:c>
      <x:c r="M80" t="str">
        <x:v>status:E</x:v>
      </x:c>
      <x:c r="N80" t="str">
        <x:v>https://www150.statcan.gc.ca/t1/tbl1/en/tv.action?pid=1410044401</x:v>
      </x:c>
      <x:c r="O80" t="str">
        <x:v>PASS</x:v>
      </x:c>
    </x:row>
    <x:row r="81">
      <x:c r="A81" t="str">
        <x:v>OBS_JVWS_CAC40519C8B8E743B5E3</x:v>
      </x:c>
      <x:c r="B81" t="str">
        <x:v>72201</x:v>
      </x:c>
      <x:c r="C81" t="str">
        <x:v>Industrial electricians</x:v>
      </x:c>
      <x:c r="D81" t="str">
        <x:v>trade_electricians</x:v>
      </x:c>
      <x:c r="E81" t="str">
        <x:v>Average offered hourly wage</x:v>
      </x:c>
      <x:c r="F81" s="145" t="n">
        <x:v>40.7</x:v>
      </x:c>
      <x:c r="G81" t="str">
        <x:v>Dollars</x:v>
      </x:c>
      <x:c r="H81" s="153" t="n">
        <x:v>45474</x:v>
      </x:c>
      <x:c r="I81" s="153" t="n">
        <x:v>45565</x:v>
      </x:c>
      <x:c r="J81" t="str">
        <x:v>observed</x:v>
      </x:c>
      <x:c r="K81" t="str">
        <x:v>STATCAN_JVWS_14100444</x:v>
      </x:c>
      <x:c r="L81" t="str">
        <x:v>TR_STATCAN_JVWS_AB_NOC_1_0_0</x:v>
      </x:c>
      <x:c r="M81" t="str">
        <x:v>status:A</x:v>
      </x:c>
      <x:c r="N81" t="str">
        <x:v>https://www150.statcan.gc.ca/t1/tbl1/en/tv.action?pid=1410044401</x:v>
      </x:c>
      <x:c r="O81" t="str">
        <x:v>PASS</x:v>
      </x:c>
    </x:row>
    <x:row r="82">
      <x:c r="A82" t="str">
        <x:v>OBS_JVWS_5C0FF3D98041151ACD56</x:v>
      </x:c>
      <x:c r="B82" t="str">
        <x:v>72201</x:v>
      </x:c>
      <x:c r="C82" t="str">
        <x:v>Industrial electricians</x:v>
      </x:c>
      <x:c r="D82" t="str">
        <x:v>trade_electricians</x:v>
      </x:c>
      <x:c r="E82" t="str">
        <x:v>Job vacancies</x:v>
      </x:c>
      <x:c r="F82" s="145" t="n">
        <x:v>95</x:v>
      </x:c>
      <x:c r="G82" t="str">
        <x:v>Number</x:v>
      </x:c>
      <x:c r="H82" s="153" t="n">
        <x:v>45474</x:v>
      </x:c>
      <x:c r="I82" s="153" t="n">
        <x:v>45565</x:v>
      </x:c>
      <x:c r="J82" t="str">
        <x:v>observed</x:v>
      </x:c>
      <x:c r="K82" t="str">
        <x:v>STATCAN_JVWS_14100444</x:v>
      </x:c>
      <x:c r="L82" t="str">
        <x:v>TR_STATCAN_JVWS_AB_NOC_1_0_0</x:v>
      </x:c>
      <x:c r="M82" t="str">
        <x:v>status:D</x:v>
      </x:c>
      <x:c r="N82" t="str">
        <x:v>https://www150.statcan.gc.ca/t1/tbl1/en/tv.action?pid=1410044401</x:v>
      </x:c>
      <x:c r="O82" t="str">
        <x:v>PASS</x:v>
      </x:c>
    </x:row>
    <x:row r="83">
      <x:c r="A83" t="str">
        <x:v>OBS_JVWS_D4AE448C30EAF427E8A9</x:v>
      </x:c>
      <x:c r="B83" t="str">
        <x:v>72402</x:v>
      </x:c>
      <x:c r="C83" t="str">
        <x:v>Heating, refrigeration and air conditioning mechanics</x:v>
      </x:c>
      <x:c r="D83" t="str">
        <x:v>trade_hvac</x:v>
      </x:c>
      <x:c r="E83" t="str">
        <x:v>Average offered hourly wage</x:v>
      </x:c>
      <x:c r="F83" s="145" t="n">
        <x:v>35.85</x:v>
      </x:c>
      <x:c r="G83" t="str">
        <x:v>Dollars</x:v>
      </x:c>
      <x:c r="H83" s="153" t="n">
        <x:v>45474</x:v>
      </x:c>
      <x:c r="I83" s="153" t="n">
        <x:v>45565</x:v>
      </x:c>
      <x:c r="J83" t="str">
        <x:v>observed</x:v>
      </x:c>
      <x:c r="K83" t="str">
        <x:v>STATCAN_JVWS_14100444</x:v>
      </x:c>
      <x:c r="L83" t="str">
        <x:v>TR_STATCAN_JVWS_AB_NOC_1_0_0</x:v>
      </x:c>
      <x:c r="M83" t="str">
        <x:v>status:B</x:v>
      </x:c>
      <x:c r="N83" t="str">
        <x:v>https://www150.statcan.gc.ca/t1/tbl1/en/tv.action?pid=1410044401</x:v>
      </x:c>
      <x:c r="O83" t="str">
        <x:v>PASS</x:v>
      </x:c>
    </x:row>
    <x:row r="84">
      <x:c r="A84" t="str">
        <x:v>OBS_JVWS_B078C8A5547E14B499F8</x:v>
      </x:c>
      <x:c r="B84" t="str">
        <x:v>72402</x:v>
      </x:c>
      <x:c r="C84" t="str">
        <x:v>Heating, refrigeration and air conditioning mechanics</x:v>
      </x:c>
      <x:c r="D84" t="str">
        <x:v>trade_hvac</x:v>
      </x:c>
      <x:c r="E84" t="str">
        <x:v>Job vacancies</x:v>
      </x:c>
      <x:c r="F84" s="145"/>
      <x:c r="G84" t="str">
        <x:v>Number</x:v>
      </x:c>
      <x:c r="H84" s="153" t="n">
        <x:v>45474</x:v>
      </x:c>
      <x:c r="I84" s="153" t="n">
        <x:v>45565</x:v>
      </x:c>
      <x:c r="J84" t="str">
        <x:v>observed</x:v>
      </x:c>
      <x:c r="K84" t="str">
        <x:v>STATCAN_JVWS_14100444</x:v>
      </x:c>
      <x:c r="L84" t="str">
        <x:v>TR_STATCAN_JVWS_AB_NOC_1_0_0</x:v>
      </x:c>
      <x:c r="M84" t="str">
        <x:v>status:F|value_missing_or_suppressed</x:v>
      </x:c>
      <x:c r="N84" t="str">
        <x:v>https://www150.statcan.gc.ca/t1/tbl1/en/tv.action?pid=1410044401</x:v>
      </x:c>
      <x:c r="O84" t="str">
        <x:v>PASS</x:v>
      </x:c>
    </x:row>
    <x:row r="85">
      <x:c r="A85" t="str">
        <x:v>OBS_JVWS_6489C835675BE478F106</x:v>
      </x:c>
      <x:c r="B85" t="str">
        <x:v>72202</x:v>
      </x:c>
      <x:c r="C85" t="str">
        <x:v>Power system electricians</x:v>
      </x:c>
      <x:c r="D85" t="str">
        <x:v>trade_power_line</x:v>
      </x:c>
      <x:c r="E85" t="str">
        <x:v>Average offered hourly wage</x:v>
      </x:c>
      <x:c r="F85" s="145"/>
      <x:c r="G85" t="str">
        <x:v>Dollars</x:v>
      </x:c>
      <x:c r="H85" s="153" t="n">
        <x:v>45474</x:v>
      </x:c>
      <x:c r="I85" s="153" t="n">
        <x:v>45565</x:v>
      </x:c>
      <x:c r="J85" t="str">
        <x:v>observed</x:v>
      </x:c>
      <x:c r="K85" t="str">
        <x:v>STATCAN_JVWS_14100444</x:v>
      </x:c>
      <x:c r="L85" t="str">
        <x:v>TR_STATCAN_JVWS_AB_NOC_1_0_0</x:v>
      </x:c>
      <x:c r="M85" t="str">
        <x:v>status:F|value_missing_or_suppressed</x:v>
      </x:c>
      <x:c r="N85" t="str">
        <x:v>https://www150.statcan.gc.ca/t1/tbl1/en/tv.action?pid=1410044401</x:v>
      </x:c>
      <x:c r="O85" t="str">
        <x:v>PASS</x:v>
      </x:c>
    </x:row>
    <x:row r="86">
      <x:c r="A86" t="str">
        <x:v>OBS_JVWS_C49E7DEFCF6573396EF0</x:v>
      </x:c>
      <x:c r="B86" t="str">
        <x:v>72202</x:v>
      </x:c>
      <x:c r="C86" t="str">
        <x:v>Power system electricians</x:v>
      </x:c>
      <x:c r="D86" t="str">
        <x:v>trade_power_line</x:v>
      </x:c>
      <x:c r="E86" t="str">
        <x:v>Job vacancies</x:v>
      </x:c>
      <x:c r="F86" s="145"/>
      <x:c r="G86" t="str">
        <x:v>Number</x:v>
      </x:c>
      <x:c r="H86" s="153" t="n">
        <x:v>45474</x:v>
      </x:c>
      <x:c r="I86" s="153" t="n">
        <x:v>45565</x:v>
      </x:c>
      <x:c r="J86" t="str">
        <x:v>observed</x:v>
      </x:c>
      <x:c r="K86" t="str">
        <x:v>STATCAN_JVWS_14100444</x:v>
      </x:c>
      <x:c r="L86" t="str">
        <x:v>TR_STATCAN_JVWS_AB_NOC_1_0_0</x:v>
      </x:c>
      <x:c r="M86" t="str">
        <x:v>status:F|value_missing_or_suppressed</x:v>
      </x:c>
      <x:c r="N86" t="str">
        <x:v>https://www150.statcan.gc.ca/t1/tbl1/en/tv.action?pid=1410044401</x:v>
      </x:c>
      <x:c r="O86" t="str">
        <x:v>PASS</x:v>
      </x:c>
    </x:row>
    <x:row r="87">
      <x:c r="A87" t="str">
        <x:v>OBS_JVWS_D30126077801A082284C</x:v>
      </x:c>
      <x:c r="B87" t="str">
        <x:v>72203</x:v>
      </x:c>
      <x:c r="C87" t="str">
        <x:v>Electrical power line and cable workers</x:v>
      </x:c>
      <x:c r="D87" t="str">
        <x:v>trade_power_line</x:v>
      </x:c>
      <x:c r="E87" t="str">
        <x:v>Average offered hourly wage</x:v>
      </x:c>
      <x:c r="F87" s="145" t="n">
        <x:v>53.6</x:v>
      </x:c>
      <x:c r="G87" t="str">
        <x:v>Dollars</x:v>
      </x:c>
      <x:c r="H87" s="153" t="n">
        <x:v>45474</x:v>
      </x:c>
      <x:c r="I87" s="153" t="n">
        <x:v>45565</x:v>
      </x:c>
      <x:c r="J87" t="str">
        <x:v>observed</x:v>
      </x:c>
      <x:c r="K87" t="str">
        <x:v>STATCAN_JVWS_14100444</x:v>
      </x:c>
      <x:c r="L87" t="str">
        <x:v>TR_STATCAN_JVWS_AB_NOC_1_0_0</x:v>
      </x:c>
      <x:c r="M87" t="str">
        <x:v>status:C</x:v>
      </x:c>
      <x:c r="N87" t="str">
        <x:v>https://www150.statcan.gc.ca/t1/tbl1/en/tv.action?pid=1410044401</x:v>
      </x:c>
      <x:c r="O87" t="str">
        <x:v>PASS</x:v>
      </x:c>
    </x:row>
    <x:row r="88">
      <x:c r="A88" t="str">
        <x:v>OBS_JVWS_28685D1584F0ACF30C38</x:v>
      </x:c>
      <x:c r="B88" t="str">
        <x:v>72203</x:v>
      </x:c>
      <x:c r="C88" t="str">
        <x:v>Electrical power line and cable workers</x:v>
      </x:c>
      <x:c r="D88" t="str">
        <x:v>trade_power_line</x:v>
      </x:c>
      <x:c r="E88" t="str">
        <x:v>Job vacancies</x:v>
      </x:c>
      <x:c r="F88" s="145"/>
      <x:c r="G88" t="str">
        <x:v>Number</x:v>
      </x:c>
      <x:c r="H88" s="153" t="n">
        <x:v>45474</x:v>
      </x:c>
      <x:c r="I88" s="153" t="n">
        <x:v>45565</x:v>
      </x:c>
      <x:c r="J88" t="str">
        <x:v>observed</x:v>
      </x:c>
      <x:c r="K88" t="str">
        <x:v>STATCAN_JVWS_14100444</x:v>
      </x:c>
      <x:c r="L88" t="str">
        <x:v>TR_STATCAN_JVWS_AB_NOC_1_0_0</x:v>
      </x:c>
      <x:c r="M88" t="str">
        <x:v>status:F|value_missing_or_suppressed</x:v>
      </x:c>
      <x:c r="N88" t="str">
        <x:v>https://www150.statcan.gc.ca/t1/tbl1/en/tv.action?pid=1410044401</x:v>
      </x:c>
      <x:c r="O88" t="str">
        <x:v>PASS</x:v>
      </x:c>
    </x:row>
    <x:row r="89">
      <x:c r="A89" t="str">
        <x:v>OBS_JVWS_C55F6784F5279AE3CDB9</x:v>
      </x:c>
      <x:c r="B89" t="str">
        <x:v>73100</x:v>
      </x:c>
      <x:c r="C89" t="str">
        <x:v>Concrete finishers</x:v>
      </x:c>
      <x:c r="D89" t="str">
        <x:v>trade_concrete</x:v>
      </x:c>
      <x:c r="E89" t="str">
        <x:v>Average offered hourly wage</x:v>
      </x:c>
      <x:c r="F89" s="145" t="n">
        <x:v>31.9</x:v>
      </x:c>
      <x:c r="G89" t="str">
        <x:v>Dollars</x:v>
      </x:c>
      <x:c r="H89" s="153" t="n">
        <x:v>45383</x:v>
      </x:c>
      <x:c r="I89" s="153" t="n">
        <x:v>45473</x:v>
      </x:c>
      <x:c r="J89" t="str">
        <x:v>observed</x:v>
      </x:c>
      <x:c r="K89" t="str">
        <x:v>STATCAN_JVWS_14100444</x:v>
      </x:c>
      <x:c r="L89" t="str">
        <x:v>TR_STATCAN_JVWS_AB_NOC_1_0_0</x:v>
      </x:c>
      <x:c r="M89" t="str">
        <x:v>status:B</x:v>
      </x:c>
      <x:c r="N89" t="str">
        <x:v>https://www150.statcan.gc.ca/t1/tbl1/en/tv.action?pid=1410044401</x:v>
      </x:c>
      <x:c r="O89" t="str">
        <x:v>PASS</x:v>
      </x:c>
    </x:row>
    <x:row r="90">
      <x:c r="A90" t="str">
        <x:v>OBS_JVWS_300A83085F9194893A22</x:v>
      </x:c>
      <x:c r="B90" t="str">
        <x:v>73100</x:v>
      </x:c>
      <x:c r="C90" t="str">
        <x:v>Concrete finishers</x:v>
      </x:c>
      <x:c r="D90" t="str">
        <x:v>trade_concrete</x:v>
      </x:c>
      <x:c r="E90" t="str">
        <x:v>Job vacancies</x:v>
      </x:c>
      <x:c r="F90" s="145"/>
      <x:c r="G90" t="str">
        <x:v>Number</x:v>
      </x:c>
      <x:c r="H90" s="153" t="n">
        <x:v>45383</x:v>
      </x:c>
      <x:c r="I90" s="153" t="n">
        <x:v>45473</x:v>
      </x:c>
      <x:c r="J90" t="str">
        <x:v>observed</x:v>
      </x:c>
      <x:c r="K90" t="str">
        <x:v>STATCAN_JVWS_14100444</x:v>
      </x:c>
      <x:c r="L90" t="str">
        <x:v>TR_STATCAN_JVWS_AB_NOC_1_0_0</x:v>
      </x:c>
      <x:c r="M90" t="str">
        <x:v>status:F|value_missing_or_suppressed</x:v>
      </x:c>
      <x:c r="N90" t="str">
        <x:v>https://www150.statcan.gc.ca/t1/tbl1/en/tv.action?pid=1410044401</x:v>
      </x:c>
      <x:c r="O90" t="str">
        <x:v>PASS</x:v>
      </x:c>
    </x:row>
    <x:row r="91">
      <x:c r="A91" t="str">
        <x:v>OBS_JVWS_6149FA9B8BF6B915824C</x:v>
      </x:c>
      <x:c r="B91" t="str">
        <x:v>72200</x:v>
      </x:c>
      <x:c r="C91" t="str">
        <x:v>Electricians (except industrial and power system)</x:v>
      </x:c>
      <x:c r="D91" t="str">
        <x:v>trade_electricians</x:v>
      </x:c>
      <x:c r="E91" t="str">
        <x:v>Average offered hourly wage</x:v>
      </x:c>
      <x:c r="F91" s="145" t="n">
        <x:v>33.3</x:v>
      </x:c>
      <x:c r="G91" t="str">
        <x:v>Dollars</x:v>
      </x:c>
      <x:c r="H91" s="153" t="n">
        <x:v>45383</x:v>
      </x:c>
      <x:c r="I91" s="153" t="n">
        <x:v>45473</x:v>
      </x:c>
      <x:c r="J91" t="str">
        <x:v>observed</x:v>
      </x:c>
      <x:c r="K91" t="str">
        <x:v>STATCAN_JVWS_14100444</x:v>
      </x:c>
      <x:c r="L91" t="str">
        <x:v>TR_STATCAN_JVWS_AB_NOC_1_0_0</x:v>
      </x:c>
      <x:c r="M91" t="str">
        <x:v>status:B</x:v>
      </x:c>
      <x:c r="N91" t="str">
        <x:v>https://www150.statcan.gc.ca/t1/tbl1/en/tv.action?pid=1410044401</x:v>
      </x:c>
      <x:c r="O91" t="str">
        <x:v>PASS</x:v>
      </x:c>
    </x:row>
    <x:row r="92">
      <x:c r="A92" t="str">
        <x:v>OBS_JVWS_519B2B34CFCE38237E05</x:v>
      </x:c>
      <x:c r="B92" t="str">
        <x:v>72200</x:v>
      </x:c>
      <x:c r="C92" t="str">
        <x:v>Electricians (except industrial and power system)</x:v>
      </x:c>
      <x:c r="D92" t="str">
        <x:v>trade_electricians</x:v>
      </x:c>
      <x:c r="E92" t="str">
        <x:v>Job vacancies</x:v>
      </x:c>
      <x:c r="F92" s="145"/>
      <x:c r="G92" t="str">
        <x:v>Number</x:v>
      </x:c>
      <x:c r="H92" s="153" t="n">
        <x:v>45383</x:v>
      </x:c>
      <x:c r="I92" s="153" t="n">
        <x:v>45473</x:v>
      </x:c>
      <x:c r="J92" t="str">
        <x:v>observed</x:v>
      </x:c>
      <x:c r="K92" t="str">
        <x:v>STATCAN_JVWS_14100444</x:v>
      </x:c>
      <x:c r="L92" t="str">
        <x:v>TR_STATCAN_JVWS_AB_NOC_1_0_0</x:v>
      </x:c>
      <x:c r="M92" t="str">
        <x:v>status:F|value_missing_or_suppressed</x:v>
      </x:c>
      <x:c r="N92" t="str">
        <x:v>https://www150.statcan.gc.ca/t1/tbl1/en/tv.action?pid=1410044401</x:v>
      </x:c>
      <x:c r="O92" t="str">
        <x:v>PASS</x:v>
      </x:c>
    </x:row>
    <x:row r="93">
      <x:c r="A93" t="str">
        <x:v>OBS_JVWS_A5DEFA02C62C00C5CFA5</x:v>
      </x:c>
      <x:c r="B93" t="str">
        <x:v>72201</x:v>
      </x:c>
      <x:c r="C93" t="str">
        <x:v>Industrial electricians</x:v>
      </x:c>
      <x:c r="D93" t="str">
        <x:v>trade_electricians</x:v>
      </x:c>
      <x:c r="E93" t="str">
        <x:v>Average offered hourly wage</x:v>
      </x:c>
      <x:c r="F93" s="145" t="n">
        <x:v>36.9</x:v>
      </x:c>
      <x:c r="G93" t="str">
        <x:v>Dollars</x:v>
      </x:c>
      <x:c r="H93" s="153" t="n">
        <x:v>45383</x:v>
      </x:c>
      <x:c r="I93" s="153" t="n">
        <x:v>45473</x:v>
      </x:c>
      <x:c r="J93" t="str">
        <x:v>observed</x:v>
      </x:c>
      <x:c r="K93" t="str">
        <x:v>STATCAN_JVWS_14100444</x:v>
      </x:c>
      <x:c r="L93" t="str">
        <x:v>TR_STATCAN_JVWS_AB_NOC_1_0_0</x:v>
      </x:c>
      <x:c r="M93" t="str">
        <x:v>status:A</x:v>
      </x:c>
      <x:c r="N93" t="str">
        <x:v>https://www150.statcan.gc.ca/t1/tbl1/en/tv.action?pid=1410044401</x:v>
      </x:c>
      <x:c r="O93" t="str">
        <x:v>PASS</x:v>
      </x:c>
    </x:row>
    <x:row r="94">
      <x:c r="A94" t="str">
        <x:v>OBS_JVWS_04F636A95C0269294E74</x:v>
      </x:c>
      <x:c r="B94" t="str">
        <x:v>72201</x:v>
      </x:c>
      <x:c r="C94" t="str">
        <x:v>Industrial electricians</x:v>
      </x:c>
      <x:c r="D94" t="str">
        <x:v>trade_electricians</x:v>
      </x:c>
      <x:c r="E94" t="str">
        <x:v>Job vacancies</x:v>
      </x:c>
      <x:c r="F94" s="145"/>
      <x:c r="G94" t="str">
        <x:v>Number</x:v>
      </x:c>
      <x:c r="H94" s="153" t="n">
        <x:v>45383</x:v>
      </x:c>
      <x:c r="I94" s="153" t="n">
        <x:v>45473</x:v>
      </x:c>
      <x:c r="J94" t="str">
        <x:v>observed</x:v>
      </x:c>
      <x:c r="K94" t="str">
        <x:v>STATCAN_JVWS_14100444</x:v>
      </x:c>
      <x:c r="L94" t="str">
        <x:v>TR_STATCAN_JVWS_AB_NOC_1_0_0</x:v>
      </x:c>
      <x:c r="M94" t="str">
        <x:v>status:F|value_missing_or_suppressed</x:v>
      </x:c>
      <x:c r="N94" t="str">
        <x:v>https://www150.statcan.gc.ca/t1/tbl1/en/tv.action?pid=1410044401</x:v>
      </x:c>
      <x:c r="O94" t="str">
        <x:v>PASS</x:v>
      </x:c>
    </x:row>
    <x:row r="95">
      <x:c r="A95" t="str">
        <x:v>OBS_JVWS_7A9A366AD30D493701DF</x:v>
      </x:c>
      <x:c r="B95" t="str">
        <x:v>72402</x:v>
      </x:c>
      <x:c r="C95" t="str">
        <x:v>Heating, refrigeration and air conditioning mechanics</x:v>
      </x:c>
      <x:c r="D95" t="str">
        <x:v>trade_hvac</x:v>
      </x:c>
      <x:c r="E95" t="str">
        <x:v>Average offered hourly wage</x:v>
      </x:c>
      <x:c r="F95" s="145" t="n">
        <x:v>34.05</x:v>
      </x:c>
      <x:c r="G95" t="str">
        <x:v>Dollars</x:v>
      </x:c>
      <x:c r="H95" s="153" t="n">
        <x:v>45383</x:v>
      </x:c>
      <x:c r="I95" s="153" t="n">
        <x:v>45473</x:v>
      </x:c>
      <x:c r="J95" t="str">
        <x:v>observed</x:v>
      </x:c>
      <x:c r="K95" t="str">
        <x:v>STATCAN_JVWS_14100444</x:v>
      </x:c>
      <x:c r="L95" t="str">
        <x:v>TR_STATCAN_JVWS_AB_NOC_1_0_0</x:v>
      </x:c>
      <x:c r="M95" t="str">
        <x:v>status:B</x:v>
      </x:c>
      <x:c r="N95" t="str">
        <x:v>https://www150.statcan.gc.ca/t1/tbl1/en/tv.action?pid=1410044401</x:v>
      </x:c>
      <x:c r="O95" t="str">
        <x:v>PASS</x:v>
      </x:c>
    </x:row>
    <x:row r="96">
      <x:c r="A96" t="str">
        <x:v>OBS_JVWS_84BE838D49AE540F179D</x:v>
      </x:c>
      <x:c r="B96" t="str">
        <x:v>72402</x:v>
      </x:c>
      <x:c r="C96" t="str">
        <x:v>Heating, refrigeration and air conditioning mechanics</x:v>
      </x:c>
      <x:c r="D96" t="str">
        <x:v>trade_hvac</x:v>
      </x:c>
      <x:c r="E96" t="str">
        <x:v>Job vacancies</x:v>
      </x:c>
      <x:c r="F96" s="145" t="n">
        <x:v>315</x:v>
      </x:c>
      <x:c r="G96" t="str">
        <x:v>Number</x:v>
      </x:c>
      <x:c r="H96" s="153" t="n">
        <x:v>45383</x:v>
      </x:c>
      <x:c r="I96" s="153" t="n">
        <x:v>45473</x:v>
      </x:c>
      <x:c r="J96" t="str">
        <x:v>observed</x:v>
      </x:c>
      <x:c r="K96" t="str">
        <x:v>STATCAN_JVWS_14100444</x:v>
      </x:c>
      <x:c r="L96" t="str">
        <x:v>TR_STATCAN_JVWS_AB_NOC_1_0_0</x:v>
      </x:c>
      <x:c r="M96" t="str">
        <x:v>status:E</x:v>
      </x:c>
      <x:c r="N96" t="str">
        <x:v>https://www150.statcan.gc.ca/t1/tbl1/en/tv.action?pid=1410044401</x:v>
      </x:c>
      <x:c r="O96" t="str">
        <x:v>PASS</x:v>
      </x:c>
    </x:row>
    <x:row r="97">
      <x:c r="A97" t="str">
        <x:v>OBS_JVWS_106881A3D428CBA52F8C</x:v>
      </x:c>
      <x:c r="B97" t="str">
        <x:v>72202</x:v>
      </x:c>
      <x:c r="C97" t="str">
        <x:v>Power system electricians</x:v>
      </x:c>
      <x:c r="D97" t="str">
        <x:v>trade_power_line</x:v>
      </x:c>
      <x:c r="E97" t="str">
        <x:v>Average offered hourly wage</x:v>
      </x:c>
      <x:c r="F97" s="145" t="n">
        <x:v>44.15</x:v>
      </x:c>
      <x:c r="G97" t="str">
        <x:v>Dollars</x:v>
      </x:c>
      <x:c r="H97" s="153" t="n">
        <x:v>45383</x:v>
      </x:c>
      <x:c r="I97" s="153" t="n">
        <x:v>45473</x:v>
      </x:c>
      <x:c r="J97" t="str">
        <x:v>observed</x:v>
      </x:c>
      <x:c r="K97" t="str">
        <x:v>STATCAN_JVWS_14100444</x:v>
      </x:c>
      <x:c r="L97" t="str">
        <x:v>TR_STATCAN_JVWS_AB_NOC_1_0_0</x:v>
      </x:c>
      <x:c r="M97" t="str">
        <x:v>status:E</x:v>
      </x:c>
      <x:c r="N97" t="str">
        <x:v>https://www150.statcan.gc.ca/t1/tbl1/en/tv.action?pid=1410044401</x:v>
      </x:c>
      <x:c r="O97" t="str">
        <x:v>PASS</x:v>
      </x:c>
    </x:row>
    <x:row r="98">
      <x:c r="A98" t="str">
        <x:v>OBS_JVWS_A45AF93987AA4CC45AAC</x:v>
      </x:c>
      <x:c r="B98" t="str">
        <x:v>72202</x:v>
      </x:c>
      <x:c r="C98" t="str">
        <x:v>Power system electricians</x:v>
      </x:c>
      <x:c r="D98" t="str">
        <x:v>trade_power_line</x:v>
      </x:c>
      <x:c r="E98" t="str">
        <x:v>Job vacancies</x:v>
      </x:c>
      <x:c r="F98" s="145" t="n">
        <x:v>10</x:v>
      </x:c>
      <x:c r="G98" t="str">
        <x:v>Number</x:v>
      </x:c>
      <x:c r="H98" s="153" t="n">
        <x:v>45383</x:v>
      </x:c>
      <x:c r="I98" s="153" t="n">
        <x:v>45473</x:v>
      </x:c>
      <x:c r="J98" t="str">
        <x:v>observed</x:v>
      </x:c>
      <x:c r="K98" t="str">
        <x:v>STATCAN_JVWS_14100444</x:v>
      </x:c>
      <x:c r="L98" t="str">
        <x:v>TR_STATCAN_JVWS_AB_NOC_1_0_0</x:v>
      </x:c>
      <x:c r="M98" t="str">
        <x:v>status:E</x:v>
      </x:c>
      <x:c r="N98" t="str">
        <x:v>https://www150.statcan.gc.ca/t1/tbl1/en/tv.action?pid=1410044401</x:v>
      </x:c>
      <x:c r="O98" t="str">
        <x:v>PASS</x:v>
      </x:c>
    </x:row>
    <x:row r="99">
      <x:c r="A99" t="str">
        <x:v>OBS_JVWS_A3ED97BF2341B5E4898C</x:v>
      </x:c>
      <x:c r="B99" t="str">
        <x:v>72203</x:v>
      </x:c>
      <x:c r="C99" t="str">
        <x:v>Electrical power line and cable workers</x:v>
      </x:c>
      <x:c r="D99" t="str">
        <x:v>trade_power_line</x:v>
      </x:c>
      <x:c r="E99" t="str">
        <x:v>Average offered hourly wage</x:v>
      </x:c>
      <x:c r="F99" s="145" t="n">
        <x:v>45.65</x:v>
      </x:c>
      <x:c r="G99" t="str">
        <x:v>Dollars</x:v>
      </x:c>
      <x:c r="H99" s="153" t="n">
        <x:v>45383</x:v>
      </x:c>
      <x:c r="I99" s="153" t="n">
        <x:v>45473</x:v>
      </x:c>
      <x:c r="J99" t="str">
        <x:v>observed</x:v>
      </x:c>
      <x:c r="K99" t="str">
        <x:v>STATCAN_JVWS_14100444</x:v>
      </x:c>
      <x:c r="L99" t="str">
        <x:v>TR_STATCAN_JVWS_AB_NOC_1_0_0</x:v>
      </x:c>
      <x:c r="M99" t="str">
        <x:v>status:A</x:v>
      </x:c>
      <x:c r="N99" t="str">
        <x:v>https://www150.statcan.gc.ca/t1/tbl1/en/tv.action?pid=1410044401</x:v>
      </x:c>
      <x:c r="O99" t="str">
        <x:v>PASS</x:v>
      </x:c>
    </x:row>
    <x:row r="100">
      <x:c r="A100" t="str">
        <x:v>OBS_JVWS_58263FF73AFEFA4DAD75</x:v>
      </x:c>
      <x:c r="B100" t="str">
        <x:v>72203</x:v>
      </x:c>
      <x:c r="C100" t="str">
        <x:v>Electrical power line and cable workers</x:v>
      </x:c>
      <x:c r="D100" t="str">
        <x:v>trade_power_line</x:v>
      </x:c>
      <x:c r="E100" t="str">
        <x:v>Job vacancies</x:v>
      </x:c>
      <x:c r="F100" s="145" t="n">
        <x:v>25</x:v>
      </x:c>
      <x:c r="G100" t="str">
        <x:v>Number</x:v>
      </x:c>
      <x:c r="H100" s="153" t="n">
        <x:v>45383</x:v>
      </x:c>
      <x:c r="I100" s="153" t="n">
        <x:v>45473</x:v>
      </x:c>
      <x:c r="J100" t="str">
        <x:v>observed</x:v>
      </x:c>
      <x:c r="K100" t="str">
        <x:v>STATCAN_JVWS_14100444</x:v>
      </x:c>
      <x:c r="L100" t="str">
        <x:v>TR_STATCAN_JVWS_AB_NOC_1_0_0</x:v>
      </x:c>
      <x:c r="M100" t="str">
        <x:v>status:D</x:v>
      </x:c>
      <x:c r="N100" t="str">
        <x:v>https://www150.statcan.gc.ca/t1/tbl1/en/tv.action?pid=1410044401</x:v>
      </x:c>
      <x:c r="O100" t="str">
        <x:v>PASS</x:v>
      </x:c>
    </x:row>
    <x:row r="101">
      <x:c r="A101" t="str">
        <x:v>OBS_JVWS_8A3A9E7AFD9C18F7CDE3</x:v>
      </x:c>
      <x:c r="B101" t="str">
        <x:v>73100</x:v>
      </x:c>
      <x:c r="C101" t="str">
        <x:v>Concrete finishers</x:v>
      </x:c>
      <x:c r="D101" t="str">
        <x:v>trade_concrete</x:v>
      </x:c>
      <x:c r="E101" t="str">
        <x:v>Average offered hourly wage</x:v>
      </x:c>
      <x:c r="F101" s="145" t="n">
        <x:v>34.05</x:v>
      </x:c>
      <x:c r="G101" t="str">
        <x:v>Dollars</x:v>
      </x:c>
      <x:c r="H101" s="153" t="n">
        <x:v>45292</x:v>
      </x:c>
      <x:c r="I101" s="153" t="n">
        <x:v>45382</x:v>
      </x:c>
      <x:c r="J101" t="str">
        <x:v>observed</x:v>
      </x:c>
      <x:c r="K101" t="str">
        <x:v>STATCAN_JVWS_14100444</x:v>
      </x:c>
      <x:c r="L101" t="str">
        <x:v>TR_STATCAN_JVWS_AB_NOC_1_0_0</x:v>
      </x:c>
      <x:c r="M101" t="str">
        <x:v>status:B</x:v>
      </x:c>
      <x:c r="N101" t="str">
        <x:v>https://www150.statcan.gc.ca/t1/tbl1/en/tv.action?pid=1410044401</x:v>
      </x:c>
      <x:c r="O101" t="str">
        <x:v>PASS</x:v>
      </x:c>
    </x:row>
    <x:row r="102">
      <x:c r="A102" t="str">
        <x:v>OBS_JVWS_0BAF97413B39CCF3E7BD</x:v>
      </x:c>
      <x:c r="B102" t="str">
        <x:v>73100</x:v>
      </x:c>
      <x:c r="C102" t="str">
        <x:v>Concrete finishers</x:v>
      </x:c>
      <x:c r="D102" t="str">
        <x:v>trade_concrete</x:v>
      </x:c>
      <x:c r="E102" t="str">
        <x:v>Job vacancies</x:v>
      </x:c>
      <x:c r="F102" s="145"/>
      <x:c r="G102" t="str">
        <x:v>Number</x:v>
      </x:c>
      <x:c r="H102" s="153" t="n">
        <x:v>45292</x:v>
      </x:c>
      <x:c r="I102" s="153" t="n">
        <x:v>45382</x:v>
      </x:c>
      <x:c r="J102" t="str">
        <x:v>observed</x:v>
      </x:c>
      <x:c r="K102" t="str">
        <x:v>STATCAN_JVWS_14100444</x:v>
      </x:c>
      <x:c r="L102" t="str">
        <x:v>TR_STATCAN_JVWS_AB_NOC_1_0_0</x:v>
      </x:c>
      <x:c r="M102" t="str">
        <x:v>status:F|value_missing_or_suppressed</x:v>
      </x:c>
      <x:c r="N102" t="str">
        <x:v>https://www150.statcan.gc.ca/t1/tbl1/en/tv.action?pid=1410044401</x:v>
      </x:c>
      <x:c r="O102" t="str">
        <x:v>PASS</x:v>
      </x:c>
    </x:row>
    <x:row r="103">
      <x:c r="A103" t="str">
        <x:v>OBS_JVWS_9B8AEAD0D1639341DAFF</x:v>
      </x:c>
      <x:c r="B103" t="str">
        <x:v>72200</x:v>
      </x:c>
      <x:c r="C103" t="str">
        <x:v>Electricians (except industrial and power system)</x:v>
      </x:c>
      <x:c r="D103" t="str">
        <x:v>trade_electricians</x:v>
      </x:c>
      <x:c r="E103" t="str">
        <x:v>Average offered hourly wage</x:v>
      </x:c>
      <x:c r="F103" s="145" t="n">
        <x:v>32.9</x:v>
      </x:c>
      <x:c r="G103" t="str">
        <x:v>Dollars</x:v>
      </x:c>
      <x:c r="H103" s="153" t="n">
        <x:v>45292</x:v>
      </x:c>
      <x:c r="I103" s="153" t="n">
        <x:v>45382</x:v>
      </x:c>
      <x:c r="J103" t="str">
        <x:v>observed</x:v>
      </x:c>
      <x:c r="K103" t="str">
        <x:v>STATCAN_JVWS_14100444</x:v>
      </x:c>
      <x:c r="L103" t="str">
        <x:v>TR_STATCAN_JVWS_AB_NOC_1_0_0</x:v>
      </x:c>
      <x:c r="M103" t="str">
        <x:v>status:B</x:v>
      </x:c>
      <x:c r="N103" t="str">
        <x:v>https://www150.statcan.gc.ca/t1/tbl1/en/tv.action?pid=1410044401</x:v>
      </x:c>
      <x:c r="O103" t="str">
        <x:v>PASS</x:v>
      </x:c>
    </x:row>
    <x:row r="104">
      <x:c r="A104" t="str">
        <x:v>OBS_JVWS_E470CC9E302E2A7ED2B1</x:v>
      </x:c>
      <x:c r="B104" t="str">
        <x:v>72200</x:v>
      </x:c>
      <x:c r="C104" t="str">
        <x:v>Electricians (except industrial and power system)</x:v>
      </x:c>
      <x:c r="D104" t="str">
        <x:v>trade_electricians</x:v>
      </x:c>
      <x:c r="E104" t="str">
        <x:v>Job vacancies</x:v>
      </x:c>
      <x:c r="F104" s="145"/>
      <x:c r="G104" t="str">
        <x:v>Number</x:v>
      </x:c>
      <x:c r="H104" s="153" t="n">
        <x:v>45292</x:v>
      </x:c>
      <x:c r="I104" s="153" t="n">
        <x:v>45382</x:v>
      </x:c>
      <x:c r="J104" t="str">
        <x:v>observed</x:v>
      </x:c>
      <x:c r="K104" t="str">
        <x:v>STATCAN_JVWS_14100444</x:v>
      </x:c>
      <x:c r="L104" t="str">
        <x:v>TR_STATCAN_JVWS_AB_NOC_1_0_0</x:v>
      </x:c>
      <x:c r="M104" t="str">
        <x:v>status:F|value_missing_or_suppressed</x:v>
      </x:c>
      <x:c r="N104" t="str">
        <x:v>https://www150.statcan.gc.ca/t1/tbl1/en/tv.action?pid=1410044401</x:v>
      </x:c>
      <x:c r="O104" t="str">
        <x:v>PASS</x:v>
      </x:c>
    </x:row>
    <x:row r="105">
      <x:c r="A105" t="str">
        <x:v>OBS_JVWS_7CA3EAEB9DEBC099A5AA</x:v>
      </x:c>
      <x:c r="B105" t="str">
        <x:v>72201</x:v>
      </x:c>
      <x:c r="C105" t="str">
        <x:v>Industrial electricians</x:v>
      </x:c>
      <x:c r="D105" t="str">
        <x:v>trade_electricians</x:v>
      </x:c>
      <x:c r="E105" t="str">
        <x:v>Average offered hourly wage</x:v>
      </x:c>
      <x:c r="F105" s="145" t="n">
        <x:v>41.6</x:v>
      </x:c>
      <x:c r="G105" t="str">
        <x:v>Dollars</x:v>
      </x:c>
      <x:c r="H105" s="153" t="n">
        <x:v>45292</x:v>
      </x:c>
      <x:c r="I105" s="153" t="n">
        <x:v>45382</x:v>
      </x:c>
      <x:c r="J105" t="str">
        <x:v>observed</x:v>
      </x:c>
      <x:c r="K105" t="str">
        <x:v>STATCAN_JVWS_14100444</x:v>
      </x:c>
      <x:c r="L105" t="str">
        <x:v>TR_STATCAN_JVWS_AB_NOC_1_0_0</x:v>
      </x:c>
      <x:c r="M105" t="str">
        <x:v>status:A</x:v>
      </x:c>
      <x:c r="N105" t="str">
        <x:v>https://www150.statcan.gc.ca/t1/tbl1/en/tv.action?pid=1410044401</x:v>
      </x:c>
      <x:c r="O105" t="str">
        <x:v>PASS</x:v>
      </x:c>
    </x:row>
    <x:row r="106">
      <x:c r="A106" t="str">
        <x:v>OBS_JVWS_5985095F07443F27E440</x:v>
      </x:c>
      <x:c r="B106" t="str">
        <x:v>72201</x:v>
      </x:c>
      <x:c r="C106" t="str">
        <x:v>Industrial electricians</x:v>
      </x:c>
      <x:c r="D106" t="str">
        <x:v>trade_electricians</x:v>
      </x:c>
      <x:c r="E106" t="str">
        <x:v>Job vacancies</x:v>
      </x:c>
      <x:c r="F106" s="145" t="n">
        <x:v>80</x:v>
      </x:c>
      <x:c r="G106" t="str">
        <x:v>Number</x:v>
      </x:c>
      <x:c r="H106" s="153" t="n">
        <x:v>45292</x:v>
      </x:c>
      <x:c r="I106" s="153" t="n">
        <x:v>45382</x:v>
      </x:c>
      <x:c r="J106" t="str">
        <x:v>observed</x:v>
      </x:c>
      <x:c r="K106" t="str">
        <x:v>STATCAN_JVWS_14100444</x:v>
      </x:c>
      <x:c r="L106" t="str">
        <x:v>TR_STATCAN_JVWS_AB_NOC_1_0_0</x:v>
      </x:c>
      <x:c r="M106" t="str">
        <x:v>status:D</x:v>
      </x:c>
      <x:c r="N106" t="str">
        <x:v>https://www150.statcan.gc.ca/t1/tbl1/en/tv.action?pid=1410044401</x:v>
      </x:c>
      <x:c r="O106" t="str">
        <x:v>PASS</x:v>
      </x:c>
    </x:row>
    <x:row r="107">
      <x:c r="A107" t="str">
        <x:v>OBS_JVWS_BD823E8858F642A038E6</x:v>
      </x:c>
      <x:c r="B107" t="str">
        <x:v>72402</x:v>
      </x:c>
      <x:c r="C107" t="str">
        <x:v>Heating, refrigeration and air conditioning mechanics</x:v>
      </x:c>
      <x:c r="D107" t="str">
        <x:v>trade_hvac</x:v>
      </x:c>
      <x:c r="E107" t="str">
        <x:v>Average offered hourly wage</x:v>
      </x:c>
      <x:c r="F107" s="145" t="n">
        <x:v>28.9</x:v>
      </x:c>
      <x:c r="G107" t="str">
        <x:v>Dollars</x:v>
      </x:c>
      <x:c r="H107" s="153" t="n">
        <x:v>45292</x:v>
      </x:c>
      <x:c r="I107" s="153" t="n">
        <x:v>45382</x:v>
      </x:c>
      <x:c r="J107" t="str">
        <x:v>observed</x:v>
      </x:c>
      <x:c r="K107" t="str">
        <x:v>STATCAN_JVWS_14100444</x:v>
      </x:c>
      <x:c r="L107" t="str">
        <x:v>TR_STATCAN_JVWS_AB_NOC_1_0_0</x:v>
      </x:c>
      <x:c r="M107" t="str">
        <x:v>status:C</x:v>
      </x:c>
      <x:c r="N107" t="str">
        <x:v>https://www150.statcan.gc.ca/t1/tbl1/en/tv.action?pid=1410044401</x:v>
      </x:c>
      <x:c r="O107" t="str">
        <x:v>PASS</x:v>
      </x:c>
    </x:row>
    <x:row r="108">
      <x:c r="A108" t="str">
        <x:v>OBS_JVWS_E5E1526CC68986D15863</x:v>
      </x:c>
      <x:c r="B108" t="str">
        <x:v>72402</x:v>
      </x:c>
      <x:c r="C108" t="str">
        <x:v>Heating, refrigeration and air conditioning mechanics</x:v>
      </x:c>
      <x:c r="D108" t="str">
        <x:v>trade_hvac</x:v>
      </x:c>
      <x:c r="E108" t="str">
        <x:v>Job vacancies</x:v>
      </x:c>
      <x:c r="F108" s="145"/>
      <x:c r="G108" t="str">
        <x:v>Number</x:v>
      </x:c>
      <x:c r="H108" s="153" t="n">
        <x:v>45292</x:v>
      </x:c>
      <x:c r="I108" s="153" t="n">
        <x:v>45382</x:v>
      </x:c>
      <x:c r="J108" t="str">
        <x:v>observed</x:v>
      </x:c>
      <x:c r="K108" t="str">
        <x:v>STATCAN_JVWS_14100444</x:v>
      </x:c>
      <x:c r="L108" t="str">
        <x:v>TR_STATCAN_JVWS_AB_NOC_1_0_0</x:v>
      </x:c>
      <x:c r="M108" t="str">
        <x:v>status:F|value_missing_or_suppressed</x:v>
      </x:c>
      <x:c r="N108" t="str">
        <x:v>https://www150.statcan.gc.ca/t1/tbl1/en/tv.action?pid=1410044401</x:v>
      </x:c>
      <x:c r="O108" t="str">
        <x:v>PASS</x:v>
      </x:c>
    </x:row>
    <x:row r="109">
      <x:c r="A109" t="str">
        <x:v>OBS_JVWS_975E542B4ECD054B8E1A</x:v>
      </x:c>
      <x:c r="B109" t="str">
        <x:v>72202</x:v>
      </x:c>
      <x:c r="C109" t="str">
        <x:v>Power system electricians</x:v>
      </x:c>
      <x:c r="D109" t="str">
        <x:v>trade_power_line</x:v>
      </x:c>
      <x:c r="E109" t="str">
        <x:v>Average offered hourly wage</x:v>
      </x:c>
      <x:c r="F109" s="145"/>
      <x:c r="G109" t="str">
        <x:v>Dollars</x:v>
      </x:c>
      <x:c r="H109" s="153" t="n">
        <x:v>45292</x:v>
      </x:c>
      <x:c r="I109" s="153" t="n">
        <x:v>45382</x:v>
      </x:c>
      <x:c r="J109" t="str">
        <x:v>observed</x:v>
      </x:c>
      <x:c r="K109" t="str">
        <x:v>STATCAN_JVWS_14100444</x:v>
      </x:c>
      <x:c r="L109" t="str">
        <x:v>TR_STATCAN_JVWS_AB_NOC_1_0_0</x:v>
      </x:c>
      <x:c r="M109" t="str">
        <x:v>status:F|value_missing_or_suppressed</x:v>
      </x:c>
      <x:c r="N109" t="str">
        <x:v>https://www150.statcan.gc.ca/t1/tbl1/en/tv.action?pid=1410044401</x:v>
      </x:c>
      <x:c r="O109" t="str">
        <x:v>PASS</x:v>
      </x:c>
    </x:row>
    <x:row r="110">
      <x:c r="A110" t="str">
        <x:v>OBS_JVWS_828333BA74306B284463</x:v>
      </x:c>
      <x:c r="B110" t="str">
        <x:v>72202</x:v>
      </x:c>
      <x:c r="C110" t="str">
        <x:v>Power system electricians</x:v>
      </x:c>
      <x:c r="D110" t="str">
        <x:v>trade_power_line</x:v>
      </x:c>
      <x:c r="E110" t="str">
        <x:v>Job vacancies</x:v>
      </x:c>
      <x:c r="F110" s="145"/>
      <x:c r="G110" t="str">
        <x:v>Number</x:v>
      </x:c>
      <x:c r="H110" s="153" t="n">
        <x:v>45292</x:v>
      </x:c>
      <x:c r="I110" s="153" t="n">
        <x:v>45382</x:v>
      </x:c>
      <x:c r="J110" t="str">
        <x:v>observed</x:v>
      </x:c>
      <x:c r="K110" t="str">
        <x:v>STATCAN_JVWS_14100444</x:v>
      </x:c>
      <x:c r="L110" t="str">
        <x:v>TR_STATCAN_JVWS_AB_NOC_1_0_0</x:v>
      </x:c>
      <x:c r="M110" t="str">
        <x:v>status:F|value_missing_or_suppressed</x:v>
      </x:c>
      <x:c r="N110" t="str">
        <x:v>https://www150.statcan.gc.ca/t1/tbl1/en/tv.action?pid=1410044401</x:v>
      </x:c>
      <x:c r="O110" t="str">
        <x:v>PASS</x:v>
      </x:c>
    </x:row>
    <x:row r="111">
      <x:c r="A111" t="str">
        <x:v>OBS_JVWS_A8D251CFCF924D78095A</x:v>
      </x:c>
      <x:c r="B111" t="str">
        <x:v>72203</x:v>
      </x:c>
      <x:c r="C111" t="str">
        <x:v>Electrical power line and cable workers</x:v>
      </x:c>
      <x:c r="D111" t="str">
        <x:v>trade_power_line</x:v>
      </x:c>
      <x:c r="E111" t="str">
        <x:v>Average offered hourly wage</x:v>
      </x:c>
      <x:c r="F111" s="145" t="n">
        <x:v>52.4</x:v>
      </x:c>
      <x:c r="G111" t="str">
        <x:v>Dollars</x:v>
      </x:c>
      <x:c r="H111" s="153" t="n">
        <x:v>45292</x:v>
      </x:c>
      <x:c r="I111" s="153" t="n">
        <x:v>45382</x:v>
      </x:c>
      <x:c r="J111" t="str">
        <x:v>observed</x:v>
      </x:c>
      <x:c r="K111" t="str">
        <x:v>STATCAN_JVWS_14100444</x:v>
      </x:c>
      <x:c r="L111" t="str">
        <x:v>TR_STATCAN_JVWS_AB_NOC_1_0_0</x:v>
      </x:c>
      <x:c r="M111" t="str">
        <x:v>status:B</x:v>
      </x:c>
      <x:c r="N111" t="str">
        <x:v>https://www150.statcan.gc.ca/t1/tbl1/en/tv.action?pid=1410044401</x:v>
      </x:c>
      <x:c r="O111" t="str">
        <x:v>PASS</x:v>
      </x:c>
    </x:row>
    <x:row r="112">
      <x:c r="A112" t="str">
        <x:v>OBS_JVWS_8C6675B464DE97EA65B0</x:v>
      </x:c>
      <x:c r="B112" t="str">
        <x:v>72203</x:v>
      </x:c>
      <x:c r="C112" t="str">
        <x:v>Electrical power line and cable workers</x:v>
      </x:c>
      <x:c r="D112" t="str">
        <x:v>trade_power_line</x:v>
      </x:c>
      <x:c r="E112" t="str">
        <x:v>Job vacancies</x:v>
      </x:c>
      <x:c r="F112" s="145"/>
      <x:c r="G112" t="str">
        <x:v>Number</x:v>
      </x:c>
      <x:c r="H112" s="153" t="n">
        <x:v>45292</x:v>
      </x:c>
      <x:c r="I112" s="153" t="n">
        <x:v>45382</x:v>
      </x:c>
      <x:c r="J112" t="str">
        <x:v>observed</x:v>
      </x:c>
      <x:c r="K112" t="str">
        <x:v>STATCAN_JVWS_14100444</x:v>
      </x:c>
      <x:c r="L112" t="str">
        <x:v>TR_STATCAN_JVWS_AB_NOC_1_0_0</x:v>
      </x:c>
      <x:c r="M112" t="str">
        <x:v>status:F|value_missing_or_suppressed</x:v>
      </x:c>
      <x:c r="N112" t="str">
        <x:v>https://www150.statcan.gc.ca/t1/tbl1/en/tv.action?pid=1410044401</x:v>
      </x:c>
      <x:c r="O112" t="str">
        <x:v>PASS</x:v>
      </x:c>
    </x:row>
    <x:row r="113">
      <x:c r="A113" t="str">
        <x:v>OBS_JVWS_1B40D9A532752D2FA9DE</x:v>
      </x:c>
      <x:c r="B113" t="str">
        <x:v>73100</x:v>
      </x:c>
      <x:c r="C113" t="str">
        <x:v>Concrete finishers</x:v>
      </x:c>
      <x:c r="D113" t="str">
        <x:v>trade_concrete</x:v>
      </x:c>
      <x:c r="E113" t="str">
        <x:v>Average offered hourly wage</x:v>
      </x:c>
      <x:c r="F113" s="145" t="n">
        <x:v>29</x:v>
      </x:c>
      <x:c r="G113" t="str">
        <x:v>Dollars</x:v>
      </x:c>
      <x:c r="H113" s="153" t="n">
        <x:v>45200</x:v>
      </x:c>
      <x:c r="I113" s="153" t="n">
        <x:v>45291</x:v>
      </x:c>
      <x:c r="J113" t="str">
        <x:v>observed</x:v>
      </x:c>
      <x:c r="K113" t="str">
        <x:v>STATCAN_JVWS_14100444</x:v>
      </x:c>
      <x:c r="L113" t="str">
        <x:v>TR_STATCAN_JVWS_AB_NOC_1_0_0</x:v>
      </x:c>
      <x:c r="M113" t="str">
        <x:v>status:A</x:v>
      </x:c>
      <x:c r="N113" t="str">
        <x:v>https://www150.statcan.gc.ca/t1/tbl1/en/tv.action?pid=1410044401</x:v>
      </x:c>
      <x:c r="O113" t="str">
        <x:v>PASS</x:v>
      </x:c>
    </x:row>
    <x:row r="114">
      <x:c r="A114" t="str">
        <x:v>OBS_JVWS_72A321A6ADE137C34728</x:v>
      </x:c>
      <x:c r="B114" t="str">
        <x:v>73100</x:v>
      </x:c>
      <x:c r="C114" t="str">
        <x:v>Concrete finishers</x:v>
      </x:c>
      <x:c r="D114" t="str">
        <x:v>trade_concrete</x:v>
      </x:c>
      <x:c r="E114" t="str">
        <x:v>Job vacancies</x:v>
      </x:c>
      <x:c r="F114" s="145"/>
      <x:c r="G114" t="str">
        <x:v>Number</x:v>
      </x:c>
      <x:c r="H114" s="153" t="n">
        <x:v>45200</x:v>
      </x:c>
      <x:c r="I114" s="153" t="n">
        <x:v>45291</x:v>
      </x:c>
      <x:c r="J114" t="str">
        <x:v>observed</x:v>
      </x:c>
      <x:c r="K114" t="str">
        <x:v>STATCAN_JVWS_14100444</x:v>
      </x:c>
      <x:c r="L114" t="str">
        <x:v>TR_STATCAN_JVWS_AB_NOC_1_0_0</x:v>
      </x:c>
      <x:c r="M114" t="str">
        <x:v>status:F|value_missing_or_suppressed</x:v>
      </x:c>
      <x:c r="N114" t="str">
        <x:v>https://www150.statcan.gc.ca/t1/tbl1/en/tv.action?pid=1410044401</x:v>
      </x:c>
      <x:c r="O114" t="str">
        <x:v>PASS</x:v>
      </x:c>
    </x:row>
    <x:row r="115">
      <x:c r="A115" t="str">
        <x:v>OBS_JVWS_47387326F05A0F06BD87</x:v>
      </x:c>
      <x:c r="B115" t="str">
        <x:v>72200</x:v>
      </x:c>
      <x:c r="C115" t="str">
        <x:v>Electricians (except industrial and power system)</x:v>
      </x:c>
      <x:c r="D115" t="str">
        <x:v>trade_electricians</x:v>
      </x:c>
      <x:c r="E115" t="str">
        <x:v>Average offered hourly wage</x:v>
      </x:c>
      <x:c r="F115" s="145" t="n">
        <x:v>33.35</x:v>
      </x:c>
      <x:c r="G115" t="str">
        <x:v>Dollars</x:v>
      </x:c>
      <x:c r="H115" s="153" t="n">
        <x:v>45200</x:v>
      </x:c>
      <x:c r="I115" s="153" t="n">
        <x:v>45291</x:v>
      </x:c>
      <x:c r="J115" t="str">
        <x:v>observed</x:v>
      </x:c>
      <x:c r="K115" t="str">
        <x:v>STATCAN_JVWS_14100444</x:v>
      </x:c>
      <x:c r="L115" t="str">
        <x:v>TR_STATCAN_JVWS_AB_NOC_1_0_0</x:v>
      </x:c>
      <x:c r="M115" t="str">
        <x:v>status:A</x:v>
      </x:c>
      <x:c r="N115" t="str">
        <x:v>https://www150.statcan.gc.ca/t1/tbl1/en/tv.action?pid=1410044401</x:v>
      </x:c>
      <x:c r="O115" t="str">
        <x:v>PASS</x:v>
      </x:c>
    </x:row>
    <x:row r="116">
      <x:c r="A116" t="str">
        <x:v>OBS_JVWS_7BA71DFB08581FAB4FBA</x:v>
      </x:c>
      <x:c r="B116" t="str">
        <x:v>72200</x:v>
      </x:c>
      <x:c r="C116" t="str">
        <x:v>Electricians (except industrial and power system)</x:v>
      </x:c>
      <x:c r="D116" t="str">
        <x:v>trade_electricians</x:v>
      </x:c>
      <x:c r="E116" t="str">
        <x:v>Job vacancies</x:v>
      </x:c>
      <x:c r="F116" s="145"/>
      <x:c r="G116" t="str">
        <x:v>Number</x:v>
      </x:c>
      <x:c r="H116" s="153" t="n">
        <x:v>45200</x:v>
      </x:c>
      <x:c r="I116" s="153" t="n">
        <x:v>45291</x:v>
      </x:c>
      <x:c r="J116" t="str">
        <x:v>observed</x:v>
      </x:c>
      <x:c r="K116" t="str">
        <x:v>STATCAN_JVWS_14100444</x:v>
      </x:c>
      <x:c r="L116" t="str">
        <x:v>TR_STATCAN_JVWS_AB_NOC_1_0_0</x:v>
      </x:c>
      <x:c r="M116" t="str">
        <x:v>status:F|value_missing_or_suppressed</x:v>
      </x:c>
      <x:c r="N116" t="str">
        <x:v>https://www150.statcan.gc.ca/t1/tbl1/en/tv.action?pid=1410044401</x:v>
      </x:c>
      <x:c r="O116" t="str">
        <x:v>PASS</x:v>
      </x:c>
    </x:row>
    <x:row r="117">
      <x:c r="A117" t="str">
        <x:v>OBS_JVWS_8E9677F96F65187784BB</x:v>
      </x:c>
      <x:c r="B117" t="str">
        <x:v>72201</x:v>
      </x:c>
      <x:c r="C117" t="str">
        <x:v>Industrial electricians</x:v>
      </x:c>
      <x:c r="D117" t="str">
        <x:v>trade_electricians</x:v>
      </x:c>
      <x:c r="E117" t="str">
        <x:v>Average offered hourly wage</x:v>
      </x:c>
      <x:c r="F117" s="145" t="n">
        <x:v>39.95</x:v>
      </x:c>
      <x:c r="G117" t="str">
        <x:v>Dollars</x:v>
      </x:c>
      <x:c r="H117" s="153" t="n">
        <x:v>45200</x:v>
      </x:c>
      <x:c r="I117" s="153" t="n">
        <x:v>45291</x:v>
      </x:c>
      <x:c r="J117" t="str">
        <x:v>observed</x:v>
      </x:c>
      <x:c r="K117" t="str">
        <x:v>STATCAN_JVWS_14100444</x:v>
      </x:c>
      <x:c r="L117" t="str">
        <x:v>TR_STATCAN_JVWS_AB_NOC_1_0_0</x:v>
      </x:c>
      <x:c r="M117" t="str">
        <x:v>status:A</x:v>
      </x:c>
      <x:c r="N117" t="str">
        <x:v>https://www150.statcan.gc.ca/t1/tbl1/en/tv.action?pid=1410044401</x:v>
      </x:c>
      <x:c r="O117" t="str">
        <x:v>PASS</x:v>
      </x:c>
    </x:row>
    <x:row r="118">
      <x:c r="A118" t="str">
        <x:v>OBS_JVWS_AE7AF5414A458177470A</x:v>
      </x:c>
      <x:c r="B118" t="str">
        <x:v>72201</x:v>
      </x:c>
      <x:c r="C118" t="str">
        <x:v>Industrial electricians</x:v>
      </x:c>
      <x:c r="D118" t="str">
        <x:v>trade_electricians</x:v>
      </x:c>
      <x:c r="E118" t="str">
        <x:v>Job vacancies</x:v>
      </x:c>
      <x:c r="F118" s="145" t="n">
        <x:v>115</x:v>
      </x:c>
      <x:c r="G118" t="str">
        <x:v>Number</x:v>
      </x:c>
      <x:c r="H118" s="153" t="n">
        <x:v>45200</x:v>
      </x:c>
      <x:c r="I118" s="153" t="n">
        <x:v>45291</x:v>
      </x:c>
      <x:c r="J118" t="str">
        <x:v>observed</x:v>
      </x:c>
      <x:c r="K118" t="str">
        <x:v>STATCAN_JVWS_14100444</x:v>
      </x:c>
      <x:c r="L118" t="str">
        <x:v>TR_STATCAN_JVWS_AB_NOC_1_0_0</x:v>
      </x:c>
      <x:c r="M118" t="str">
        <x:v>status:E</x:v>
      </x:c>
      <x:c r="N118" t="str">
        <x:v>https://www150.statcan.gc.ca/t1/tbl1/en/tv.action?pid=1410044401</x:v>
      </x:c>
      <x:c r="O118" t="str">
        <x:v>PASS</x:v>
      </x:c>
    </x:row>
    <x:row r="119">
      <x:c r="A119" t="str">
        <x:v>OBS_JVWS_05C0BCD79AAC30A3672B</x:v>
      </x:c>
      <x:c r="B119" t="str">
        <x:v>72402</x:v>
      </x:c>
      <x:c r="C119" t="str">
        <x:v>Heating, refrigeration and air conditioning mechanics</x:v>
      </x:c>
      <x:c r="D119" t="str">
        <x:v>trade_hvac</x:v>
      </x:c>
      <x:c r="E119" t="str">
        <x:v>Average offered hourly wage</x:v>
      </x:c>
      <x:c r="F119" s="145"/>
      <x:c r="G119" t="str">
        <x:v>Dollars</x:v>
      </x:c>
      <x:c r="H119" s="153" t="n">
        <x:v>45200</x:v>
      </x:c>
      <x:c r="I119" s="153" t="n">
        <x:v>45291</x:v>
      </x:c>
      <x:c r="J119" t="str">
        <x:v>observed</x:v>
      </x:c>
      <x:c r="K119" t="str">
        <x:v>STATCAN_JVWS_14100444</x:v>
      </x:c>
      <x:c r="L119" t="str">
        <x:v>TR_STATCAN_JVWS_AB_NOC_1_0_0</x:v>
      </x:c>
      <x:c r="M119" t="str">
        <x:v>status:F|value_missing_or_suppressed</x:v>
      </x:c>
      <x:c r="N119" t="str">
        <x:v>https://www150.statcan.gc.ca/t1/tbl1/en/tv.action?pid=1410044401</x:v>
      </x:c>
      <x:c r="O119" t="str">
        <x:v>PASS</x:v>
      </x:c>
    </x:row>
    <x:row r="120">
      <x:c r="A120" t="str">
        <x:v>OBS_JVWS_326B16E1D7A17D8ABCBF</x:v>
      </x:c>
      <x:c r="B120" t="str">
        <x:v>72402</x:v>
      </x:c>
      <x:c r="C120" t="str">
        <x:v>Heating, refrigeration and air conditioning mechanics</x:v>
      </x:c>
      <x:c r="D120" t="str">
        <x:v>trade_hvac</x:v>
      </x:c>
      <x:c r="E120" t="str">
        <x:v>Job vacancies</x:v>
      </x:c>
      <x:c r="F120" s="145"/>
      <x:c r="G120" t="str">
        <x:v>Number</x:v>
      </x:c>
      <x:c r="H120" s="153" t="n">
        <x:v>45200</x:v>
      </x:c>
      <x:c r="I120" s="153" t="n">
        <x:v>45291</x:v>
      </x:c>
      <x:c r="J120" t="str">
        <x:v>observed</x:v>
      </x:c>
      <x:c r="K120" t="str">
        <x:v>STATCAN_JVWS_14100444</x:v>
      </x:c>
      <x:c r="L120" t="str">
        <x:v>TR_STATCAN_JVWS_AB_NOC_1_0_0</x:v>
      </x:c>
      <x:c r="M120" t="str">
        <x:v>status:F|value_missing_or_suppressed</x:v>
      </x:c>
      <x:c r="N120" t="str">
        <x:v>https://www150.statcan.gc.ca/t1/tbl1/en/tv.action?pid=1410044401</x:v>
      </x:c>
      <x:c r="O120" t="str">
        <x:v>PASS</x:v>
      </x:c>
    </x:row>
    <x:row r="121">
      <x:c r="A121" t="str">
        <x:v>OBS_JVWS_7D01EC0EE1D5EE175B03</x:v>
      </x:c>
      <x:c r="B121" t="str">
        <x:v>72202</x:v>
      </x:c>
      <x:c r="C121" t="str">
        <x:v>Power system electricians</x:v>
      </x:c>
      <x:c r="D121" t="str">
        <x:v>trade_power_line</x:v>
      </x:c>
      <x:c r="E121" t="str">
        <x:v>Average offered hourly wage</x:v>
      </x:c>
      <x:c r="F121" s="145"/>
      <x:c r="G121" t="str">
        <x:v>Dollars</x:v>
      </x:c>
      <x:c r="H121" s="153" t="n">
        <x:v>45200</x:v>
      </x:c>
      <x:c r="I121" s="153" t="n">
        <x:v>45291</x:v>
      </x:c>
      <x:c r="J121" t="str">
        <x:v>observed</x:v>
      </x:c>
      <x:c r="K121" t="str">
        <x:v>STATCAN_JVWS_14100444</x:v>
      </x:c>
      <x:c r="L121" t="str">
        <x:v>TR_STATCAN_JVWS_AB_NOC_1_0_0</x:v>
      </x:c>
      <x:c r="M121" t="str">
        <x:v>status:F|value_missing_or_suppressed</x:v>
      </x:c>
      <x:c r="N121" t="str">
        <x:v>https://www150.statcan.gc.ca/t1/tbl1/en/tv.action?pid=1410044401</x:v>
      </x:c>
      <x:c r="O121" t="str">
        <x:v>PASS</x:v>
      </x:c>
    </x:row>
    <x:row r="122">
      <x:c r="A122" t="str">
        <x:v>OBS_JVWS_EF93CF466955BD748679</x:v>
      </x:c>
      <x:c r="B122" t="str">
        <x:v>72202</x:v>
      </x:c>
      <x:c r="C122" t="str">
        <x:v>Power system electricians</x:v>
      </x:c>
      <x:c r="D122" t="str">
        <x:v>trade_power_line</x:v>
      </x:c>
      <x:c r="E122" t="str">
        <x:v>Job vacancies</x:v>
      </x:c>
      <x:c r="F122" s="145"/>
      <x:c r="G122" t="str">
        <x:v>Number</x:v>
      </x:c>
      <x:c r="H122" s="153" t="n">
        <x:v>45200</x:v>
      </x:c>
      <x:c r="I122" s="153" t="n">
        <x:v>45291</x:v>
      </x:c>
      <x:c r="J122" t="str">
        <x:v>observed</x:v>
      </x:c>
      <x:c r="K122" t="str">
        <x:v>STATCAN_JVWS_14100444</x:v>
      </x:c>
      <x:c r="L122" t="str">
        <x:v>TR_STATCAN_JVWS_AB_NOC_1_0_0</x:v>
      </x:c>
      <x:c r="M122" t="str">
        <x:v>status:F|value_missing_or_suppressed</x:v>
      </x:c>
      <x:c r="N122" t="str">
        <x:v>https://www150.statcan.gc.ca/t1/tbl1/en/tv.action?pid=1410044401</x:v>
      </x:c>
      <x:c r="O122" t="str">
        <x:v>PASS</x:v>
      </x:c>
    </x:row>
    <x:row r="123">
      <x:c r="A123" t="str">
        <x:v>OBS_JVWS_F6E269E27D9C4F4A5C38</x:v>
      </x:c>
      <x:c r="B123" t="str">
        <x:v>72203</x:v>
      </x:c>
      <x:c r="C123" t="str">
        <x:v>Electrical power line and cable workers</x:v>
      </x:c>
      <x:c r="D123" t="str">
        <x:v>trade_power_line</x:v>
      </x:c>
      <x:c r="E123" t="str">
        <x:v>Average offered hourly wage</x:v>
      </x:c>
      <x:c r="F123" s="145" t="n">
        <x:v>52.9</x:v>
      </x:c>
      <x:c r="G123" t="str">
        <x:v>Dollars</x:v>
      </x:c>
      <x:c r="H123" s="153" t="n">
        <x:v>45200</x:v>
      </x:c>
      <x:c r="I123" s="153" t="n">
        <x:v>45291</x:v>
      </x:c>
      <x:c r="J123" t="str">
        <x:v>observed</x:v>
      </x:c>
      <x:c r="K123" t="str">
        <x:v>STATCAN_JVWS_14100444</x:v>
      </x:c>
      <x:c r="L123" t="str">
        <x:v>TR_STATCAN_JVWS_AB_NOC_1_0_0</x:v>
      </x:c>
      <x:c r="M123" t="str">
        <x:v>status:A</x:v>
      </x:c>
      <x:c r="N123" t="str">
        <x:v>https://www150.statcan.gc.ca/t1/tbl1/en/tv.action?pid=1410044401</x:v>
      </x:c>
      <x:c r="O123" t="str">
        <x:v>PASS</x:v>
      </x:c>
    </x:row>
    <x:row r="124">
      <x:c r="A124" t="str">
        <x:v>OBS_JVWS_559A23642BA9980C972F</x:v>
      </x:c>
      <x:c r="B124" t="str">
        <x:v>72203</x:v>
      </x:c>
      <x:c r="C124" t="str">
        <x:v>Electrical power line and cable workers</x:v>
      </x:c>
      <x:c r="D124" t="str">
        <x:v>trade_power_line</x:v>
      </x:c>
      <x:c r="E124" t="str">
        <x:v>Job vacancies</x:v>
      </x:c>
      <x:c r="F124" s="145"/>
      <x:c r="G124" t="str">
        <x:v>Number</x:v>
      </x:c>
      <x:c r="H124" s="153" t="n">
        <x:v>45200</x:v>
      </x:c>
      <x:c r="I124" s="153" t="n">
        <x:v>45291</x:v>
      </x:c>
      <x:c r="J124" t="str">
        <x:v>observed</x:v>
      </x:c>
      <x:c r="K124" t="str">
        <x:v>STATCAN_JVWS_14100444</x:v>
      </x:c>
      <x:c r="L124" t="str">
        <x:v>TR_STATCAN_JVWS_AB_NOC_1_0_0</x:v>
      </x:c>
      <x:c r="M124" t="str">
        <x:v>status:F|value_missing_or_suppressed</x:v>
      </x:c>
      <x:c r="N124" t="str">
        <x:v>https://www150.statcan.gc.ca/t1/tbl1/en/tv.action?pid=1410044401</x:v>
      </x:c>
      <x:c r="O124" t="str">
        <x:v>PASS</x:v>
      </x:c>
    </x:row>
    <x:row r="125">
      <x:c r="A125" t="str">
        <x:v>OBS_JVWS_2A9A6AAD08667A6E6782</x:v>
      </x:c>
      <x:c r="B125" t="str">
        <x:v>73100</x:v>
      </x:c>
      <x:c r="C125" t="str">
        <x:v>Concrete finishers</x:v>
      </x:c>
      <x:c r="D125" t="str">
        <x:v>trade_concrete</x:v>
      </x:c>
      <x:c r="E125" t="str">
        <x:v>Average offered hourly wage</x:v>
      </x:c>
      <x:c r="F125" s="145" t="n">
        <x:v>29.9</x:v>
      </x:c>
      <x:c r="G125" t="str">
        <x:v>Dollars</x:v>
      </x:c>
      <x:c r="H125" s="153" t="n">
        <x:v>45108</x:v>
      </x:c>
      <x:c r="I125" s="153" t="n">
        <x:v>45199</x:v>
      </x:c>
      <x:c r="J125" t="str">
        <x:v>observed</x:v>
      </x:c>
      <x:c r="K125" t="str">
        <x:v>STATCAN_JVWS_14100444</x:v>
      </x:c>
      <x:c r="L125" t="str">
        <x:v>TR_STATCAN_JVWS_AB_NOC_1_0_0</x:v>
      </x:c>
      <x:c r="M125" t="str">
        <x:v>status:A</x:v>
      </x:c>
      <x:c r="N125" t="str">
        <x:v>https://www150.statcan.gc.ca/t1/tbl1/en/tv.action?pid=1410044401</x:v>
      </x:c>
      <x:c r="O125" t="str">
        <x:v>PASS</x:v>
      </x:c>
    </x:row>
    <x:row r="126">
      <x:c r="A126" t="str">
        <x:v>OBS_JVWS_770DD0D72D3A1EFC50DE</x:v>
      </x:c>
      <x:c r="B126" t="str">
        <x:v>73100</x:v>
      </x:c>
      <x:c r="C126" t="str">
        <x:v>Concrete finishers</x:v>
      </x:c>
      <x:c r="D126" t="str">
        <x:v>trade_concrete</x:v>
      </x:c>
      <x:c r="E126" t="str">
        <x:v>Job vacancies</x:v>
      </x:c>
      <x:c r="F126" s="145"/>
      <x:c r="G126" t="str">
        <x:v>Number</x:v>
      </x:c>
      <x:c r="H126" s="153" t="n">
        <x:v>45108</x:v>
      </x:c>
      <x:c r="I126" s="153" t="n">
        <x:v>45199</x:v>
      </x:c>
      <x:c r="J126" t="str">
        <x:v>observed</x:v>
      </x:c>
      <x:c r="K126" t="str">
        <x:v>STATCAN_JVWS_14100444</x:v>
      </x:c>
      <x:c r="L126" t="str">
        <x:v>TR_STATCAN_JVWS_AB_NOC_1_0_0</x:v>
      </x:c>
      <x:c r="M126" t="str">
        <x:v>status:F|value_missing_or_suppressed</x:v>
      </x:c>
      <x:c r="N126" t="str">
        <x:v>https://www150.statcan.gc.ca/t1/tbl1/en/tv.action?pid=1410044401</x:v>
      </x:c>
      <x:c r="O126" t="str">
        <x:v>PASS</x:v>
      </x:c>
    </x:row>
    <x:row r="127">
      <x:c r="A127" t="str">
        <x:v>OBS_JVWS_F3A8AF317FC706062023</x:v>
      </x:c>
      <x:c r="B127" t="str">
        <x:v>72200</x:v>
      </x:c>
      <x:c r="C127" t="str">
        <x:v>Electricians (except industrial and power system)</x:v>
      </x:c>
      <x:c r="D127" t="str">
        <x:v>trade_electricians</x:v>
      </x:c>
      <x:c r="E127" t="str">
        <x:v>Average offered hourly wage</x:v>
      </x:c>
      <x:c r="F127" s="145" t="n">
        <x:v>33.15</x:v>
      </x:c>
      <x:c r="G127" t="str">
        <x:v>Dollars</x:v>
      </x:c>
      <x:c r="H127" s="153" t="n">
        <x:v>45108</x:v>
      </x:c>
      <x:c r="I127" s="153" t="n">
        <x:v>45199</x:v>
      </x:c>
      <x:c r="J127" t="str">
        <x:v>observed</x:v>
      </x:c>
      <x:c r="K127" t="str">
        <x:v>STATCAN_JVWS_14100444</x:v>
      </x:c>
      <x:c r="L127" t="str">
        <x:v>TR_STATCAN_JVWS_AB_NOC_1_0_0</x:v>
      </x:c>
      <x:c r="M127" t="str">
        <x:v>status:A</x:v>
      </x:c>
      <x:c r="N127" t="str">
        <x:v>https://www150.statcan.gc.ca/t1/tbl1/en/tv.action?pid=1410044401</x:v>
      </x:c>
      <x:c r="O127" t="str">
        <x:v>PASS</x:v>
      </x:c>
    </x:row>
    <x:row r="128">
      <x:c r="A128" t="str">
        <x:v>OBS_JVWS_F89895590F55B1E6D406</x:v>
      </x:c>
      <x:c r="B128" t="str">
        <x:v>72200</x:v>
      </x:c>
      <x:c r="C128" t="str">
        <x:v>Electricians (except industrial and power system)</x:v>
      </x:c>
      <x:c r="D128" t="str">
        <x:v>trade_electricians</x:v>
      </x:c>
      <x:c r="E128" t="str">
        <x:v>Job vacancies</x:v>
      </x:c>
      <x:c r="F128" s="145" t="n">
        <x:v>1425</x:v>
      </x:c>
      <x:c r="G128" t="str">
        <x:v>Number</x:v>
      </x:c>
      <x:c r="H128" s="153" t="n">
        <x:v>45108</x:v>
      </x:c>
      <x:c r="I128" s="153" t="n">
        <x:v>45199</x:v>
      </x:c>
      <x:c r="J128" t="str">
        <x:v>observed</x:v>
      </x:c>
      <x:c r="K128" t="str">
        <x:v>STATCAN_JVWS_14100444</x:v>
      </x:c>
      <x:c r="L128" t="str">
        <x:v>TR_STATCAN_JVWS_AB_NOC_1_0_0</x:v>
      </x:c>
      <x:c r="M128" t="str">
        <x:v>status:E</x:v>
      </x:c>
      <x:c r="N128" t="str">
        <x:v>https://www150.statcan.gc.ca/t1/tbl1/en/tv.action?pid=1410044401</x:v>
      </x:c>
      <x:c r="O128" t="str">
        <x:v>PASS</x:v>
      </x:c>
    </x:row>
    <x:row r="129">
      <x:c r="A129" t="str">
        <x:v>OBS_JVWS_E1D55EE12E5787FE6AA7</x:v>
      </x:c>
      <x:c r="B129" t="str">
        <x:v>72201</x:v>
      </x:c>
      <x:c r="C129" t="str">
        <x:v>Industrial electricians</x:v>
      </x:c>
      <x:c r="D129" t="str">
        <x:v>trade_electricians</x:v>
      </x:c>
      <x:c r="E129" t="str">
        <x:v>Average offered hourly wage</x:v>
      </x:c>
      <x:c r="F129" s="145" t="n">
        <x:v>30.6</x:v>
      </x:c>
      <x:c r="G129" t="str">
        <x:v>Dollars</x:v>
      </x:c>
      <x:c r="H129" s="153" t="n">
        <x:v>45108</x:v>
      </x:c>
      <x:c r="I129" s="153" t="n">
        <x:v>45199</x:v>
      </x:c>
      <x:c r="J129" t="str">
        <x:v>observed</x:v>
      </x:c>
      <x:c r="K129" t="str">
        <x:v>STATCAN_JVWS_14100444</x:v>
      </x:c>
      <x:c r="L129" t="str">
        <x:v>TR_STATCAN_JVWS_AB_NOC_1_0_0</x:v>
      </x:c>
      <x:c r="M129" t="str">
        <x:v>status:D</x:v>
      </x:c>
      <x:c r="N129" t="str">
        <x:v>https://www150.statcan.gc.ca/t1/tbl1/en/tv.action?pid=1410044401</x:v>
      </x:c>
      <x:c r="O129" t="str">
        <x:v>PASS</x:v>
      </x:c>
    </x:row>
    <x:row r="130">
      <x:c r="A130" t="str">
        <x:v>OBS_JVWS_4F633058D727F00CA958</x:v>
      </x:c>
      <x:c r="B130" t="str">
        <x:v>72201</x:v>
      </x:c>
      <x:c r="C130" t="str">
        <x:v>Industrial electricians</x:v>
      </x:c>
      <x:c r="D130" t="str">
        <x:v>trade_electricians</x:v>
      </x:c>
      <x:c r="E130" t="str">
        <x:v>Job vacancies</x:v>
      </x:c>
      <x:c r="F130" s="145"/>
      <x:c r="G130" t="str">
        <x:v>Number</x:v>
      </x:c>
      <x:c r="H130" s="153" t="n">
        <x:v>45108</x:v>
      </x:c>
      <x:c r="I130" s="153" t="n">
        <x:v>45199</x:v>
      </x:c>
      <x:c r="J130" t="str">
        <x:v>observed</x:v>
      </x:c>
      <x:c r="K130" t="str">
        <x:v>STATCAN_JVWS_14100444</x:v>
      </x:c>
      <x:c r="L130" t="str">
        <x:v>TR_STATCAN_JVWS_AB_NOC_1_0_0</x:v>
      </x:c>
      <x:c r="M130" t="str">
        <x:v>status:F|value_missing_or_suppressed</x:v>
      </x:c>
      <x:c r="N130" t="str">
        <x:v>https://www150.statcan.gc.ca/t1/tbl1/en/tv.action?pid=1410044401</x:v>
      </x:c>
      <x:c r="O130" t="str">
        <x:v>PASS</x:v>
      </x:c>
    </x:row>
    <x:row r="131">
      <x:c r="A131" t="str">
        <x:v>OBS_JVWS_AFB63B088DB37B95C76B</x:v>
      </x:c>
      <x:c r="B131" t="str">
        <x:v>72402</x:v>
      </x:c>
      <x:c r="C131" t="str">
        <x:v>Heating, refrigeration and air conditioning mechanics</x:v>
      </x:c>
      <x:c r="D131" t="str">
        <x:v>trade_hvac</x:v>
      </x:c>
      <x:c r="E131" t="str">
        <x:v>Average offered hourly wage</x:v>
      </x:c>
      <x:c r="F131" s="145" t="n">
        <x:v>33.35</x:v>
      </x:c>
      <x:c r="G131" t="str">
        <x:v>Dollars</x:v>
      </x:c>
      <x:c r="H131" s="153" t="n">
        <x:v>45108</x:v>
      </x:c>
      <x:c r="I131" s="153" t="n">
        <x:v>45199</x:v>
      </x:c>
      <x:c r="J131" t="str">
        <x:v>observed</x:v>
      </x:c>
      <x:c r="K131" t="str">
        <x:v>STATCAN_JVWS_14100444</x:v>
      </x:c>
      <x:c r="L131" t="str">
        <x:v>TR_STATCAN_JVWS_AB_NOC_1_0_0</x:v>
      </x:c>
      <x:c r="M131" t="str">
        <x:v>status:C</x:v>
      </x:c>
      <x:c r="N131" t="str">
        <x:v>https://www150.statcan.gc.ca/t1/tbl1/en/tv.action?pid=1410044401</x:v>
      </x:c>
      <x:c r="O131" t="str">
        <x:v>PASS</x:v>
      </x:c>
    </x:row>
    <x:row r="132">
      <x:c r="A132" t="str">
        <x:v>OBS_JVWS_021926214167A1595947</x:v>
      </x:c>
      <x:c r="B132" t="str">
        <x:v>72402</x:v>
      </x:c>
      <x:c r="C132" t="str">
        <x:v>Heating, refrigeration and air conditioning mechanics</x:v>
      </x:c>
      <x:c r="D132" t="str">
        <x:v>trade_hvac</x:v>
      </x:c>
      <x:c r="E132" t="str">
        <x:v>Job vacancies</x:v>
      </x:c>
      <x:c r="F132" s="145"/>
      <x:c r="G132" t="str">
        <x:v>Number</x:v>
      </x:c>
      <x:c r="H132" s="153" t="n">
        <x:v>45108</x:v>
      </x:c>
      <x:c r="I132" s="153" t="n">
        <x:v>45199</x:v>
      </x:c>
      <x:c r="J132" t="str">
        <x:v>observed</x:v>
      </x:c>
      <x:c r="K132" t="str">
        <x:v>STATCAN_JVWS_14100444</x:v>
      </x:c>
      <x:c r="L132" t="str">
        <x:v>TR_STATCAN_JVWS_AB_NOC_1_0_0</x:v>
      </x:c>
      <x:c r="M132" t="str">
        <x:v>status:F|value_missing_or_suppressed</x:v>
      </x:c>
      <x:c r="N132" t="str">
        <x:v>https://www150.statcan.gc.ca/t1/tbl1/en/tv.action?pid=1410044401</x:v>
      </x:c>
      <x:c r="O132" t="str">
        <x:v>PASS</x:v>
      </x:c>
    </x:row>
    <x:row r="133">
      <x:c r="A133" t="str">
        <x:v>OBS_JVWS_B6012B0DBF2BA2EF2C8E</x:v>
      </x:c>
      <x:c r="B133" t="str">
        <x:v>72202</x:v>
      </x:c>
      <x:c r="C133" t="str">
        <x:v>Power system electricians</x:v>
      </x:c>
      <x:c r="D133" t="str">
        <x:v>trade_power_line</x:v>
      </x:c>
      <x:c r="E133" t="str">
        <x:v>Average offered hourly wage</x:v>
      </x:c>
      <x:c r="F133" s="145" t="n">
        <x:v>36.95</x:v>
      </x:c>
      <x:c r="G133" t="str">
        <x:v>Dollars</x:v>
      </x:c>
      <x:c r="H133" s="153" t="n">
        <x:v>45108</x:v>
      </x:c>
      <x:c r="I133" s="153" t="n">
        <x:v>45199</x:v>
      </x:c>
      <x:c r="J133" t="str">
        <x:v>observed</x:v>
      </x:c>
      <x:c r="K133" t="str">
        <x:v>STATCAN_JVWS_14100444</x:v>
      </x:c>
      <x:c r="L133" t="str">
        <x:v>TR_STATCAN_JVWS_AB_NOC_1_0_0</x:v>
      </x:c>
      <x:c r="M133" t="str">
        <x:v>status:E</x:v>
      </x:c>
      <x:c r="N133" t="str">
        <x:v>https://www150.statcan.gc.ca/t1/tbl1/en/tv.action?pid=1410044401</x:v>
      </x:c>
      <x:c r="O133" t="str">
        <x:v>PASS</x:v>
      </x:c>
    </x:row>
    <x:row r="134">
      <x:c r="A134" t="str">
        <x:v>OBS_JVWS_5E8F19BBBC0EB5EB338C</x:v>
      </x:c>
      <x:c r="B134" t="str">
        <x:v>72202</x:v>
      </x:c>
      <x:c r="C134" t="str">
        <x:v>Power system electricians</x:v>
      </x:c>
      <x:c r="D134" t="str">
        <x:v>trade_power_line</x:v>
      </x:c>
      <x:c r="E134" t="str">
        <x:v>Job vacancies</x:v>
      </x:c>
      <x:c r="F134" s="145" t="n">
        <x:v>15</x:v>
      </x:c>
      <x:c r="G134" t="str">
        <x:v>Number</x:v>
      </x:c>
      <x:c r="H134" s="153" t="n">
        <x:v>45108</x:v>
      </x:c>
      <x:c r="I134" s="153" t="n">
        <x:v>45199</x:v>
      </x:c>
      <x:c r="J134" t="str">
        <x:v>observed</x:v>
      </x:c>
      <x:c r="K134" t="str">
        <x:v>STATCAN_JVWS_14100444</x:v>
      </x:c>
      <x:c r="L134" t="str">
        <x:v>TR_STATCAN_JVWS_AB_NOC_1_0_0</x:v>
      </x:c>
      <x:c r="M134" t="str">
        <x:v>status:E</x:v>
      </x:c>
      <x:c r="N134" t="str">
        <x:v>https://www150.statcan.gc.ca/t1/tbl1/en/tv.action?pid=1410044401</x:v>
      </x:c>
      <x:c r="O134" t="str">
        <x:v>PASS</x:v>
      </x:c>
    </x:row>
    <x:row r="135">
      <x:c r="A135" t="str">
        <x:v>OBS_JVWS_2A8D7CD5F9426CCB358A</x:v>
      </x:c>
      <x:c r="B135" t="str">
        <x:v>72203</x:v>
      </x:c>
      <x:c r="C135" t="str">
        <x:v>Electrical power line and cable workers</x:v>
      </x:c>
      <x:c r="D135" t="str">
        <x:v>trade_power_line</x:v>
      </x:c>
      <x:c r="E135" t="str">
        <x:v>Average offered hourly wage</x:v>
      </x:c>
      <x:c r="F135" s="145" t="n">
        <x:v>48.6</x:v>
      </x:c>
      <x:c r="G135" t="str">
        <x:v>Dollars</x:v>
      </x:c>
      <x:c r="H135" s="153" t="n">
        <x:v>45108</x:v>
      </x:c>
      <x:c r="I135" s="153" t="n">
        <x:v>45199</x:v>
      </x:c>
      <x:c r="J135" t="str">
        <x:v>observed</x:v>
      </x:c>
      <x:c r="K135" t="str">
        <x:v>STATCAN_JVWS_14100444</x:v>
      </x:c>
      <x:c r="L135" t="str">
        <x:v>TR_STATCAN_JVWS_AB_NOC_1_0_0</x:v>
      </x:c>
      <x:c r="M135" t="str">
        <x:v>status:A</x:v>
      </x:c>
      <x:c r="N135" t="str">
        <x:v>https://www150.statcan.gc.ca/t1/tbl1/en/tv.action?pid=1410044401</x:v>
      </x:c>
      <x:c r="O135" t="str">
        <x:v>PASS</x:v>
      </x:c>
    </x:row>
    <x:row r="136">
      <x:c r="A136" t="str">
        <x:v>OBS_JVWS_A3688EA831BE5E56A7F9</x:v>
      </x:c>
      <x:c r="B136" t="str">
        <x:v>72203</x:v>
      </x:c>
      <x:c r="C136" t="str">
        <x:v>Electrical power line and cable workers</x:v>
      </x:c>
      <x:c r="D136" t="str">
        <x:v>trade_power_line</x:v>
      </x:c>
      <x:c r="E136" t="str">
        <x:v>Job vacancies</x:v>
      </x:c>
      <x:c r="F136" s="145"/>
      <x:c r="G136" t="str">
        <x:v>Number</x:v>
      </x:c>
      <x:c r="H136" s="153" t="n">
        <x:v>45108</x:v>
      </x:c>
      <x:c r="I136" s="153" t="n">
        <x:v>45199</x:v>
      </x:c>
      <x:c r="J136" t="str">
        <x:v>observed</x:v>
      </x:c>
      <x:c r="K136" t="str">
        <x:v>STATCAN_JVWS_14100444</x:v>
      </x:c>
      <x:c r="L136" t="str">
        <x:v>TR_STATCAN_JVWS_AB_NOC_1_0_0</x:v>
      </x:c>
      <x:c r="M136" t="str">
        <x:v>status:F|value_missing_or_suppressed</x:v>
      </x:c>
      <x:c r="N136" t="str">
        <x:v>https://www150.statcan.gc.ca/t1/tbl1/en/tv.action?pid=1410044401</x:v>
      </x:c>
      <x:c r="O136" t="str">
        <x:v>PASS</x:v>
      </x:c>
    </x:row>
    <x:row r="137">
      <x:c r="A137" t="str">
        <x:v>OBS_JVWS_71CDEEB026E8753E2139</x:v>
      </x:c>
      <x:c r="B137" t="str">
        <x:v>73100</x:v>
      </x:c>
      <x:c r="C137" t="str">
        <x:v>Concrete finishers</x:v>
      </x:c>
      <x:c r="D137" t="str">
        <x:v>trade_concrete</x:v>
      </x:c>
      <x:c r="E137" t="str">
        <x:v>Average offered hourly wage</x:v>
      </x:c>
      <x:c r="F137" s="145" t="n">
        <x:v>28.95</x:v>
      </x:c>
      <x:c r="G137" t="str">
        <x:v>Dollars</x:v>
      </x:c>
      <x:c r="H137" s="153" t="n">
        <x:v>45017</x:v>
      </x:c>
      <x:c r="I137" s="153" t="n">
        <x:v>45107</x:v>
      </x:c>
      <x:c r="J137" t="str">
        <x:v>observed</x:v>
      </x:c>
      <x:c r="K137" t="str">
        <x:v>STATCAN_JVWS_14100444</x:v>
      </x:c>
      <x:c r="L137" t="str">
        <x:v>TR_STATCAN_JVWS_AB_NOC_1_0_0</x:v>
      </x:c>
      <x:c r="M137" t="str">
        <x:v>status:A</x:v>
      </x:c>
      <x:c r="N137" t="str">
        <x:v>https://www150.statcan.gc.ca/t1/tbl1/en/tv.action?pid=1410044401</x:v>
      </x:c>
      <x:c r="O137" t="str">
        <x:v>PASS</x:v>
      </x:c>
    </x:row>
    <x:row r="138">
      <x:c r="A138" t="str">
        <x:v>OBS_JVWS_D86AC95B972CAD8C7A84</x:v>
      </x:c>
      <x:c r="B138" t="str">
        <x:v>73100</x:v>
      </x:c>
      <x:c r="C138" t="str">
        <x:v>Concrete finishers</x:v>
      </x:c>
      <x:c r="D138" t="str">
        <x:v>trade_concrete</x:v>
      </x:c>
      <x:c r="E138" t="str">
        <x:v>Job vacancies</x:v>
      </x:c>
      <x:c r="F138" s="145"/>
      <x:c r="G138" t="str">
        <x:v>Number</x:v>
      </x:c>
      <x:c r="H138" s="153" t="n">
        <x:v>45017</x:v>
      </x:c>
      <x:c r="I138" s="153" t="n">
        <x:v>45107</x:v>
      </x:c>
      <x:c r="J138" t="str">
        <x:v>observed</x:v>
      </x:c>
      <x:c r="K138" t="str">
        <x:v>STATCAN_JVWS_14100444</x:v>
      </x:c>
      <x:c r="L138" t="str">
        <x:v>TR_STATCAN_JVWS_AB_NOC_1_0_0</x:v>
      </x:c>
      <x:c r="M138" t="str">
        <x:v>status:F|value_missing_or_suppressed</x:v>
      </x:c>
      <x:c r="N138" t="str">
        <x:v>https://www150.statcan.gc.ca/t1/tbl1/en/tv.action?pid=1410044401</x:v>
      </x:c>
      <x:c r="O138" t="str">
        <x:v>PASS</x:v>
      </x:c>
    </x:row>
    <x:row r="139">
      <x:c r="A139" t="str">
        <x:v>OBS_JVWS_7C8968DF4425E97D549A</x:v>
      </x:c>
      <x:c r="B139" t="str">
        <x:v>72200</x:v>
      </x:c>
      <x:c r="C139" t="str">
        <x:v>Electricians (except industrial and power system)</x:v>
      </x:c>
      <x:c r="D139" t="str">
        <x:v>trade_electricians</x:v>
      </x:c>
      <x:c r="E139" t="str">
        <x:v>Average offered hourly wage</x:v>
      </x:c>
      <x:c r="F139" s="145" t="n">
        <x:v>29.7</x:v>
      </x:c>
      <x:c r="G139" t="str">
        <x:v>Dollars</x:v>
      </x:c>
      <x:c r="H139" s="153" t="n">
        <x:v>45017</x:v>
      </x:c>
      <x:c r="I139" s="153" t="n">
        <x:v>45107</x:v>
      </x:c>
      <x:c r="J139" t="str">
        <x:v>observed</x:v>
      </x:c>
      <x:c r="K139" t="str">
        <x:v>STATCAN_JVWS_14100444</x:v>
      </x:c>
      <x:c r="L139" t="str">
        <x:v>TR_STATCAN_JVWS_AB_NOC_1_0_0</x:v>
      </x:c>
      <x:c r="M139" t="str">
        <x:v>status:B</x:v>
      </x:c>
      <x:c r="N139" t="str">
        <x:v>https://www150.statcan.gc.ca/t1/tbl1/en/tv.action?pid=1410044401</x:v>
      </x:c>
      <x:c r="O139" t="str">
        <x:v>PASS</x:v>
      </x:c>
    </x:row>
    <x:row r="140">
      <x:c r="A140" t="str">
        <x:v>OBS_JVWS_842F9234291787461653</x:v>
      </x:c>
      <x:c r="B140" t="str">
        <x:v>72200</x:v>
      </x:c>
      <x:c r="C140" t="str">
        <x:v>Electricians (except industrial and power system)</x:v>
      </x:c>
      <x:c r="D140" t="str">
        <x:v>trade_electricians</x:v>
      </x:c>
      <x:c r="E140" t="str">
        <x:v>Job vacancies</x:v>
      </x:c>
      <x:c r="F140" s="145" t="n">
        <x:v>830</x:v>
      </x:c>
      <x:c r="G140" t="str">
        <x:v>Number</x:v>
      </x:c>
      <x:c r="H140" s="153" t="n">
        <x:v>45017</x:v>
      </x:c>
      <x:c r="I140" s="153" t="n">
        <x:v>45107</x:v>
      </x:c>
      <x:c r="J140" t="str">
        <x:v>observed</x:v>
      </x:c>
      <x:c r="K140" t="str">
        <x:v>STATCAN_JVWS_14100444</x:v>
      </x:c>
      <x:c r="L140" t="str">
        <x:v>TR_STATCAN_JVWS_AB_NOC_1_0_0</x:v>
      </x:c>
      <x:c r="M140" t="str">
        <x:v>status:E</x:v>
      </x:c>
      <x:c r="N140" t="str">
        <x:v>https://www150.statcan.gc.ca/t1/tbl1/en/tv.action?pid=1410044401</x:v>
      </x:c>
      <x:c r="O140" t="str">
        <x:v>PASS</x:v>
      </x:c>
    </x:row>
    <x:row r="141">
      <x:c r="A141" t="str">
        <x:v>OBS_JVWS_1668F82C3E65CEE0613C</x:v>
      </x:c>
      <x:c r="B141" t="str">
        <x:v>72201</x:v>
      </x:c>
      <x:c r="C141" t="str">
        <x:v>Industrial electricians</x:v>
      </x:c>
      <x:c r="D141" t="str">
        <x:v>trade_electricians</x:v>
      </x:c>
      <x:c r="E141" t="str">
        <x:v>Average offered hourly wage</x:v>
      </x:c>
      <x:c r="F141" s="145" t="n">
        <x:v>37.45</x:v>
      </x:c>
      <x:c r="G141" t="str">
        <x:v>Dollars</x:v>
      </x:c>
      <x:c r="H141" s="153" t="n">
        <x:v>45017</x:v>
      </x:c>
      <x:c r="I141" s="153" t="n">
        <x:v>45107</x:v>
      </x:c>
      <x:c r="J141" t="str">
        <x:v>observed</x:v>
      </x:c>
      <x:c r="K141" t="str">
        <x:v>STATCAN_JVWS_14100444</x:v>
      </x:c>
      <x:c r="L141" t="str">
        <x:v>TR_STATCAN_JVWS_AB_NOC_1_0_0</x:v>
      </x:c>
      <x:c r="M141" t="str">
        <x:v>status:C</x:v>
      </x:c>
      <x:c r="N141" t="str">
        <x:v>https://www150.statcan.gc.ca/t1/tbl1/en/tv.action?pid=1410044401</x:v>
      </x:c>
      <x:c r="O141" t="str">
        <x:v>PASS</x:v>
      </x:c>
    </x:row>
    <x:row r="142">
      <x:c r="A142" t="str">
        <x:v>OBS_JVWS_8872DFBEC712D8403159</x:v>
      </x:c>
      <x:c r="B142" t="str">
        <x:v>72201</x:v>
      </x:c>
      <x:c r="C142" t="str">
        <x:v>Industrial electricians</x:v>
      </x:c>
      <x:c r="D142" t="str">
        <x:v>trade_electricians</x:v>
      </x:c>
      <x:c r="E142" t="str">
        <x:v>Job vacancies</x:v>
      </x:c>
      <x:c r="F142" s="145" t="n">
        <x:v>105</x:v>
      </x:c>
      <x:c r="G142" t="str">
        <x:v>Number</x:v>
      </x:c>
      <x:c r="H142" s="153" t="n">
        <x:v>45017</x:v>
      </x:c>
      <x:c r="I142" s="153" t="n">
        <x:v>45107</x:v>
      </x:c>
      <x:c r="J142" t="str">
        <x:v>observed</x:v>
      </x:c>
      <x:c r="K142" t="str">
        <x:v>STATCAN_JVWS_14100444</x:v>
      </x:c>
      <x:c r="L142" t="str">
        <x:v>TR_STATCAN_JVWS_AB_NOC_1_0_0</x:v>
      </x:c>
      <x:c r="M142" t="str">
        <x:v>status:D</x:v>
      </x:c>
      <x:c r="N142" t="str">
        <x:v>https://www150.statcan.gc.ca/t1/tbl1/en/tv.action?pid=1410044401</x:v>
      </x:c>
      <x:c r="O142" t="str">
        <x:v>PASS</x:v>
      </x:c>
    </x:row>
    <x:row r="143">
      <x:c r="A143" t="str">
        <x:v>OBS_JVWS_BD1E5BF5BCEA27581A9B</x:v>
      </x:c>
      <x:c r="B143" t="str">
        <x:v>72402</x:v>
      </x:c>
      <x:c r="C143" t="str">
        <x:v>Heating, refrigeration and air conditioning mechanics</x:v>
      </x:c>
      <x:c r="D143" t="str">
        <x:v>trade_hvac</x:v>
      </x:c>
      <x:c r="E143" t="str">
        <x:v>Average offered hourly wage</x:v>
      </x:c>
      <x:c r="F143" s="145" t="n">
        <x:v>35.6</x:v>
      </x:c>
      <x:c r="G143" t="str">
        <x:v>Dollars</x:v>
      </x:c>
      <x:c r="H143" s="153" t="n">
        <x:v>45017</x:v>
      </x:c>
      <x:c r="I143" s="153" t="n">
        <x:v>45107</x:v>
      </x:c>
      <x:c r="J143" t="str">
        <x:v>observed</x:v>
      </x:c>
      <x:c r="K143" t="str">
        <x:v>STATCAN_JVWS_14100444</x:v>
      </x:c>
      <x:c r="L143" t="str">
        <x:v>TR_STATCAN_JVWS_AB_NOC_1_0_0</x:v>
      </x:c>
      <x:c r="M143" t="str">
        <x:v>status:B</x:v>
      </x:c>
      <x:c r="N143" t="str">
        <x:v>https://www150.statcan.gc.ca/t1/tbl1/en/tv.action?pid=1410044401</x:v>
      </x:c>
      <x:c r="O143" t="str">
        <x:v>PASS</x:v>
      </x:c>
    </x:row>
    <x:row r="144">
      <x:c r="A144" t="str">
        <x:v>OBS_JVWS_13B6230D1879B3C431B3</x:v>
      </x:c>
      <x:c r="B144" t="str">
        <x:v>72402</x:v>
      </x:c>
      <x:c r="C144" t="str">
        <x:v>Heating, refrigeration and air conditioning mechanics</x:v>
      </x:c>
      <x:c r="D144" t="str">
        <x:v>trade_hvac</x:v>
      </x:c>
      <x:c r="E144" t="str">
        <x:v>Job vacancies</x:v>
      </x:c>
      <x:c r="F144" s="145"/>
      <x:c r="G144" t="str">
        <x:v>Number</x:v>
      </x:c>
      <x:c r="H144" s="153" t="n">
        <x:v>45017</x:v>
      </x:c>
      <x:c r="I144" s="153" t="n">
        <x:v>45107</x:v>
      </x:c>
      <x:c r="J144" t="str">
        <x:v>observed</x:v>
      </x:c>
      <x:c r="K144" t="str">
        <x:v>STATCAN_JVWS_14100444</x:v>
      </x:c>
      <x:c r="L144" t="str">
        <x:v>TR_STATCAN_JVWS_AB_NOC_1_0_0</x:v>
      </x:c>
      <x:c r="M144" t="str">
        <x:v>status:F|value_missing_or_suppressed</x:v>
      </x:c>
      <x:c r="N144" t="str">
        <x:v>https://www150.statcan.gc.ca/t1/tbl1/en/tv.action?pid=1410044401</x:v>
      </x:c>
      <x:c r="O144" t="str">
        <x:v>PASS</x:v>
      </x:c>
    </x:row>
    <x:row r="145">
      <x:c r="A145" t="str">
        <x:v>OBS_JVWS_0B7B207524AA3285F5D1</x:v>
      </x:c>
      <x:c r="B145" t="str">
        <x:v>72202</x:v>
      </x:c>
      <x:c r="C145" t="str">
        <x:v>Power system electricians</x:v>
      </x:c>
      <x:c r="D145" t="str">
        <x:v>trade_power_line</x:v>
      </x:c>
      <x:c r="E145" t="str">
        <x:v>Average offered hourly wage</x:v>
      </x:c>
      <x:c r="F145" s="145"/>
      <x:c r="G145" t="str">
        <x:v>Dollars</x:v>
      </x:c>
      <x:c r="H145" s="153" t="n">
        <x:v>45017</x:v>
      </x:c>
      <x:c r="I145" s="153" t="n">
        <x:v>45107</x:v>
      </x:c>
      <x:c r="J145" t="str">
        <x:v>observed</x:v>
      </x:c>
      <x:c r="K145" t="str">
        <x:v>STATCAN_JVWS_14100444</x:v>
      </x:c>
      <x:c r="L145" t="str">
        <x:v>TR_STATCAN_JVWS_AB_NOC_1_0_0</x:v>
      </x:c>
      <x:c r="M145" t="str">
        <x:v>status:F|value_missing_or_suppressed</x:v>
      </x:c>
      <x:c r="N145" t="str">
        <x:v>https://www150.statcan.gc.ca/t1/tbl1/en/tv.action?pid=1410044401</x:v>
      </x:c>
      <x:c r="O145" t="str">
        <x:v>PASS</x:v>
      </x:c>
    </x:row>
    <x:row r="146">
      <x:c r="A146" t="str">
        <x:v>OBS_JVWS_2DE48CA80D67EB7237D8</x:v>
      </x:c>
      <x:c r="B146" t="str">
        <x:v>72202</x:v>
      </x:c>
      <x:c r="C146" t="str">
        <x:v>Power system electricians</x:v>
      </x:c>
      <x:c r="D146" t="str">
        <x:v>trade_power_line</x:v>
      </x:c>
      <x:c r="E146" t="str">
        <x:v>Job vacancies</x:v>
      </x:c>
      <x:c r="F146" s="145"/>
      <x:c r="G146" t="str">
        <x:v>Number</x:v>
      </x:c>
      <x:c r="H146" s="153" t="n">
        <x:v>45017</x:v>
      </x:c>
      <x:c r="I146" s="153" t="n">
        <x:v>45107</x:v>
      </x:c>
      <x:c r="J146" t="str">
        <x:v>observed</x:v>
      </x:c>
      <x:c r="K146" t="str">
        <x:v>STATCAN_JVWS_14100444</x:v>
      </x:c>
      <x:c r="L146" t="str">
        <x:v>TR_STATCAN_JVWS_AB_NOC_1_0_0</x:v>
      </x:c>
      <x:c r="M146" t="str">
        <x:v>status:F|value_missing_or_suppressed</x:v>
      </x:c>
      <x:c r="N146" t="str">
        <x:v>https://www150.statcan.gc.ca/t1/tbl1/en/tv.action?pid=1410044401</x:v>
      </x:c>
      <x:c r="O146" t="str">
        <x:v>PASS</x:v>
      </x:c>
    </x:row>
    <x:row r="147">
      <x:c r="A147" t="str">
        <x:v>OBS_JVWS_7AFAA330C27E20D0DFE7</x:v>
      </x:c>
      <x:c r="B147" t="str">
        <x:v>72203</x:v>
      </x:c>
      <x:c r="C147" t="str">
        <x:v>Electrical power line and cable workers</x:v>
      </x:c>
      <x:c r="D147" t="str">
        <x:v>trade_power_line</x:v>
      </x:c>
      <x:c r="E147" t="str">
        <x:v>Average offered hourly wage</x:v>
      </x:c>
      <x:c r="F147" s="145" t="n">
        <x:v>35.4</x:v>
      </x:c>
      <x:c r="G147" t="str">
        <x:v>Dollars</x:v>
      </x:c>
      <x:c r="H147" s="153" t="n">
        <x:v>45017</x:v>
      </x:c>
      <x:c r="I147" s="153" t="n">
        <x:v>45107</x:v>
      </x:c>
      <x:c r="J147" t="str">
        <x:v>observed</x:v>
      </x:c>
      <x:c r="K147" t="str">
        <x:v>STATCAN_JVWS_14100444</x:v>
      </x:c>
      <x:c r="L147" t="str">
        <x:v>TR_STATCAN_JVWS_AB_NOC_1_0_0</x:v>
      </x:c>
      <x:c r="M147" t="str">
        <x:v>status:D</x:v>
      </x:c>
      <x:c r="N147" t="str">
        <x:v>https://www150.statcan.gc.ca/t1/tbl1/en/tv.action?pid=1410044401</x:v>
      </x:c>
      <x:c r="O147" t="str">
        <x:v>PASS</x:v>
      </x:c>
    </x:row>
    <x:row r="148">
      <x:c r="A148" t="str">
        <x:v>OBS_JVWS_EADCB89632B607372BF5</x:v>
      </x:c>
      <x:c r="B148" t="str">
        <x:v>72203</x:v>
      </x:c>
      <x:c r="C148" t="str">
        <x:v>Electrical power line and cable workers</x:v>
      </x:c>
      <x:c r="D148" t="str">
        <x:v>trade_power_line</x:v>
      </x:c>
      <x:c r="E148" t="str">
        <x:v>Job vacancies</x:v>
      </x:c>
      <x:c r="F148" s="145"/>
      <x:c r="G148" t="str">
        <x:v>Number</x:v>
      </x:c>
      <x:c r="H148" s="153" t="n">
        <x:v>45017</x:v>
      </x:c>
      <x:c r="I148" s="153" t="n">
        <x:v>45107</x:v>
      </x:c>
      <x:c r="J148" t="str">
        <x:v>observed</x:v>
      </x:c>
      <x:c r="K148" t="str">
        <x:v>STATCAN_JVWS_14100444</x:v>
      </x:c>
      <x:c r="L148" t="str">
        <x:v>TR_STATCAN_JVWS_AB_NOC_1_0_0</x:v>
      </x:c>
      <x:c r="M148" t="str">
        <x:v>status:F|value_missing_or_suppressed</x:v>
      </x:c>
      <x:c r="N148" t="str">
        <x:v>https://www150.statcan.gc.ca/t1/tbl1/en/tv.action?pid=1410044401</x:v>
      </x:c>
      <x:c r="O148" t="str">
        <x:v>PASS</x:v>
      </x:c>
    </x:row>
    <x:row r="149">
      <x:c r="A149" t="str">
        <x:v>OBS_JVWS_3EBD86CD757DB42EC2AD</x:v>
      </x:c>
      <x:c r="B149" t="str">
        <x:v>73100</x:v>
      </x:c>
      <x:c r="C149" t="str">
        <x:v>Concrete finishers</x:v>
      </x:c>
      <x:c r="D149" t="str">
        <x:v>trade_concrete</x:v>
      </x:c>
      <x:c r="E149" t="str">
        <x:v>Average offered hourly wage</x:v>
      </x:c>
      <x:c r="F149" s="145" t="n">
        <x:v>29.85</x:v>
      </x:c>
      <x:c r="G149" t="str">
        <x:v>Dollars</x:v>
      </x:c>
      <x:c r="H149" s="153" t="n">
        <x:v>44927</x:v>
      </x:c>
      <x:c r="I149" s="153" t="n">
        <x:v>45016</x:v>
      </x:c>
      <x:c r="J149" t="str">
        <x:v>observed</x:v>
      </x:c>
      <x:c r="K149" t="str">
        <x:v>STATCAN_JVWS_14100444</x:v>
      </x:c>
      <x:c r="L149" t="str">
        <x:v>TR_STATCAN_JVWS_AB_NOC_1_0_0</x:v>
      </x:c>
      <x:c r="M149" t="str">
        <x:v>status:A</x:v>
      </x:c>
      <x:c r="N149" t="str">
        <x:v>https://www150.statcan.gc.ca/t1/tbl1/en/tv.action?pid=1410044401</x:v>
      </x:c>
      <x:c r="O149" t="str">
        <x:v>PASS</x:v>
      </x:c>
    </x:row>
    <x:row r="150">
      <x:c r="A150" t="str">
        <x:v>OBS_JVWS_7E1860959CEE5D0AB936</x:v>
      </x:c>
      <x:c r="B150" t="str">
        <x:v>73100</x:v>
      </x:c>
      <x:c r="C150" t="str">
        <x:v>Concrete finishers</x:v>
      </x:c>
      <x:c r="D150" t="str">
        <x:v>trade_concrete</x:v>
      </x:c>
      <x:c r="E150" t="str">
        <x:v>Job vacancies</x:v>
      </x:c>
      <x:c r="F150" s="145"/>
      <x:c r="G150" t="str">
        <x:v>Number</x:v>
      </x:c>
      <x:c r="H150" s="153" t="n">
        <x:v>44927</x:v>
      </x:c>
      <x:c r="I150" s="153" t="n">
        <x:v>45016</x:v>
      </x:c>
      <x:c r="J150" t="str">
        <x:v>observed</x:v>
      </x:c>
      <x:c r="K150" t="str">
        <x:v>STATCAN_JVWS_14100444</x:v>
      </x:c>
      <x:c r="L150" t="str">
        <x:v>TR_STATCAN_JVWS_AB_NOC_1_0_0</x:v>
      </x:c>
      <x:c r="M150" t="str">
        <x:v>status:F|value_missing_or_suppressed</x:v>
      </x:c>
      <x:c r="N150" t="str">
        <x:v>https://www150.statcan.gc.ca/t1/tbl1/en/tv.action?pid=1410044401</x:v>
      </x:c>
      <x:c r="O150" t="str">
        <x:v>PASS</x:v>
      </x:c>
    </x:row>
    <x:row r="151">
      <x:c r="A151" t="str">
        <x:v>OBS_JVWS_556C9BB53BAD25AB0E7F</x:v>
      </x:c>
      <x:c r="B151" t="str">
        <x:v>72200</x:v>
      </x:c>
      <x:c r="C151" t="str">
        <x:v>Electricians (except industrial and power system)</x:v>
      </x:c>
      <x:c r="D151" t="str">
        <x:v>trade_electricians</x:v>
      </x:c>
      <x:c r="E151" t="str">
        <x:v>Average offered hourly wage</x:v>
      </x:c>
      <x:c r="F151" s="145" t="n">
        <x:v>32.05</x:v>
      </x:c>
      <x:c r="G151" t="str">
        <x:v>Dollars</x:v>
      </x:c>
      <x:c r="H151" s="153" t="n">
        <x:v>44927</x:v>
      </x:c>
      <x:c r="I151" s="153" t="n">
        <x:v>45016</x:v>
      </x:c>
      <x:c r="J151" t="str">
        <x:v>observed</x:v>
      </x:c>
      <x:c r="K151" t="str">
        <x:v>STATCAN_JVWS_14100444</x:v>
      </x:c>
      <x:c r="L151" t="str">
        <x:v>TR_STATCAN_JVWS_AB_NOC_1_0_0</x:v>
      </x:c>
      <x:c r="M151" t="str">
        <x:v>status:B</x:v>
      </x:c>
      <x:c r="N151" t="str">
        <x:v>https://www150.statcan.gc.ca/t1/tbl1/en/tv.action?pid=1410044401</x:v>
      </x:c>
      <x:c r="O151" t="str">
        <x:v>PASS</x:v>
      </x:c>
    </x:row>
    <x:row r="152">
      <x:c r="A152" t="str">
        <x:v>OBS_JVWS_38B64344B494A7772E90</x:v>
      </x:c>
      <x:c r="B152" t="str">
        <x:v>72200</x:v>
      </x:c>
      <x:c r="C152" t="str">
        <x:v>Electricians (except industrial and power system)</x:v>
      </x:c>
      <x:c r="D152" t="str">
        <x:v>trade_electricians</x:v>
      </x:c>
      <x:c r="E152" t="str">
        <x:v>Job vacancies</x:v>
      </x:c>
      <x:c r="F152" s="145" t="n">
        <x:v>1375</x:v>
      </x:c>
      <x:c r="G152" t="str">
        <x:v>Number</x:v>
      </x:c>
      <x:c r="H152" s="153" t="n">
        <x:v>44927</x:v>
      </x:c>
      <x:c r="I152" s="153" t="n">
        <x:v>45016</x:v>
      </x:c>
      <x:c r="J152" t="str">
        <x:v>observed</x:v>
      </x:c>
      <x:c r="K152" t="str">
        <x:v>STATCAN_JVWS_14100444</x:v>
      </x:c>
      <x:c r="L152" t="str">
        <x:v>TR_STATCAN_JVWS_AB_NOC_1_0_0</x:v>
      </x:c>
      <x:c r="M152" t="str">
        <x:v>status:E</x:v>
      </x:c>
      <x:c r="N152" t="str">
        <x:v>https://www150.statcan.gc.ca/t1/tbl1/en/tv.action?pid=1410044401</x:v>
      </x:c>
      <x:c r="O152" t="str">
        <x:v>PASS</x:v>
      </x:c>
    </x:row>
    <x:row r="153">
      <x:c r="A153" t="str">
        <x:v>OBS_JVWS_A1A5635E4841E190CAF8</x:v>
      </x:c>
      <x:c r="B153" t="str">
        <x:v>72201</x:v>
      </x:c>
      <x:c r="C153" t="str">
        <x:v>Industrial electricians</x:v>
      </x:c>
      <x:c r="D153" t="str">
        <x:v>trade_electricians</x:v>
      </x:c>
      <x:c r="E153" t="str">
        <x:v>Average offered hourly wage</x:v>
      </x:c>
      <x:c r="F153" s="145" t="n">
        <x:v>36.65</x:v>
      </x:c>
      <x:c r="G153" t="str">
        <x:v>Dollars</x:v>
      </x:c>
      <x:c r="H153" s="153" t="n">
        <x:v>44927</x:v>
      </x:c>
      <x:c r="I153" s="153" t="n">
        <x:v>45016</x:v>
      </x:c>
      <x:c r="J153" t="str">
        <x:v>observed</x:v>
      </x:c>
      <x:c r="K153" t="str">
        <x:v>STATCAN_JVWS_14100444</x:v>
      </x:c>
      <x:c r="L153" t="str">
        <x:v>TR_STATCAN_JVWS_AB_NOC_1_0_0</x:v>
      </x:c>
      <x:c r="M153" t="str">
        <x:v>status:B</x:v>
      </x:c>
      <x:c r="N153" t="str">
        <x:v>https://www150.statcan.gc.ca/t1/tbl1/en/tv.action?pid=1410044401</x:v>
      </x:c>
      <x:c r="O153" t="str">
        <x:v>PASS</x:v>
      </x:c>
    </x:row>
    <x:row r="154">
      <x:c r="A154" t="str">
        <x:v>OBS_JVWS_42453E314BC6081B459D</x:v>
      </x:c>
      <x:c r="B154" t="str">
        <x:v>72201</x:v>
      </x:c>
      <x:c r="C154" t="str">
        <x:v>Industrial electricians</x:v>
      </x:c>
      <x:c r="D154" t="str">
        <x:v>trade_electricians</x:v>
      </x:c>
      <x:c r="E154" t="str">
        <x:v>Job vacancies</x:v>
      </x:c>
      <x:c r="F154" s="145" t="n">
        <x:v>50</x:v>
      </x:c>
      <x:c r="G154" t="str">
        <x:v>Number</x:v>
      </x:c>
      <x:c r="H154" s="153" t="n">
        <x:v>44927</x:v>
      </x:c>
      <x:c r="I154" s="153" t="n">
        <x:v>45016</x:v>
      </x:c>
      <x:c r="J154" t="str">
        <x:v>observed</x:v>
      </x:c>
      <x:c r="K154" t="str">
        <x:v>STATCAN_JVWS_14100444</x:v>
      </x:c>
      <x:c r="L154" t="str">
        <x:v>TR_STATCAN_JVWS_AB_NOC_1_0_0</x:v>
      </x:c>
      <x:c r="M154" t="str">
        <x:v>status:D</x:v>
      </x:c>
      <x:c r="N154" t="str">
        <x:v>https://www150.statcan.gc.ca/t1/tbl1/en/tv.action?pid=1410044401</x:v>
      </x:c>
      <x:c r="O154" t="str">
        <x:v>PASS</x:v>
      </x:c>
    </x:row>
    <x:row r="155">
      <x:c r="A155" t="str">
        <x:v>OBS_JVWS_431E2A54286EA0AC756D</x:v>
      </x:c>
      <x:c r="B155" t="str">
        <x:v>72402</x:v>
      </x:c>
      <x:c r="C155" t="str">
        <x:v>Heating, refrigeration and air conditioning mechanics</x:v>
      </x:c>
      <x:c r="D155" t="str">
        <x:v>trade_hvac</x:v>
      </x:c>
      <x:c r="E155" t="str">
        <x:v>Average offered hourly wage</x:v>
      </x:c>
      <x:c r="F155" s="145" t="n">
        <x:v>39.35</x:v>
      </x:c>
      <x:c r="G155" t="str">
        <x:v>Dollars</x:v>
      </x:c>
      <x:c r="H155" s="153" t="n">
        <x:v>44927</x:v>
      </x:c>
      <x:c r="I155" s="153" t="n">
        <x:v>45016</x:v>
      </x:c>
      <x:c r="J155" t="str">
        <x:v>observed</x:v>
      </x:c>
      <x:c r="K155" t="str">
        <x:v>STATCAN_JVWS_14100444</x:v>
      </x:c>
      <x:c r="L155" t="str">
        <x:v>TR_STATCAN_JVWS_AB_NOC_1_0_0</x:v>
      </x:c>
      <x:c r="M155" t="str">
        <x:v>status:B</x:v>
      </x:c>
      <x:c r="N155" t="str">
        <x:v>https://www150.statcan.gc.ca/t1/tbl1/en/tv.action?pid=1410044401</x:v>
      </x:c>
      <x:c r="O155" t="str">
        <x:v>PASS</x:v>
      </x:c>
    </x:row>
    <x:row r="156">
      <x:c r="A156" t="str">
        <x:v>OBS_JVWS_6DE939D8F6EB2582DC5F</x:v>
      </x:c>
      <x:c r="B156" t="str">
        <x:v>72402</x:v>
      </x:c>
      <x:c r="C156" t="str">
        <x:v>Heating, refrigeration and air conditioning mechanics</x:v>
      </x:c>
      <x:c r="D156" t="str">
        <x:v>trade_hvac</x:v>
      </x:c>
      <x:c r="E156" t="str">
        <x:v>Job vacancies</x:v>
      </x:c>
      <x:c r="F156" s="145" t="n">
        <x:v>145</x:v>
      </x:c>
      <x:c r="G156" t="str">
        <x:v>Number</x:v>
      </x:c>
      <x:c r="H156" s="153" t="n">
        <x:v>44927</x:v>
      </x:c>
      <x:c r="I156" s="153" t="n">
        <x:v>45016</x:v>
      </x:c>
      <x:c r="J156" t="str">
        <x:v>observed</x:v>
      </x:c>
      <x:c r="K156" t="str">
        <x:v>STATCAN_JVWS_14100444</x:v>
      </x:c>
      <x:c r="L156" t="str">
        <x:v>TR_STATCAN_JVWS_AB_NOC_1_0_0</x:v>
      </x:c>
      <x:c r="M156" t="str">
        <x:v>status:E</x:v>
      </x:c>
      <x:c r="N156" t="str">
        <x:v>https://www150.statcan.gc.ca/t1/tbl1/en/tv.action?pid=1410044401</x:v>
      </x:c>
      <x:c r="O156" t="str">
        <x:v>PASS</x:v>
      </x:c>
    </x:row>
    <x:row r="157">
      <x:c r="A157" t="str">
        <x:v>OBS_JVWS_0AFE37E3FA98D0F89827</x:v>
      </x:c>
      <x:c r="B157" t="str">
        <x:v>72202</x:v>
      </x:c>
      <x:c r="C157" t="str">
        <x:v>Power system electricians</x:v>
      </x:c>
      <x:c r="D157" t="str">
        <x:v>trade_power_line</x:v>
      </x:c>
      <x:c r="E157" t="str">
        <x:v>Average offered hourly wage</x:v>
      </x:c>
      <x:c r="F157" s="145"/>
      <x:c r="G157" t="str">
        <x:v>Dollars</x:v>
      </x:c>
      <x:c r="H157" s="153" t="n">
        <x:v>44927</x:v>
      </x:c>
      <x:c r="I157" s="153" t="n">
        <x:v>45016</x:v>
      </x:c>
      <x:c r="J157" t="str">
        <x:v>observed</x:v>
      </x:c>
      <x:c r="K157" t="str">
        <x:v>STATCAN_JVWS_14100444</x:v>
      </x:c>
      <x:c r="L157" t="str">
        <x:v>TR_STATCAN_JVWS_AB_NOC_1_0_0</x:v>
      </x:c>
      <x:c r="M157" t="str">
        <x:v>status:F|value_missing_or_suppressed</x:v>
      </x:c>
      <x:c r="N157" t="str">
        <x:v>https://www150.statcan.gc.ca/t1/tbl1/en/tv.action?pid=1410044401</x:v>
      </x:c>
      <x:c r="O157" t="str">
        <x:v>PASS</x:v>
      </x:c>
    </x:row>
    <x:row r="158">
      <x:c r="A158" t="str">
        <x:v>OBS_JVWS_86796A867543B628F96B</x:v>
      </x:c>
      <x:c r="B158" t="str">
        <x:v>72202</x:v>
      </x:c>
      <x:c r="C158" t="str">
        <x:v>Power system electricians</x:v>
      </x:c>
      <x:c r="D158" t="str">
        <x:v>trade_power_line</x:v>
      </x:c>
      <x:c r="E158" t="str">
        <x:v>Job vacancies</x:v>
      </x:c>
      <x:c r="F158" s="145"/>
      <x:c r="G158" t="str">
        <x:v>Number</x:v>
      </x:c>
      <x:c r="H158" s="153" t="n">
        <x:v>44927</x:v>
      </x:c>
      <x:c r="I158" s="153" t="n">
        <x:v>45016</x:v>
      </x:c>
      <x:c r="J158" t="str">
        <x:v>observed</x:v>
      </x:c>
      <x:c r="K158" t="str">
        <x:v>STATCAN_JVWS_14100444</x:v>
      </x:c>
      <x:c r="L158" t="str">
        <x:v>TR_STATCAN_JVWS_AB_NOC_1_0_0</x:v>
      </x:c>
      <x:c r="M158" t="str">
        <x:v>status:F|value_missing_or_suppressed</x:v>
      </x:c>
      <x:c r="N158" t="str">
        <x:v>https://www150.statcan.gc.ca/t1/tbl1/en/tv.action?pid=1410044401</x:v>
      </x:c>
      <x:c r="O158" t="str">
        <x:v>PASS</x:v>
      </x:c>
    </x:row>
    <x:row r="159">
      <x:c r="A159" t="str">
        <x:v>OBS_JVWS_EDECD1AA0C5F3EFE3489</x:v>
      </x:c>
      <x:c r="B159" t="str">
        <x:v>72203</x:v>
      </x:c>
      <x:c r="C159" t="str">
        <x:v>Electrical power line and cable workers</x:v>
      </x:c>
      <x:c r="D159" t="str">
        <x:v>trade_power_line</x:v>
      </x:c>
      <x:c r="E159" t="str">
        <x:v>Average offered hourly wage</x:v>
      </x:c>
      <x:c r="F159" s="145" t="n">
        <x:v>42.6</x:v>
      </x:c>
      <x:c r="G159" t="str">
        <x:v>Dollars</x:v>
      </x:c>
      <x:c r="H159" s="153" t="n">
        <x:v>44927</x:v>
      </x:c>
      <x:c r="I159" s="153" t="n">
        <x:v>45016</x:v>
      </x:c>
      <x:c r="J159" t="str">
        <x:v>observed</x:v>
      </x:c>
      <x:c r="K159" t="str">
        <x:v>STATCAN_JVWS_14100444</x:v>
      </x:c>
      <x:c r="L159" t="str">
        <x:v>TR_STATCAN_JVWS_AB_NOC_1_0_0</x:v>
      </x:c>
      <x:c r="M159" t="str">
        <x:v>status:B</x:v>
      </x:c>
      <x:c r="N159" t="str">
        <x:v>https://www150.statcan.gc.ca/t1/tbl1/en/tv.action?pid=1410044401</x:v>
      </x:c>
      <x:c r="O159" t="str">
        <x:v>PASS</x:v>
      </x:c>
    </x:row>
    <x:row r="160">
      <x:c r="A160" t="str">
        <x:v>OBS_JVWS_5F357EA5DE3EA4423AC7</x:v>
      </x:c>
      <x:c r="B160" t="str">
        <x:v>72203</x:v>
      </x:c>
      <x:c r="C160" t="str">
        <x:v>Electrical power line and cable workers</x:v>
      </x:c>
      <x:c r="D160" t="str">
        <x:v>trade_power_line</x:v>
      </x:c>
      <x:c r="E160" t="str">
        <x:v>Job vacancies</x:v>
      </x:c>
      <x:c r="F160" s="145"/>
      <x:c r="G160" t="str">
        <x:v>Number</x:v>
      </x:c>
      <x:c r="H160" s="153" t="n">
        <x:v>44927</x:v>
      </x:c>
      <x:c r="I160" s="153" t="n">
        <x:v>45016</x:v>
      </x:c>
      <x:c r="J160" t="str">
        <x:v>observed</x:v>
      </x:c>
      <x:c r="K160" t="str">
        <x:v>STATCAN_JVWS_14100444</x:v>
      </x:c>
      <x:c r="L160" t="str">
        <x:v>TR_STATCAN_JVWS_AB_NOC_1_0_0</x:v>
      </x:c>
      <x:c r="M160" t="str">
        <x:v>status:F|value_missing_or_suppressed</x:v>
      </x:c>
      <x:c r="N160" t="str">
        <x:v>https://www150.statcan.gc.ca/t1/tbl1/en/tv.action?pid=1410044401</x:v>
      </x:c>
      <x:c r="O160" t="str">
        <x:v>PASS</x:v>
      </x:c>
    </x:row>
    <x:row r="161">
      <x:c r="A161" t="str">
        <x:v>OBS_JVWS_CE78530E56B569927206</x:v>
      </x:c>
      <x:c r="B161" t="str">
        <x:v>73100</x:v>
      </x:c>
      <x:c r="C161" t="str">
        <x:v>Concrete finishers</x:v>
      </x:c>
      <x:c r="D161" t="str">
        <x:v>trade_concrete</x:v>
      </x:c>
      <x:c r="E161" t="str">
        <x:v>Average offered hourly wage</x:v>
      </x:c>
      <x:c r="F161" s="145" t="n">
        <x:v>29.2</x:v>
      </x:c>
      <x:c r="G161" t="str">
        <x:v>Dollars</x:v>
      </x:c>
      <x:c r="H161" s="153" t="n">
        <x:v>44835</x:v>
      </x:c>
      <x:c r="I161" s="153" t="n">
        <x:v>44926</x:v>
      </x:c>
      <x:c r="J161" t="str">
        <x:v>observed</x:v>
      </x:c>
      <x:c r="K161" t="str">
        <x:v>STATCAN_JVWS_14100444</x:v>
      </x:c>
      <x:c r="L161" t="str">
        <x:v>TR_STATCAN_JVWS_AB_NOC_1_0_0</x:v>
      </x:c>
      <x:c r="M161" t="str">
        <x:v>status:A</x:v>
      </x:c>
      <x:c r="N161" t="str">
        <x:v>https://www150.statcan.gc.ca/t1/tbl1/en/tv.action?pid=1410044401</x:v>
      </x:c>
      <x:c r="O161" t="str">
        <x:v>PASS</x:v>
      </x:c>
    </x:row>
    <x:row r="162">
      <x:c r="A162" t="str">
        <x:v>OBS_JVWS_B4C9D7FA47A3740FF74C</x:v>
      </x:c>
      <x:c r="B162" t="str">
        <x:v>73100</x:v>
      </x:c>
      <x:c r="C162" t="str">
        <x:v>Concrete finishers</x:v>
      </x:c>
      <x:c r="D162" t="str">
        <x:v>trade_concrete</x:v>
      </x:c>
      <x:c r="E162" t="str">
        <x:v>Job vacancies</x:v>
      </x:c>
      <x:c r="F162" s="145"/>
      <x:c r="G162" t="str">
        <x:v>Number</x:v>
      </x:c>
      <x:c r="H162" s="153" t="n">
        <x:v>44835</x:v>
      </x:c>
      <x:c r="I162" s="153" t="n">
        <x:v>44926</x:v>
      </x:c>
      <x:c r="J162" t="str">
        <x:v>observed</x:v>
      </x:c>
      <x:c r="K162" t="str">
        <x:v>STATCAN_JVWS_14100444</x:v>
      </x:c>
      <x:c r="L162" t="str">
        <x:v>TR_STATCAN_JVWS_AB_NOC_1_0_0</x:v>
      </x:c>
      <x:c r="M162" t="str">
        <x:v>status:F|value_missing_or_suppressed</x:v>
      </x:c>
      <x:c r="N162" t="str">
        <x:v>https://www150.statcan.gc.ca/t1/tbl1/en/tv.action?pid=1410044401</x:v>
      </x:c>
      <x:c r="O162" t="str">
        <x:v>PASS</x:v>
      </x:c>
    </x:row>
    <x:row r="163">
      <x:c r="A163" t="str">
        <x:v>OBS_JVWS_88E009B9C0D76757D09D</x:v>
      </x:c>
      <x:c r="B163" t="str">
        <x:v>72200</x:v>
      </x:c>
      <x:c r="C163" t="str">
        <x:v>Electricians (except industrial and power system)</x:v>
      </x:c>
      <x:c r="D163" t="str">
        <x:v>trade_electricians</x:v>
      </x:c>
      <x:c r="E163" t="str">
        <x:v>Average offered hourly wage</x:v>
      </x:c>
      <x:c r="F163" s="145" t="n">
        <x:v>30.8</x:v>
      </x:c>
      <x:c r="G163" t="str">
        <x:v>Dollars</x:v>
      </x:c>
      <x:c r="H163" s="153" t="n">
        <x:v>44835</x:v>
      </x:c>
      <x:c r="I163" s="153" t="n">
        <x:v>44926</x:v>
      </x:c>
      <x:c r="J163" t="str">
        <x:v>observed</x:v>
      </x:c>
      <x:c r="K163" t="str">
        <x:v>STATCAN_JVWS_14100444</x:v>
      </x:c>
      <x:c r="L163" t="str">
        <x:v>TR_STATCAN_JVWS_AB_NOC_1_0_0</x:v>
      </x:c>
      <x:c r="M163" t="str">
        <x:v>status:B</x:v>
      </x:c>
      <x:c r="N163" t="str">
        <x:v>https://www150.statcan.gc.ca/t1/tbl1/en/tv.action?pid=1410044401</x:v>
      </x:c>
      <x:c r="O163" t="str">
        <x:v>PASS</x:v>
      </x:c>
    </x:row>
    <x:row r="164">
      <x:c r="A164" t="str">
        <x:v>OBS_JVWS_950AAA98AF1C3EF8375A</x:v>
      </x:c>
      <x:c r="B164" t="str">
        <x:v>72200</x:v>
      </x:c>
      <x:c r="C164" t="str">
        <x:v>Electricians (except industrial and power system)</x:v>
      </x:c>
      <x:c r="D164" t="str">
        <x:v>trade_electricians</x:v>
      </x:c>
      <x:c r="E164" t="str">
        <x:v>Job vacancies</x:v>
      </x:c>
      <x:c r="F164" s="145" t="n">
        <x:v>1565</x:v>
      </x:c>
      <x:c r="G164" t="str">
        <x:v>Number</x:v>
      </x:c>
      <x:c r="H164" s="153" t="n">
        <x:v>44835</x:v>
      </x:c>
      <x:c r="I164" s="153" t="n">
        <x:v>44926</x:v>
      </x:c>
      <x:c r="J164" t="str">
        <x:v>observed</x:v>
      </x:c>
      <x:c r="K164" t="str">
        <x:v>STATCAN_JVWS_14100444</x:v>
      </x:c>
      <x:c r="L164" t="str">
        <x:v>TR_STATCAN_JVWS_AB_NOC_1_0_0</x:v>
      </x:c>
      <x:c r="M164" t="str">
        <x:v>status:E</x:v>
      </x:c>
      <x:c r="N164" t="str">
        <x:v>https://www150.statcan.gc.ca/t1/tbl1/en/tv.action?pid=1410044401</x:v>
      </x:c>
      <x:c r="O164" t="str">
        <x:v>PASS</x:v>
      </x:c>
    </x:row>
    <x:row r="165">
      <x:c r="A165" t="str">
        <x:v>OBS_JVWS_04AAE00B2654FE579B1B</x:v>
      </x:c>
      <x:c r="B165" t="str">
        <x:v>72201</x:v>
      </x:c>
      <x:c r="C165" t="str">
        <x:v>Industrial electricians</x:v>
      </x:c>
      <x:c r="D165" t="str">
        <x:v>trade_electricians</x:v>
      </x:c>
      <x:c r="E165" t="str">
        <x:v>Average offered hourly wage</x:v>
      </x:c>
      <x:c r="F165" s="145" t="n">
        <x:v>33.85</x:v>
      </x:c>
      <x:c r="G165" t="str">
        <x:v>Dollars</x:v>
      </x:c>
      <x:c r="H165" s="153" t="n">
        <x:v>44835</x:v>
      </x:c>
      <x:c r="I165" s="153" t="n">
        <x:v>44926</x:v>
      </x:c>
      <x:c r="J165" t="str">
        <x:v>observed</x:v>
      </x:c>
      <x:c r="K165" t="str">
        <x:v>STATCAN_JVWS_14100444</x:v>
      </x:c>
      <x:c r="L165" t="str">
        <x:v>TR_STATCAN_JVWS_AB_NOC_1_0_0</x:v>
      </x:c>
      <x:c r="M165" t="str">
        <x:v>status:C</x:v>
      </x:c>
      <x:c r="N165" t="str">
        <x:v>https://www150.statcan.gc.ca/t1/tbl1/en/tv.action?pid=1410044401</x:v>
      </x:c>
      <x:c r="O165" t="str">
        <x:v>PASS</x:v>
      </x:c>
    </x:row>
    <x:row r="166">
      <x:c r="A166" t="str">
        <x:v>OBS_JVWS_F22CEDF1FB9F09D87EF4</x:v>
      </x:c>
      <x:c r="B166" t="str">
        <x:v>72201</x:v>
      </x:c>
      <x:c r="C166" t="str">
        <x:v>Industrial electricians</x:v>
      </x:c>
      <x:c r="D166" t="str">
        <x:v>trade_electricians</x:v>
      </x:c>
      <x:c r="E166" t="str">
        <x:v>Job vacancies</x:v>
      </x:c>
      <x:c r="F166" s="145" t="n">
        <x:v>80</x:v>
      </x:c>
      <x:c r="G166" t="str">
        <x:v>Number</x:v>
      </x:c>
      <x:c r="H166" s="153" t="n">
        <x:v>44835</x:v>
      </x:c>
      <x:c r="I166" s="153" t="n">
        <x:v>44926</x:v>
      </x:c>
      <x:c r="J166" t="str">
        <x:v>observed</x:v>
      </x:c>
      <x:c r="K166" t="str">
        <x:v>STATCAN_JVWS_14100444</x:v>
      </x:c>
      <x:c r="L166" t="str">
        <x:v>TR_STATCAN_JVWS_AB_NOC_1_0_0</x:v>
      </x:c>
      <x:c r="M166" t="str">
        <x:v>status:E</x:v>
      </x:c>
      <x:c r="N166" t="str">
        <x:v>https://www150.statcan.gc.ca/t1/tbl1/en/tv.action?pid=1410044401</x:v>
      </x:c>
      <x:c r="O166" t="str">
        <x:v>PASS</x:v>
      </x:c>
    </x:row>
    <x:row r="167">
      <x:c r="A167" t="str">
        <x:v>OBS_JVWS_D4EB036192A93FA8DF02</x:v>
      </x:c>
      <x:c r="B167" t="str">
        <x:v>72402</x:v>
      </x:c>
      <x:c r="C167" t="str">
        <x:v>Heating, refrigeration and air conditioning mechanics</x:v>
      </x:c>
      <x:c r="D167" t="str">
        <x:v>trade_hvac</x:v>
      </x:c>
      <x:c r="E167" t="str">
        <x:v>Average offered hourly wage</x:v>
      </x:c>
      <x:c r="F167" s="145" t="n">
        <x:v>37.3</x:v>
      </x:c>
      <x:c r="G167" t="str">
        <x:v>Dollars</x:v>
      </x:c>
      <x:c r="H167" s="153" t="n">
        <x:v>44835</x:v>
      </x:c>
      <x:c r="I167" s="153" t="n">
        <x:v>44926</x:v>
      </x:c>
      <x:c r="J167" t="str">
        <x:v>observed</x:v>
      </x:c>
      <x:c r="K167" t="str">
        <x:v>STATCAN_JVWS_14100444</x:v>
      </x:c>
      <x:c r="L167" t="str">
        <x:v>TR_STATCAN_JVWS_AB_NOC_1_0_0</x:v>
      </x:c>
      <x:c r="M167" t="str">
        <x:v>status:C</x:v>
      </x:c>
      <x:c r="N167" t="str">
        <x:v>https://www150.statcan.gc.ca/t1/tbl1/en/tv.action?pid=1410044401</x:v>
      </x:c>
      <x:c r="O167" t="str">
        <x:v>PASS</x:v>
      </x:c>
    </x:row>
    <x:row r="168">
      <x:c r="A168" t="str">
        <x:v>OBS_JVWS_CB39E5E9048C58D3AAC7</x:v>
      </x:c>
      <x:c r="B168" t="str">
        <x:v>72402</x:v>
      </x:c>
      <x:c r="C168" t="str">
        <x:v>Heating, refrigeration and air conditioning mechanics</x:v>
      </x:c>
      <x:c r="D168" t="str">
        <x:v>trade_hvac</x:v>
      </x:c>
      <x:c r="E168" t="str">
        <x:v>Job vacancies</x:v>
      </x:c>
      <x:c r="F168" s="145"/>
      <x:c r="G168" t="str">
        <x:v>Number</x:v>
      </x:c>
      <x:c r="H168" s="153" t="n">
        <x:v>44835</x:v>
      </x:c>
      <x:c r="I168" s="153" t="n">
        <x:v>44926</x:v>
      </x:c>
      <x:c r="J168" t="str">
        <x:v>observed</x:v>
      </x:c>
      <x:c r="K168" t="str">
        <x:v>STATCAN_JVWS_14100444</x:v>
      </x:c>
      <x:c r="L168" t="str">
        <x:v>TR_STATCAN_JVWS_AB_NOC_1_0_0</x:v>
      </x:c>
      <x:c r="M168" t="str">
        <x:v>status:F|value_missing_or_suppressed</x:v>
      </x:c>
      <x:c r="N168" t="str">
        <x:v>https://www150.statcan.gc.ca/t1/tbl1/en/tv.action?pid=1410044401</x:v>
      </x:c>
      <x:c r="O168" t="str">
        <x:v>PASS</x:v>
      </x:c>
    </x:row>
    <x:row r="169">
      <x:c r="A169" t="str">
        <x:v>OBS_JVWS_6FF3C6B74603229DF0AA</x:v>
      </x:c>
      <x:c r="B169" t="str">
        <x:v>72202</x:v>
      </x:c>
      <x:c r="C169" t="str">
        <x:v>Power system electricians</x:v>
      </x:c>
      <x:c r="D169" t="str">
        <x:v>trade_power_line</x:v>
      </x:c>
      <x:c r="E169" t="str">
        <x:v>Average offered hourly wage</x:v>
      </x:c>
      <x:c r="F169" s="145" t="n">
        <x:v>49.4</x:v>
      </x:c>
      <x:c r="G169" t="str">
        <x:v>Dollars</x:v>
      </x:c>
      <x:c r="H169" s="153" t="n">
        <x:v>44835</x:v>
      </x:c>
      <x:c r="I169" s="153" t="n">
        <x:v>44926</x:v>
      </x:c>
      <x:c r="J169" t="str">
        <x:v>observed</x:v>
      </x:c>
      <x:c r="K169" t="str">
        <x:v>STATCAN_JVWS_14100444</x:v>
      </x:c>
      <x:c r="L169" t="str">
        <x:v>TR_STATCAN_JVWS_AB_NOC_1_0_0</x:v>
      </x:c>
      <x:c r="M169" t="str">
        <x:v>status:E</x:v>
      </x:c>
      <x:c r="N169" t="str">
        <x:v>https://www150.statcan.gc.ca/t1/tbl1/en/tv.action?pid=1410044401</x:v>
      </x:c>
      <x:c r="O169" t="str">
        <x:v>PASS</x:v>
      </x:c>
    </x:row>
    <x:row r="170">
      <x:c r="A170" t="str">
        <x:v>OBS_JVWS_6CEF1634C4A8AD4CB8D1</x:v>
      </x:c>
      <x:c r="B170" t="str">
        <x:v>72202</x:v>
      </x:c>
      <x:c r="C170" t="str">
        <x:v>Power system electricians</x:v>
      </x:c>
      <x:c r="D170" t="str">
        <x:v>trade_power_line</x:v>
      </x:c>
      <x:c r="E170" t="str">
        <x:v>Job vacancies</x:v>
      </x:c>
      <x:c r="F170" s="145"/>
      <x:c r="G170" t="str">
        <x:v>Number</x:v>
      </x:c>
      <x:c r="H170" s="153" t="n">
        <x:v>44835</x:v>
      </x:c>
      <x:c r="I170" s="153" t="n">
        <x:v>44926</x:v>
      </x:c>
      <x:c r="J170" t="str">
        <x:v>observed</x:v>
      </x:c>
      <x:c r="K170" t="str">
        <x:v>STATCAN_JVWS_14100444</x:v>
      </x:c>
      <x:c r="L170" t="str">
        <x:v>TR_STATCAN_JVWS_AB_NOC_1_0_0</x:v>
      </x:c>
      <x:c r="M170" t="str">
        <x:v>status:F|value_missing_or_suppressed</x:v>
      </x:c>
      <x:c r="N170" t="str">
        <x:v>https://www150.statcan.gc.ca/t1/tbl1/en/tv.action?pid=1410044401</x:v>
      </x:c>
      <x:c r="O170" t="str">
        <x:v>PASS</x:v>
      </x:c>
    </x:row>
    <x:row r="171">
      <x:c r="A171" t="str">
        <x:v>OBS_JVWS_AA66FAB751E16750EC8D</x:v>
      </x:c>
      <x:c r="B171" t="str">
        <x:v>72203</x:v>
      </x:c>
      <x:c r="C171" t="str">
        <x:v>Electrical power line and cable workers</x:v>
      </x:c>
      <x:c r="D171" t="str">
        <x:v>trade_power_line</x:v>
      </x:c>
      <x:c r="E171" t="str">
        <x:v>Average offered hourly wage</x:v>
      </x:c>
      <x:c r="F171" s="145" t="n">
        <x:v>44.55</x:v>
      </x:c>
      <x:c r="G171" t="str">
        <x:v>Dollars</x:v>
      </x:c>
      <x:c r="H171" s="153" t="n">
        <x:v>44835</x:v>
      </x:c>
      <x:c r="I171" s="153" t="n">
        <x:v>44926</x:v>
      </x:c>
      <x:c r="J171" t="str">
        <x:v>observed</x:v>
      </x:c>
      <x:c r="K171" t="str">
        <x:v>STATCAN_JVWS_14100444</x:v>
      </x:c>
      <x:c r="L171" t="str">
        <x:v>TR_STATCAN_JVWS_AB_NOC_1_0_0</x:v>
      </x:c>
      <x:c r="M171" t="str">
        <x:v>status:A</x:v>
      </x:c>
      <x:c r="N171" t="str">
        <x:v>https://www150.statcan.gc.ca/t1/tbl1/en/tv.action?pid=1410044401</x:v>
      </x:c>
      <x:c r="O171" t="str">
        <x:v>PASS</x:v>
      </x:c>
    </x:row>
    <x:row r="172">
      <x:c r="A172" t="str">
        <x:v>OBS_JVWS_D5A6EE61D2BA6565716B</x:v>
      </x:c>
      <x:c r="B172" t="str">
        <x:v>72203</x:v>
      </x:c>
      <x:c r="C172" t="str">
        <x:v>Electrical power line and cable workers</x:v>
      </x:c>
      <x:c r="D172" t="str">
        <x:v>trade_power_line</x:v>
      </x:c>
      <x:c r="E172" t="str">
        <x:v>Job vacancies</x:v>
      </x:c>
      <x:c r="F172" s="145"/>
      <x:c r="G172" t="str">
        <x:v>Number</x:v>
      </x:c>
      <x:c r="H172" s="153" t="n">
        <x:v>44835</x:v>
      </x:c>
      <x:c r="I172" s="153" t="n">
        <x:v>44926</x:v>
      </x:c>
      <x:c r="J172" t="str">
        <x:v>observed</x:v>
      </x:c>
      <x:c r="K172" t="str">
        <x:v>STATCAN_JVWS_14100444</x:v>
      </x:c>
      <x:c r="L172" t="str">
        <x:v>TR_STATCAN_JVWS_AB_NOC_1_0_0</x:v>
      </x:c>
      <x:c r="M172" t="str">
        <x:v>status:F|value_missing_or_suppressed</x:v>
      </x:c>
      <x:c r="N172" t="str">
        <x:v>https://www150.statcan.gc.ca/t1/tbl1/en/tv.action?pid=1410044401</x:v>
      </x:c>
      <x:c r="O172" t="str">
        <x:v>PASS</x:v>
      </x:c>
    </x:row>
    <x:row r="173">
      <x:c r="A173" t="str">
        <x:v>OBS_JVWS_9780E0D12FB8C907CACD</x:v>
      </x:c>
      <x:c r="B173" t="str">
        <x:v>73100</x:v>
      </x:c>
      <x:c r="C173" t="str">
        <x:v>Concrete finishers</x:v>
      </x:c>
      <x:c r="D173" t="str">
        <x:v>trade_concrete</x:v>
      </x:c>
      <x:c r="E173" t="str">
        <x:v>Average offered hourly wage</x:v>
      </x:c>
      <x:c r="F173" s="145" t="n">
        <x:v>27.4</x:v>
      </x:c>
      <x:c r="G173" t="str">
        <x:v>Dollars</x:v>
      </x:c>
      <x:c r="H173" s="153" t="n">
        <x:v>44743</x:v>
      </x:c>
      <x:c r="I173" s="153" t="n">
        <x:v>44834</x:v>
      </x:c>
      <x:c r="J173" t="str">
        <x:v>observed</x:v>
      </x:c>
      <x:c r="K173" t="str">
        <x:v>STATCAN_JVWS_14100444</x:v>
      </x:c>
      <x:c r="L173" t="str">
        <x:v>TR_STATCAN_JVWS_AB_NOC_1_0_0</x:v>
      </x:c>
      <x:c r="M173" t="str">
        <x:v>status:B</x:v>
      </x:c>
      <x:c r="N173" t="str">
        <x:v>https://www150.statcan.gc.ca/t1/tbl1/en/tv.action?pid=1410044401</x:v>
      </x:c>
      <x:c r="O173" t="str">
        <x:v>PASS</x:v>
      </x:c>
    </x:row>
    <x:row r="174">
      <x:c r="A174" t="str">
        <x:v>OBS_JVWS_C878B0F2B0C59065431C</x:v>
      </x:c>
      <x:c r="B174" t="str">
        <x:v>73100</x:v>
      </x:c>
      <x:c r="C174" t="str">
        <x:v>Concrete finishers</x:v>
      </x:c>
      <x:c r="D174" t="str">
        <x:v>trade_concrete</x:v>
      </x:c>
      <x:c r="E174" t="str">
        <x:v>Job vacancies</x:v>
      </x:c>
      <x:c r="F174" s="145"/>
      <x:c r="G174" t="str">
        <x:v>Number</x:v>
      </x:c>
      <x:c r="H174" s="153" t="n">
        <x:v>44743</x:v>
      </x:c>
      <x:c r="I174" s="153" t="n">
        <x:v>44834</x:v>
      </x:c>
      <x:c r="J174" t="str">
        <x:v>observed</x:v>
      </x:c>
      <x:c r="K174" t="str">
        <x:v>STATCAN_JVWS_14100444</x:v>
      </x:c>
      <x:c r="L174" t="str">
        <x:v>TR_STATCAN_JVWS_AB_NOC_1_0_0</x:v>
      </x:c>
      <x:c r="M174" t="str">
        <x:v>status:F|value_missing_or_suppressed</x:v>
      </x:c>
      <x:c r="N174" t="str">
        <x:v>https://www150.statcan.gc.ca/t1/tbl1/en/tv.action?pid=1410044401</x:v>
      </x:c>
      <x:c r="O174" t="str">
        <x:v>PASS</x:v>
      </x:c>
    </x:row>
    <x:row r="175">
      <x:c r="A175" t="str">
        <x:v>OBS_JVWS_5AEE6219D6778A5FE08A</x:v>
      </x:c>
      <x:c r="B175" t="str">
        <x:v>72200</x:v>
      </x:c>
      <x:c r="C175" t="str">
        <x:v>Electricians (except industrial and power system)</x:v>
      </x:c>
      <x:c r="D175" t="str">
        <x:v>trade_electricians</x:v>
      </x:c>
      <x:c r="E175" t="str">
        <x:v>Average offered hourly wage</x:v>
      </x:c>
      <x:c r="F175" s="145" t="n">
        <x:v>27.55</x:v>
      </x:c>
      <x:c r="G175" t="str">
        <x:v>Dollars</x:v>
      </x:c>
      <x:c r="H175" s="153" t="n">
        <x:v>44743</x:v>
      </x:c>
      <x:c r="I175" s="153" t="n">
        <x:v>44834</x:v>
      </x:c>
      <x:c r="J175" t="str">
        <x:v>observed</x:v>
      </x:c>
      <x:c r="K175" t="str">
        <x:v>STATCAN_JVWS_14100444</x:v>
      </x:c>
      <x:c r="L175" t="str">
        <x:v>TR_STATCAN_JVWS_AB_NOC_1_0_0</x:v>
      </x:c>
      <x:c r="M175" t="str">
        <x:v>status:B</x:v>
      </x:c>
      <x:c r="N175" t="str">
        <x:v>https://www150.statcan.gc.ca/t1/tbl1/en/tv.action?pid=1410044401</x:v>
      </x:c>
      <x:c r="O175" t="str">
        <x:v>PASS</x:v>
      </x:c>
    </x:row>
    <x:row r="176">
      <x:c r="A176" t="str">
        <x:v>OBS_JVWS_AE64E37D7BA274344953</x:v>
      </x:c>
      <x:c r="B176" t="str">
        <x:v>72200</x:v>
      </x:c>
      <x:c r="C176" t="str">
        <x:v>Electricians (except industrial and power system)</x:v>
      </x:c>
      <x:c r="D176" t="str">
        <x:v>trade_electricians</x:v>
      </x:c>
      <x:c r="E176" t="str">
        <x:v>Job vacancies</x:v>
      </x:c>
      <x:c r="F176" s="145" t="n">
        <x:v>1445</x:v>
      </x:c>
      <x:c r="G176" t="str">
        <x:v>Number</x:v>
      </x:c>
      <x:c r="H176" s="153" t="n">
        <x:v>44743</x:v>
      </x:c>
      <x:c r="I176" s="153" t="n">
        <x:v>44834</x:v>
      </x:c>
      <x:c r="J176" t="str">
        <x:v>observed</x:v>
      </x:c>
      <x:c r="K176" t="str">
        <x:v>STATCAN_JVWS_14100444</x:v>
      </x:c>
      <x:c r="L176" t="str">
        <x:v>TR_STATCAN_JVWS_AB_NOC_1_0_0</x:v>
      </x:c>
      <x:c r="M176" t="str">
        <x:v>status:D</x:v>
      </x:c>
      <x:c r="N176" t="str">
        <x:v>https://www150.statcan.gc.ca/t1/tbl1/en/tv.action?pid=1410044401</x:v>
      </x:c>
      <x:c r="O176" t="str">
        <x:v>PASS</x:v>
      </x:c>
    </x:row>
    <x:row r="177">
      <x:c r="A177" t="str">
        <x:v>OBS_JVWS_905D2C2F10BEAE5F995D</x:v>
      </x:c>
      <x:c r="B177" t="str">
        <x:v>72201</x:v>
      </x:c>
      <x:c r="C177" t="str">
        <x:v>Industrial electricians</x:v>
      </x:c>
      <x:c r="D177" t="str">
        <x:v>trade_electricians</x:v>
      </x:c>
      <x:c r="E177" t="str">
        <x:v>Average offered hourly wage</x:v>
      </x:c>
      <x:c r="F177" s="145" t="n">
        <x:v>37.9</x:v>
      </x:c>
      <x:c r="G177" t="str">
        <x:v>Dollars</x:v>
      </x:c>
      <x:c r="H177" s="153" t="n">
        <x:v>44743</x:v>
      </x:c>
      <x:c r="I177" s="153" t="n">
        <x:v>44834</x:v>
      </x:c>
      <x:c r="J177" t="str">
        <x:v>observed</x:v>
      </x:c>
      <x:c r="K177" t="str">
        <x:v>STATCAN_JVWS_14100444</x:v>
      </x:c>
      <x:c r="L177" t="str">
        <x:v>TR_STATCAN_JVWS_AB_NOC_1_0_0</x:v>
      </x:c>
      <x:c r="M177" t="str">
        <x:v>status:B</x:v>
      </x:c>
      <x:c r="N177" t="str">
        <x:v>https://www150.statcan.gc.ca/t1/tbl1/en/tv.action?pid=1410044401</x:v>
      </x:c>
      <x:c r="O177" t="str">
        <x:v>PASS</x:v>
      </x:c>
    </x:row>
    <x:row r="178">
      <x:c r="A178" t="str">
        <x:v>OBS_JVWS_C4CC7A05F619EC881D64</x:v>
      </x:c>
      <x:c r="B178" t="str">
        <x:v>72201</x:v>
      </x:c>
      <x:c r="C178" t="str">
        <x:v>Industrial electricians</x:v>
      </x:c>
      <x:c r="D178" t="str">
        <x:v>trade_electricians</x:v>
      </x:c>
      <x:c r="E178" t="str">
        <x:v>Job vacancies</x:v>
      </x:c>
      <x:c r="F178" s="145" t="n">
        <x:v>160</x:v>
      </x:c>
      <x:c r="G178" t="str">
        <x:v>Number</x:v>
      </x:c>
      <x:c r="H178" s="153" t="n">
        <x:v>44743</x:v>
      </x:c>
      <x:c r="I178" s="153" t="n">
        <x:v>44834</x:v>
      </x:c>
      <x:c r="J178" t="str">
        <x:v>observed</x:v>
      </x:c>
      <x:c r="K178" t="str">
        <x:v>STATCAN_JVWS_14100444</x:v>
      </x:c>
      <x:c r="L178" t="str">
        <x:v>TR_STATCAN_JVWS_AB_NOC_1_0_0</x:v>
      </x:c>
      <x:c r="M178" t="str">
        <x:v>status:E</x:v>
      </x:c>
      <x:c r="N178" t="str">
        <x:v>https://www150.statcan.gc.ca/t1/tbl1/en/tv.action?pid=1410044401</x:v>
      </x:c>
      <x:c r="O178" t="str">
        <x:v>PASS</x:v>
      </x:c>
    </x:row>
    <x:row r="179">
      <x:c r="A179" t="str">
        <x:v>OBS_JVWS_672287F413B9A64AFBEB</x:v>
      </x:c>
      <x:c r="B179" t="str">
        <x:v>72402</x:v>
      </x:c>
      <x:c r="C179" t="str">
        <x:v>Heating, refrigeration and air conditioning mechanics</x:v>
      </x:c>
      <x:c r="D179" t="str">
        <x:v>trade_hvac</x:v>
      </x:c>
      <x:c r="E179" t="str">
        <x:v>Average offered hourly wage</x:v>
      </x:c>
      <x:c r="F179" s="145" t="n">
        <x:v>28</x:v>
      </x:c>
      <x:c r="G179" t="str">
        <x:v>Dollars</x:v>
      </x:c>
      <x:c r="H179" s="153" t="n">
        <x:v>44743</x:v>
      </x:c>
      <x:c r="I179" s="153" t="n">
        <x:v>44834</x:v>
      </x:c>
      <x:c r="J179" t="str">
        <x:v>observed</x:v>
      </x:c>
      <x:c r="K179" t="str">
        <x:v>STATCAN_JVWS_14100444</x:v>
      </x:c>
      <x:c r="L179" t="str">
        <x:v>TR_STATCAN_JVWS_AB_NOC_1_0_0</x:v>
      </x:c>
      <x:c r="M179" t="str">
        <x:v>status:B</x:v>
      </x:c>
      <x:c r="N179" t="str">
        <x:v>https://www150.statcan.gc.ca/t1/tbl1/en/tv.action?pid=1410044401</x:v>
      </x:c>
      <x:c r="O179" t="str">
        <x:v>PASS</x:v>
      </x:c>
    </x:row>
    <x:row r="180">
      <x:c r="A180" t="str">
        <x:v>OBS_JVWS_C2D798F8DA655E793CFF</x:v>
      </x:c>
      <x:c r="B180" t="str">
        <x:v>72402</x:v>
      </x:c>
      <x:c r="C180" t="str">
        <x:v>Heating, refrigeration and air conditioning mechanics</x:v>
      </x:c>
      <x:c r="D180" t="str">
        <x:v>trade_hvac</x:v>
      </x:c>
      <x:c r="E180" t="str">
        <x:v>Job vacancies</x:v>
      </x:c>
      <x:c r="F180" s="145" t="n">
        <x:v>570</x:v>
      </x:c>
      <x:c r="G180" t="str">
        <x:v>Number</x:v>
      </x:c>
      <x:c r="H180" s="153" t="n">
        <x:v>44743</x:v>
      </x:c>
      <x:c r="I180" s="153" t="n">
        <x:v>44834</x:v>
      </x:c>
      <x:c r="J180" t="str">
        <x:v>observed</x:v>
      </x:c>
      <x:c r="K180" t="str">
        <x:v>STATCAN_JVWS_14100444</x:v>
      </x:c>
      <x:c r="L180" t="str">
        <x:v>TR_STATCAN_JVWS_AB_NOC_1_0_0</x:v>
      </x:c>
      <x:c r="M180" t="str">
        <x:v>status:E</x:v>
      </x:c>
      <x:c r="N180" t="str">
        <x:v>https://www150.statcan.gc.ca/t1/tbl1/en/tv.action?pid=1410044401</x:v>
      </x:c>
      <x:c r="O180" t="str">
        <x:v>PASS</x:v>
      </x:c>
    </x:row>
    <x:row r="181">
      <x:c r="A181" t="str">
        <x:v>OBS_JVWS_9F55A0C18321265875BF</x:v>
      </x:c>
      <x:c r="B181" t="str">
        <x:v>72202</x:v>
      </x:c>
      <x:c r="C181" t="str">
        <x:v>Power system electricians</x:v>
      </x:c>
      <x:c r="D181" t="str">
        <x:v>trade_power_line</x:v>
      </x:c>
      <x:c r="E181" t="str">
        <x:v>Average offered hourly wage</x:v>
      </x:c>
      <x:c r="F181" s="145" t="n">
        <x:v>29.6</x:v>
      </x:c>
      <x:c r="G181" t="str">
        <x:v>Dollars</x:v>
      </x:c>
      <x:c r="H181" s="153" t="n">
        <x:v>44743</x:v>
      </x:c>
      <x:c r="I181" s="153" t="n">
        <x:v>44834</x:v>
      </x:c>
      <x:c r="J181" t="str">
        <x:v>observed</x:v>
      </x:c>
      <x:c r="K181" t="str">
        <x:v>STATCAN_JVWS_14100444</x:v>
      </x:c>
      <x:c r="L181" t="str">
        <x:v>TR_STATCAN_JVWS_AB_NOC_1_0_0</x:v>
      </x:c>
      <x:c r="M181" t="str">
        <x:v>status:E</x:v>
      </x:c>
      <x:c r="N181" t="str">
        <x:v>https://www150.statcan.gc.ca/t1/tbl1/en/tv.action?pid=1410044401</x:v>
      </x:c>
      <x:c r="O181" t="str">
        <x:v>PASS</x:v>
      </x:c>
    </x:row>
    <x:row r="182">
      <x:c r="A182" t="str">
        <x:v>OBS_JVWS_AA156672BA3BB724AF08</x:v>
      </x:c>
      <x:c r="B182" t="str">
        <x:v>72202</x:v>
      </x:c>
      <x:c r="C182" t="str">
        <x:v>Power system electricians</x:v>
      </x:c>
      <x:c r="D182" t="str">
        <x:v>trade_power_line</x:v>
      </x:c>
      <x:c r="E182" t="str">
        <x:v>Job vacancies</x:v>
      </x:c>
      <x:c r="F182" s="145"/>
      <x:c r="G182" t="str">
        <x:v>Number</x:v>
      </x:c>
      <x:c r="H182" s="153" t="n">
        <x:v>44743</x:v>
      </x:c>
      <x:c r="I182" s="153" t="n">
        <x:v>44834</x:v>
      </x:c>
      <x:c r="J182" t="str">
        <x:v>observed</x:v>
      </x:c>
      <x:c r="K182" t="str">
        <x:v>STATCAN_JVWS_14100444</x:v>
      </x:c>
      <x:c r="L182" t="str">
        <x:v>TR_STATCAN_JVWS_AB_NOC_1_0_0</x:v>
      </x:c>
      <x:c r="M182" t="str">
        <x:v>status:F|value_missing_or_suppressed</x:v>
      </x:c>
      <x:c r="N182" t="str">
        <x:v>https://www150.statcan.gc.ca/t1/tbl1/en/tv.action?pid=1410044401</x:v>
      </x:c>
      <x:c r="O182" t="str">
        <x:v>PASS</x:v>
      </x:c>
    </x:row>
    <x:row r="183">
      <x:c r="A183" t="str">
        <x:v>OBS_JVWS_9B9B04721A215555A855</x:v>
      </x:c>
      <x:c r="B183" t="str">
        <x:v>72203</x:v>
      </x:c>
      <x:c r="C183" t="str">
        <x:v>Electrical power line and cable workers</x:v>
      </x:c>
      <x:c r="D183" t="str">
        <x:v>trade_power_line</x:v>
      </x:c>
      <x:c r="E183" t="str">
        <x:v>Average offered hourly wage</x:v>
      </x:c>
      <x:c r="F183" s="145" t="n">
        <x:v>46.1</x:v>
      </x:c>
      <x:c r="G183" t="str">
        <x:v>Dollars</x:v>
      </x:c>
      <x:c r="H183" s="153" t="n">
        <x:v>44743</x:v>
      </x:c>
      <x:c r="I183" s="153" t="n">
        <x:v>44834</x:v>
      </x:c>
      <x:c r="J183" t="str">
        <x:v>observed</x:v>
      </x:c>
      <x:c r="K183" t="str">
        <x:v>STATCAN_JVWS_14100444</x:v>
      </x:c>
      <x:c r="L183" t="str">
        <x:v>TR_STATCAN_JVWS_AB_NOC_1_0_0</x:v>
      </x:c>
      <x:c r="M183" t="str">
        <x:v>status:B</x:v>
      </x:c>
      <x:c r="N183" t="str">
        <x:v>https://www150.statcan.gc.ca/t1/tbl1/en/tv.action?pid=1410044401</x:v>
      </x:c>
      <x:c r="O183" t="str">
        <x:v>PASS</x:v>
      </x:c>
    </x:row>
    <x:row r="184">
      <x:c r="A184" t="str">
        <x:v>OBS_JVWS_179B002711D7047A5C80</x:v>
      </x:c>
      <x:c r="B184" t="str">
        <x:v>72203</x:v>
      </x:c>
      <x:c r="C184" t="str">
        <x:v>Electrical power line and cable workers</x:v>
      </x:c>
      <x:c r="D184" t="str">
        <x:v>trade_power_line</x:v>
      </x:c>
      <x:c r="E184" t="str">
        <x:v>Job vacancies</x:v>
      </x:c>
      <x:c r="F184" s="145" t="n">
        <x:v>200</x:v>
      </x:c>
      <x:c r="G184" t="str">
        <x:v>Number</x:v>
      </x:c>
      <x:c r="H184" s="153" t="n">
        <x:v>44743</x:v>
      </x:c>
      <x:c r="I184" s="153" t="n">
        <x:v>44834</x:v>
      </x:c>
      <x:c r="J184" t="str">
        <x:v>observed</x:v>
      </x:c>
      <x:c r="K184" t="str">
        <x:v>STATCAN_JVWS_14100444</x:v>
      </x:c>
      <x:c r="L184" t="str">
        <x:v>TR_STATCAN_JVWS_AB_NOC_1_0_0</x:v>
      </x:c>
      <x:c r="M184" t="str">
        <x:v>status:E</x:v>
      </x:c>
      <x:c r="N184" t="str">
        <x:v>https://www150.statcan.gc.ca/t1/tbl1/en/tv.action?pid=1410044401</x:v>
      </x:c>
      <x:c r="O184" t="str">
        <x:v>PASS</x:v>
      </x:c>
    </x:row>
    <x:row r="185">
      <x:c r="A185" t="str">
        <x:v>OBS_JVWS_8AC17762794A40A6DB7C</x:v>
      </x:c>
      <x:c r="B185" t="str">
        <x:v>73100</x:v>
      </x:c>
      <x:c r="C185" t="str">
        <x:v>Concrete finishers</x:v>
      </x:c>
      <x:c r="D185" t="str">
        <x:v>trade_concrete</x:v>
      </x:c>
      <x:c r="E185" t="str">
        <x:v>Average offered hourly wage</x:v>
      </x:c>
      <x:c r="F185" s="145" t="n">
        <x:v>29.4</x:v>
      </x:c>
      <x:c r="G185" t="str">
        <x:v>Dollars</x:v>
      </x:c>
      <x:c r="H185" s="153" t="n">
        <x:v>44652</x:v>
      </x:c>
      <x:c r="I185" s="153" t="n">
        <x:v>44742</x:v>
      </x:c>
      <x:c r="J185" t="str">
        <x:v>observed</x:v>
      </x:c>
      <x:c r="K185" t="str">
        <x:v>STATCAN_JVWS_14100444</x:v>
      </x:c>
      <x:c r="L185" t="str">
        <x:v>TR_STATCAN_JVWS_AB_NOC_1_0_0</x:v>
      </x:c>
      <x:c r="M185" t="str">
        <x:v>status:A</x:v>
      </x:c>
      <x:c r="N185" t="str">
        <x:v>https://www150.statcan.gc.ca/t1/tbl1/en/tv.action?pid=1410044401</x:v>
      </x:c>
      <x:c r="O185" t="str">
        <x:v>PASS</x:v>
      </x:c>
    </x:row>
    <x:row r="186">
      <x:c r="A186" t="str">
        <x:v>OBS_JVWS_88F2B40E5A259168C4DB</x:v>
      </x:c>
      <x:c r="B186" t="str">
        <x:v>73100</x:v>
      </x:c>
      <x:c r="C186" t="str">
        <x:v>Concrete finishers</x:v>
      </x:c>
      <x:c r="D186" t="str">
        <x:v>trade_concrete</x:v>
      </x:c>
      <x:c r="E186" t="str">
        <x:v>Job vacancies</x:v>
      </x:c>
      <x:c r="F186" s="145" t="n">
        <x:v>510</x:v>
      </x:c>
      <x:c r="G186" t="str">
        <x:v>Number</x:v>
      </x:c>
      <x:c r="H186" s="153" t="n">
        <x:v>44652</x:v>
      </x:c>
      <x:c r="I186" s="153" t="n">
        <x:v>44742</x:v>
      </x:c>
      <x:c r="J186" t="str">
        <x:v>observed</x:v>
      </x:c>
      <x:c r="K186" t="str">
        <x:v>STATCAN_JVWS_14100444</x:v>
      </x:c>
      <x:c r="L186" t="str">
        <x:v>TR_STATCAN_JVWS_AB_NOC_1_0_0</x:v>
      </x:c>
      <x:c r="M186" t="str">
        <x:v>status:E</x:v>
      </x:c>
      <x:c r="N186" t="str">
        <x:v>https://www150.statcan.gc.ca/t1/tbl1/en/tv.action?pid=1410044401</x:v>
      </x:c>
      <x:c r="O186" t="str">
        <x:v>PASS</x:v>
      </x:c>
    </x:row>
    <x:row r="187">
      <x:c r="A187" t="str">
        <x:v>OBS_JVWS_FD62DD491B1FB731DD21</x:v>
      </x:c>
      <x:c r="B187" t="str">
        <x:v>72200</x:v>
      </x:c>
      <x:c r="C187" t="str">
        <x:v>Electricians (except industrial and power system)</x:v>
      </x:c>
      <x:c r="D187" t="str">
        <x:v>trade_electricians</x:v>
      </x:c>
      <x:c r="E187" t="str">
        <x:v>Average offered hourly wage</x:v>
      </x:c>
      <x:c r="F187" s="145" t="n">
        <x:v>27.45</x:v>
      </x:c>
      <x:c r="G187" t="str">
        <x:v>Dollars</x:v>
      </x:c>
      <x:c r="H187" s="153" t="n">
        <x:v>44652</x:v>
      </x:c>
      <x:c r="I187" s="153" t="n">
        <x:v>44742</x:v>
      </x:c>
      <x:c r="J187" t="str">
        <x:v>observed</x:v>
      </x:c>
      <x:c r="K187" t="str">
        <x:v>STATCAN_JVWS_14100444</x:v>
      </x:c>
      <x:c r="L187" t="str">
        <x:v>TR_STATCAN_JVWS_AB_NOC_1_0_0</x:v>
      </x:c>
      <x:c r="M187" t="str">
        <x:v>status:A</x:v>
      </x:c>
      <x:c r="N187" t="str">
        <x:v>https://www150.statcan.gc.ca/t1/tbl1/en/tv.action?pid=1410044401</x:v>
      </x:c>
      <x:c r="O187" t="str">
        <x:v>PASS</x:v>
      </x:c>
    </x:row>
    <x:row r="188">
      <x:c r="A188" t="str">
        <x:v>OBS_JVWS_6DFCCBE5500215D139EF</x:v>
      </x:c>
      <x:c r="B188" t="str">
        <x:v>72200</x:v>
      </x:c>
      <x:c r="C188" t="str">
        <x:v>Electricians (except industrial and power system)</x:v>
      </x:c>
      <x:c r="D188" t="str">
        <x:v>trade_electricians</x:v>
      </x:c>
      <x:c r="E188" t="str">
        <x:v>Job vacancies</x:v>
      </x:c>
      <x:c r="F188" s="145" t="n">
        <x:v>950</x:v>
      </x:c>
      <x:c r="G188" t="str">
        <x:v>Number</x:v>
      </x:c>
      <x:c r="H188" s="153" t="n">
        <x:v>44652</x:v>
      </x:c>
      <x:c r="I188" s="153" t="n">
        <x:v>44742</x:v>
      </x:c>
      <x:c r="J188" t="str">
        <x:v>observed</x:v>
      </x:c>
      <x:c r="K188" t="str">
        <x:v>STATCAN_JVWS_14100444</x:v>
      </x:c>
      <x:c r="L188" t="str">
        <x:v>TR_STATCAN_JVWS_AB_NOC_1_0_0</x:v>
      </x:c>
      <x:c r="M188" t="str">
        <x:v>status:D</x:v>
      </x:c>
      <x:c r="N188" t="str">
        <x:v>https://www150.statcan.gc.ca/t1/tbl1/en/tv.action?pid=1410044401</x:v>
      </x:c>
      <x:c r="O188" t="str">
        <x:v>PASS</x:v>
      </x:c>
    </x:row>
    <x:row r="189">
      <x:c r="A189" t="str">
        <x:v>OBS_JVWS_F9D5A04E255BDC5A9390</x:v>
      </x:c>
      <x:c r="B189" t="str">
        <x:v>72201</x:v>
      </x:c>
      <x:c r="C189" t="str">
        <x:v>Industrial electricians</x:v>
      </x:c>
      <x:c r="D189" t="str">
        <x:v>trade_electricians</x:v>
      </x:c>
      <x:c r="E189" t="str">
        <x:v>Average offered hourly wage</x:v>
      </x:c>
      <x:c r="F189" s="145" t="n">
        <x:v>30.05</x:v>
      </x:c>
      <x:c r="G189" t="str">
        <x:v>Dollars</x:v>
      </x:c>
      <x:c r="H189" s="153" t="n">
        <x:v>44652</x:v>
      </x:c>
      <x:c r="I189" s="153" t="n">
        <x:v>44742</x:v>
      </x:c>
      <x:c r="J189" t="str">
        <x:v>observed</x:v>
      </x:c>
      <x:c r="K189" t="str">
        <x:v>STATCAN_JVWS_14100444</x:v>
      </x:c>
      <x:c r="L189" t="str">
        <x:v>TR_STATCAN_JVWS_AB_NOC_1_0_0</x:v>
      </x:c>
      <x:c r="M189" t="str">
        <x:v>status:C</x:v>
      </x:c>
      <x:c r="N189" t="str">
        <x:v>https://www150.statcan.gc.ca/t1/tbl1/en/tv.action?pid=1410044401</x:v>
      </x:c>
      <x:c r="O189" t="str">
        <x:v>PASS</x:v>
      </x:c>
    </x:row>
    <x:row r="190">
      <x:c r="A190" t="str">
        <x:v>OBS_JVWS_0F92AE91A6ECF1B2CCDA</x:v>
      </x:c>
      <x:c r="B190" t="str">
        <x:v>72201</x:v>
      </x:c>
      <x:c r="C190" t="str">
        <x:v>Industrial electricians</x:v>
      </x:c>
      <x:c r="D190" t="str">
        <x:v>trade_electricians</x:v>
      </x:c>
      <x:c r="E190" t="str">
        <x:v>Job vacancies</x:v>
      </x:c>
      <x:c r="F190" s="145" t="n">
        <x:v>140</x:v>
      </x:c>
      <x:c r="G190" t="str">
        <x:v>Number</x:v>
      </x:c>
      <x:c r="H190" s="153" t="n">
        <x:v>44652</x:v>
      </x:c>
      <x:c r="I190" s="153" t="n">
        <x:v>44742</x:v>
      </x:c>
      <x:c r="J190" t="str">
        <x:v>observed</x:v>
      </x:c>
      <x:c r="K190" t="str">
        <x:v>STATCAN_JVWS_14100444</x:v>
      </x:c>
      <x:c r="L190" t="str">
        <x:v>TR_STATCAN_JVWS_AB_NOC_1_0_0</x:v>
      </x:c>
      <x:c r="M190" t="str">
        <x:v>status:E</x:v>
      </x:c>
      <x:c r="N190" t="str">
        <x:v>https://www150.statcan.gc.ca/t1/tbl1/en/tv.action?pid=1410044401</x:v>
      </x:c>
      <x:c r="O190" t="str">
        <x:v>PASS</x:v>
      </x:c>
    </x:row>
    <x:row r="191">
      <x:c r="A191" t="str">
        <x:v>OBS_JVWS_F98FD4ADB95CEFBB7E6D</x:v>
      </x:c>
      <x:c r="B191" t="str">
        <x:v>72402</x:v>
      </x:c>
      <x:c r="C191" t="str">
        <x:v>Heating, refrigeration and air conditioning mechanics</x:v>
      </x:c>
      <x:c r="D191" t="str">
        <x:v>trade_hvac</x:v>
      </x:c>
      <x:c r="E191" t="str">
        <x:v>Average offered hourly wage</x:v>
      </x:c>
      <x:c r="F191" s="145" t="n">
        <x:v>29.4</x:v>
      </x:c>
      <x:c r="G191" t="str">
        <x:v>Dollars</x:v>
      </x:c>
      <x:c r="H191" s="153" t="n">
        <x:v>44652</x:v>
      </x:c>
      <x:c r="I191" s="153" t="n">
        <x:v>44742</x:v>
      </x:c>
      <x:c r="J191" t="str">
        <x:v>observed</x:v>
      </x:c>
      <x:c r="K191" t="str">
        <x:v>STATCAN_JVWS_14100444</x:v>
      </x:c>
      <x:c r="L191" t="str">
        <x:v>TR_STATCAN_JVWS_AB_NOC_1_0_0</x:v>
      </x:c>
      <x:c r="M191" t="str">
        <x:v>status:B</x:v>
      </x:c>
      <x:c r="N191" t="str">
        <x:v>https://www150.statcan.gc.ca/t1/tbl1/en/tv.action?pid=1410044401</x:v>
      </x:c>
      <x:c r="O191" t="str">
        <x:v>PASS</x:v>
      </x:c>
    </x:row>
    <x:row r="192">
      <x:c r="A192" t="str">
        <x:v>OBS_JVWS_6AFFA9EEE3EB10277BFB</x:v>
      </x:c>
      <x:c r="B192" t="str">
        <x:v>72402</x:v>
      </x:c>
      <x:c r="C192" t="str">
        <x:v>Heating, refrigeration and air conditioning mechanics</x:v>
      </x:c>
      <x:c r="D192" t="str">
        <x:v>trade_hvac</x:v>
      </x:c>
      <x:c r="E192" t="str">
        <x:v>Job vacancies</x:v>
      </x:c>
      <x:c r="F192" s="145" t="n">
        <x:v>410</x:v>
      </x:c>
      <x:c r="G192" t="str">
        <x:v>Number</x:v>
      </x:c>
      <x:c r="H192" s="153" t="n">
        <x:v>44652</x:v>
      </x:c>
      <x:c r="I192" s="153" t="n">
        <x:v>44742</x:v>
      </x:c>
      <x:c r="J192" t="str">
        <x:v>observed</x:v>
      </x:c>
      <x:c r="K192" t="str">
        <x:v>STATCAN_JVWS_14100444</x:v>
      </x:c>
      <x:c r="L192" t="str">
        <x:v>TR_STATCAN_JVWS_AB_NOC_1_0_0</x:v>
      </x:c>
      <x:c r="M192" t="str">
        <x:v>status:E</x:v>
      </x:c>
      <x:c r="N192" t="str">
        <x:v>https://www150.statcan.gc.ca/t1/tbl1/en/tv.action?pid=1410044401</x:v>
      </x:c>
      <x:c r="O192" t="str">
        <x:v>PASS</x:v>
      </x:c>
    </x:row>
    <x:row r="193">
      <x:c r="A193" t="str">
        <x:v>OBS_JVWS_EC6F68D516083BFE1503</x:v>
      </x:c>
      <x:c r="B193" t="str">
        <x:v>72202</x:v>
      </x:c>
      <x:c r="C193" t="str">
        <x:v>Power system electricians</x:v>
      </x:c>
      <x:c r="D193" t="str">
        <x:v>trade_power_line</x:v>
      </x:c>
      <x:c r="E193" t="str">
        <x:v>Average offered hourly wage</x:v>
      </x:c>
      <x:c r="F193" s="145"/>
      <x:c r="G193" t="str">
        <x:v>Dollars</x:v>
      </x:c>
      <x:c r="H193" s="153" t="n">
        <x:v>44652</x:v>
      </x:c>
      <x:c r="I193" s="153" t="n">
        <x:v>44742</x:v>
      </x:c>
      <x:c r="J193" t="str">
        <x:v>observed</x:v>
      </x:c>
      <x:c r="K193" t="str">
        <x:v>STATCAN_JVWS_14100444</x:v>
      </x:c>
      <x:c r="L193" t="str">
        <x:v>TR_STATCAN_JVWS_AB_NOC_1_0_0</x:v>
      </x:c>
      <x:c r="M193" t="str">
        <x:v>status:F|value_missing_or_suppressed</x:v>
      </x:c>
      <x:c r="N193" t="str">
        <x:v>https://www150.statcan.gc.ca/t1/tbl1/en/tv.action?pid=1410044401</x:v>
      </x:c>
      <x:c r="O193" t="str">
        <x:v>PASS</x:v>
      </x:c>
    </x:row>
    <x:row r="194">
      <x:c r="A194" t="str">
        <x:v>OBS_JVWS_33E7C1E7D25CB183045C</x:v>
      </x:c>
      <x:c r="B194" t="str">
        <x:v>72202</x:v>
      </x:c>
      <x:c r="C194" t="str">
        <x:v>Power system electricians</x:v>
      </x:c>
      <x:c r="D194" t="str">
        <x:v>trade_power_line</x:v>
      </x:c>
      <x:c r="E194" t="str">
        <x:v>Job vacancies</x:v>
      </x:c>
      <x:c r="F194" s="145"/>
      <x:c r="G194" t="str">
        <x:v>Number</x:v>
      </x:c>
      <x:c r="H194" s="153" t="n">
        <x:v>44652</x:v>
      </x:c>
      <x:c r="I194" s="153" t="n">
        <x:v>44742</x:v>
      </x:c>
      <x:c r="J194" t="str">
        <x:v>observed</x:v>
      </x:c>
      <x:c r="K194" t="str">
        <x:v>STATCAN_JVWS_14100444</x:v>
      </x:c>
      <x:c r="L194" t="str">
        <x:v>TR_STATCAN_JVWS_AB_NOC_1_0_0</x:v>
      </x:c>
      <x:c r="M194" t="str">
        <x:v>status:F|value_missing_or_suppressed</x:v>
      </x:c>
      <x:c r="N194" t="str">
        <x:v>https://www150.statcan.gc.ca/t1/tbl1/en/tv.action?pid=1410044401</x:v>
      </x:c>
      <x:c r="O194" t="str">
        <x:v>PASS</x:v>
      </x:c>
    </x:row>
    <x:row r="195">
      <x:c r="A195" t="str">
        <x:v>OBS_JVWS_39E7FB8EC247335C987D</x:v>
      </x:c>
      <x:c r="B195" t="str">
        <x:v>72203</x:v>
      </x:c>
      <x:c r="C195" t="str">
        <x:v>Electrical power line and cable workers</x:v>
      </x:c>
      <x:c r="D195" t="str">
        <x:v>trade_power_line</x:v>
      </x:c>
      <x:c r="E195" t="str">
        <x:v>Average offered hourly wage</x:v>
      </x:c>
      <x:c r="F195" s="145" t="n">
        <x:v>40.8</x:v>
      </x:c>
      <x:c r="G195" t="str">
        <x:v>Dollars</x:v>
      </x:c>
      <x:c r="H195" s="153" t="n">
        <x:v>44652</x:v>
      </x:c>
      <x:c r="I195" s="153" t="n">
        <x:v>44742</x:v>
      </x:c>
      <x:c r="J195" t="str">
        <x:v>observed</x:v>
      </x:c>
      <x:c r="K195" t="str">
        <x:v>STATCAN_JVWS_14100444</x:v>
      </x:c>
      <x:c r="L195" t="str">
        <x:v>TR_STATCAN_JVWS_AB_NOC_1_0_0</x:v>
      </x:c>
      <x:c r="M195" t="str">
        <x:v>status:E</x:v>
      </x:c>
      <x:c r="N195" t="str">
        <x:v>https://www150.statcan.gc.ca/t1/tbl1/en/tv.action?pid=1410044401</x:v>
      </x:c>
      <x:c r="O195" t="str">
        <x:v>PASS</x:v>
      </x:c>
    </x:row>
    <x:row r="196">
      <x:c r="A196" t="str">
        <x:v>OBS_JVWS_53C0B74E47352D646B56</x:v>
      </x:c>
      <x:c r="B196" t="str">
        <x:v>72203</x:v>
      </x:c>
      <x:c r="C196" t="str">
        <x:v>Electrical power line and cable workers</x:v>
      </x:c>
      <x:c r="D196" t="str">
        <x:v>trade_power_line</x:v>
      </x:c>
      <x:c r="E196" t="str">
        <x:v>Job vacancies</x:v>
      </x:c>
      <x:c r="F196" s="145"/>
      <x:c r="G196" t="str">
        <x:v>Number</x:v>
      </x:c>
      <x:c r="H196" s="153" t="n">
        <x:v>44652</x:v>
      </x:c>
      <x:c r="I196" s="153" t="n">
        <x:v>44742</x:v>
      </x:c>
      <x:c r="J196" t="str">
        <x:v>observed</x:v>
      </x:c>
      <x:c r="K196" t="str">
        <x:v>STATCAN_JVWS_14100444</x:v>
      </x:c>
      <x:c r="L196" t="str">
        <x:v>TR_STATCAN_JVWS_AB_NOC_1_0_0</x:v>
      </x:c>
      <x:c r="M196" t="str">
        <x:v>status:F|value_missing_or_suppressed</x:v>
      </x:c>
      <x:c r="N196" t="str">
        <x:v>https://www150.statcan.gc.ca/t1/tbl1/en/tv.action?pid=1410044401</x:v>
      </x:c>
      <x:c r="O196" t="str">
        <x:v>PASS</x:v>
      </x:c>
    </x:row>
    <x:row r="197">
      <x:c r="A197" t="str">
        <x:v>OBS_JVWS_AF0B802274726A4535AD</x:v>
      </x:c>
      <x:c r="B197" t="str">
        <x:v>73100</x:v>
      </x:c>
      <x:c r="C197" t="str">
        <x:v>Concrete finishers</x:v>
      </x:c>
      <x:c r="D197" t="str">
        <x:v>trade_concrete</x:v>
      </x:c>
      <x:c r="E197" t="str">
        <x:v>Average offered hourly wage</x:v>
      </x:c>
      <x:c r="F197" s="145" t="n">
        <x:v>29.75</x:v>
      </x:c>
      <x:c r="G197" t="str">
        <x:v>Dollars</x:v>
      </x:c>
      <x:c r="H197" s="153" t="n">
        <x:v>44562</x:v>
      </x:c>
      <x:c r="I197" s="153" t="n">
        <x:v>44651</x:v>
      </x:c>
      <x:c r="J197" t="str">
        <x:v>observed</x:v>
      </x:c>
      <x:c r="K197" t="str">
        <x:v>STATCAN_JVWS_14100444</x:v>
      </x:c>
      <x:c r="L197" t="str">
        <x:v>TR_STATCAN_JVWS_AB_NOC_1_0_0</x:v>
      </x:c>
      <x:c r="M197" t="str">
        <x:v>status:D</x:v>
      </x:c>
      <x:c r="N197" t="str">
        <x:v>https://www150.statcan.gc.ca/t1/tbl1/en/tv.action?pid=1410044401</x:v>
      </x:c>
      <x:c r="O197" t="str">
        <x:v>PASS</x:v>
      </x:c>
    </x:row>
    <x:row r="198">
      <x:c r="A198" t="str">
        <x:v>OBS_JVWS_12712A9486536CFDF1C0</x:v>
      </x:c>
      <x:c r="B198" t="str">
        <x:v>73100</x:v>
      </x:c>
      <x:c r="C198" t="str">
        <x:v>Concrete finishers</x:v>
      </x:c>
      <x:c r="D198" t="str">
        <x:v>trade_concrete</x:v>
      </x:c>
      <x:c r="E198" t="str">
        <x:v>Job vacancies</x:v>
      </x:c>
      <x:c r="F198" s="145"/>
      <x:c r="G198" t="str">
        <x:v>Number</x:v>
      </x:c>
      <x:c r="H198" s="153" t="n">
        <x:v>44562</x:v>
      </x:c>
      <x:c r="I198" s="153" t="n">
        <x:v>44651</x:v>
      </x:c>
      <x:c r="J198" t="str">
        <x:v>observed</x:v>
      </x:c>
      <x:c r="K198" t="str">
        <x:v>STATCAN_JVWS_14100444</x:v>
      </x:c>
      <x:c r="L198" t="str">
        <x:v>TR_STATCAN_JVWS_AB_NOC_1_0_0</x:v>
      </x:c>
      <x:c r="M198" t="str">
        <x:v>status:F|value_missing_or_suppressed</x:v>
      </x:c>
      <x:c r="N198" t="str">
        <x:v>https://www150.statcan.gc.ca/t1/tbl1/en/tv.action?pid=1410044401</x:v>
      </x:c>
      <x:c r="O198" t="str">
        <x:v>PASS</x:v>
      </x:c>
    </x:row>
    <x:row r="199">
      <x:c r="A199" t="str">
        <x:v>OBS_JVWS_D5E035684F25E63DE82F</x:v>
      </x:c>
      <x:c r="B199" t="str">
        <x:v>72200</x:v>
      </x:c>
      <x:c r="C199" t="str">
        <x:v>Electricians (except industrial and power system)</x:v>
      </x:c>
      <x:c r="D199" t="str">
        <x:v>trade_electricians</x:v>
      </x:c>
      <x:c r="E199" t="str">
        <x:v>Average offered hourly wage</x:v>
      </x:c>
      <x:c r="F199" s="145" t="n">
        <x:v>25.25</x:v>
      </x:c>
      <x:c r="G199" t="str">
        <x:v>Dollars</x:v>
      </x:c>
      <x:c r="H199" s="153" t="n">
        <x:v>44562</x:v>
      </x:c>
      <x:c r="I199" s="153" t="n">
        <x:v>44651</x:v>
      </x:c>
      <x:c r="J199" t="str">
        <x:v>observed</x:v>
      </x:c>
      <x:c r="K199" t="str">
        <x:v>STATCAN_JVWS_14100444</x:v>
      </x:c>
      <x:c r="L199" t="str">
        <x:v>TR_STATCAN_JVWS_AB_NOC_1_0_0</x:v>
      </x:c>
      <x:c r="M199" t="str">
        <x:v>status:A</x:v>
      </x:c>
      <x:c r="N199" t="str">
        <x:v>https://www150.statcan.gc.ca/t1/tbl1/en/tv.action?pid=1410044401</x:v>
      </x:c>
      <x:c r="O199" t="str">
        <x:v>PASS</x:v>
      </x:c>
    </x:row>
    <x:row r="200">
      <x:c r="A200" t="str">
        <x:v>OBS_JVWS_E7FEE042E0097B12499A</x:v>
      </x:c>
      <x:c r="B200" t="str">
        <x:v>72200</x:v>
      </x:c>
      <x:c r="C200" t="str">
        <x:v>Electricians (except industrial and power system)</x:v>
      </x:c>
      <x:c r="D200" t="str">
        <x:v>trade_electricians</x:v>
      </x:c>
      <x:c r="E200" t="str">
        <x:v>Job vacancies</x:v>
      </x:c>
      <x:c r="F200" s="145" t="n">
        <x:v>760</x:v>
      </x:c>
      <x:c r="G200" t="str">
        <x:v>Number</x:v>
      </x:c>
      <x:c r="H200" s="153" t="n">
        <x:v>44562</x:v>
      </x:c>
      <x:c r="I200" s="153" t="n">
        <x:v>44651</x:v>
      </x:c>
      <x:c r="J200" t="str">
        <x:v>observed</x:v>
      </x:c>
      <x:c r="K200" t="str">
        <x:v>STATCAN_JVWS_14100444</x:v>
      </x:c>
      <x:c r="L200" t="str">
        <x:v>TR_STATCAN_JVWS_AB_NOC_1_0_0</x:v>
      </x:c>
      <x:c r="M200" t="str">
        <x:v>status:D</x:v>
      </x:c>
      <x:c r="N200" t="str">
        <x:v>https://www150.statcan.gc.ca/t1/tbl1/en/tv.action?pid=1410044401</x:v>
      </x:c>
      <x:c r="O200" t="str">
        <x:v>PASS</x:v>
      </x:c>
    </x:row>
    <x:row r="201">
      <x:c r="A201" t="str">
        <x:v>OBS_JVWS_F25F2B0D211E99F80823</x:v>
      </x:c>
      <x:c r="B201" t="str">
        <x:v>72201</x:v>
      </x:c>
      <x:c r="C201" t="str">
        <x:v>Industrial electricians</x:v>
      </x:c>
      <x:c r="D201" t="str">
        <x:v>trade_electricians</x:v>
      </x:c>
      <x:c r="E201" t="str">
        <x:v>Average offered hourly wage</x:v>
      </x:c>
      <x:c r="F201" s="145" t="n">
        <x:v>34.3</x:v>
      </x:c>
      <x:c r="G201" t="str">
        <x:v>Dollars</x:v>
      </x:c>
      <x:c r="H201" s="153" t="n">
        <x:v>44562</x:v>
      </x:c>
      <x:c r="I201" s="153" t="n">
        <x:v>44651</x:v>
      </x:c>
      <x:c r="J201" t="str">
        <x:v>observed</x:v>
      </x:c>
      <x:c r="K201" t="str">
        <x:v>STATCAN_JVWS_14100444</x:v>
      </x:c>
      <x:c r="L201" t="str">
        <x:v>TR_STATCAN_JVWS_AB_NOC_1_0_0</x:v>
      </x:c>
      <x:c r="M201" t="str">
        <x:v>status:B</x:v>
      </x:c>
      <x:c r="N201" t="str">
        <x:v>https://www150.statcan.gc.ca/t1/tbl1/en/tv.action?pid=1410044401</x:v>
      </x:c>
      <x:c r="O201" t="str">
        <x:v>PASS</x:v>
      </x:c>
    </x:row>
    <x:row r="202">
      <x:c r="A202" t="str">
        <x:v>OBS_JVWS_CE60842E6C91BDFC065F</x:v>
      </x:c>
      <x:c r="B202" t="str">
        <x:v>72201</x:v>
      </x:c>
      <x:c r="C202" t="str">
        <x:v>Industrial electricians</x:v>
      </x:c>
      <x:c r="D202" t="str">
        <x:v>trade_electricians</x:v>
      </x:c>
      <x:c r="E202" t="str">
        <x:v>Job vacancies</x:v>
      </x:c>
      <x:c r="F202" s="145" t="n">
        <x:v>135</x:v>
      </x:c>
      <x:c r="G202" t="str">
        <x:v>Number</x:v>
      </x:c>
      <x:c r="H202" s="153" t="n">
        <x:v>44562</x:v>
      </x:c>
      <x:c r="I202" s="153" t="n">
        <x:v>44651</x:v>
      </x:c>
      <x:c r="J202" t="str">
        <x:v>observed</x:v>
      </x:c>
      <x:c r="K202" t="str">
        <x:v>STATCAN_JVWS_14100444</x:v>
      </x:c>
      <x:c r="L202" t="str">
        <x:v>TR_STATCAN_JVWS_AB_NOC_1_0_0</x:v>
      </x:c>
      <x:c r="M202" t="str">
        <x:v>status:E</x:v>
      </x:c>
      <x:c r="N202" t="str">
        <x:v>https://www150.statcan.gc.ca/t1/tbl1/en/tv.action?pid=1410044401</x:v>
      </x:c>
      <x:c r="O202" t="str">
        <x:v>PASS</x:v>
      </x:c>
    </x:row>
    <x:row r="203">
      <x:c r="A203" t="str">
        <x:v>OBS_JVWS_A18FF5B7319A30E5F754</x:v>
      </x:c>
      <x:c r="B203" t="str">
        <x:v>72402</x:v>
      </x:c>
      <x:c r="C203" t="str">
        <x:v>Heating, refrigeration and air conditioning mechanics</x:v>
      </x:c>
      <x:c r="D203" t="str">
        <x:v>trade_hvac</x:v>
      </x:c>
      <x:c r="E203" t="str">
        <x:v>Average offered hourly wage</x:v>
      </x:c>
      <x:c r="F203" s="145" t="n">
        <x:v>41.05</x:v>
      </x:c>
      <x:c r="G203" t="str">
        <x:v>Dollars</x:v>
      </x:c>
      <x:c r="H203" s="153" t="n">
        <x:v>44562</x:v>
      </x:c>
      <x:c r="I203" s="153" t="n">
        <x:v>44651</x:v>
      </x:c>
      <x:c r="J203" t="str">
        <x:v>observed</x:v>
      </x:c>
      <x:c r="K203" t="str">
        <x:v>STATCAN_JVWS_14100444</x:v>
      </x:c>
      <x:c r="L203" t="str">
        <x:v>TR_STATCAN_JVWS_AB_NOC_1_0_0</x:v>
      </x:c>
      <x:c r="M203" t="str">
        <x:v>status:B</x:v>
      </x:c>
      <x:c r="N203" t="str">
        <x:v>https://www150.statcan.gc.ca/t1/tbl1/en/tv.action?pid=1410044401</x:v>
      </x:c>
      <x:c r="O203" t="str">
        <x:v>PASS</x:v>
      </x:c>
    </x:row>
    <x:row r="204">
      <x:c r="A204" t="str">
        <x:v>OBS_JVWS_D02AB18351B60EB797DD</x:v>
      </x:c>
      <x:c r="B204" t="str">
        <x:v>72402</x:v>
      </x:c>
      <x:c r="C204" t="str">
        <x:v>Heating, refrigeration and air conditioning mechanics</x:v>
      </x:c>
      <x:c r="D204" t="str">
        <x:v>trade_hvac</x:v>
      </x:c>
      <x:c r="E204" t="str">
        <x:v>Job vacancies</x:v>
      </x:c>
      <x:c r="F204" s="145" t="n">
        <x:v>270</x:v>
      </x:c>
      <x:c r="G204" t="str">
        <x:v>Number</x:v>
      </x:c>
      <x:c r="H204" s="153" t="n">
        <x:v>44562</x:v>
      </x:c>
      <x:c r="I204" s="153" t="n">
        <x:v>44651</x:v>
      </x:c>
      <x:c r="J204" t="str">
        <x:v>observed</x:v>
      </x:c>
      <x:c r="K204" t="str">
        <x:v>STATCAN_JVWS_14100444</x:v>
      </x:c>
      <x:c r="L204" t="str">
        <x:v>TR_STATCAN_JVWS_AB_NOC_1_0_0</x:v>
      </x:c>
      <x:c r="M204" t="str">
        <x:v>status:E</x:v>
      </x:c>
      <x:c r="N204" t="str">
        <x:v>https://www150.statcan.gc.ca/t1/tbl1/en/tv.action?pid=1410044401</x:v>
      </x:c>
      <x:c r="O204" t="str">
        <x:v>PASS</x:v>
      </x:c>
    </x:row>
    <x:row r="205">
      <x:c r="A205" t="str">
        <x:v>OBS_JVWS_8578F9C1AD5CADE93F4D</x:v>
      </x:c>
      <x:c r="B205" t="str">
        <x:v>72202</x:v>
      </x:c>
      <x:c r="C205" t="str">
        <x:v>Power system electricians</x:v>
      </x:c>
      <x:c r="D205" t="str">
        <x:v>trade_power_line</x:v>
      </x:c>
      <x:c r="E205" t="str">
        <x:v>Average offered hourly wage</x:v>
      </x:c>
      <x:c r="F205" s="145"/>
      <x:c r="G205" t="str">
        <x:v>Dollars</x:v>
      </x:c>
      <x:c r="H205" s="153" t="n">
        <x:v>44562</x:v>
      </x:c>
      <x:c r="I205" s="153" t="n">
        <x:v>44651</x:v>
      </x:c>
      <x:c r="J205" t="str">
        <x:v>observed</x:v>
      </x:c>
      <x:c r="K205" t="str">
        <x:v>STATCAN_JVWS_14100444</x:v>
      </x:c>
      <x:c r="L205" t="str">
        <x:v>TR_STATCAN_JVWS_AB_NOC_1_0_0</x:v>
      </x:c>
      <x:c r="M205" t="str">
        <x:v>status:F|value_missing_or_suppressed</x:v>
      </x:c>
      <x:c r="N205" t="str">
        <x:v>https://www150.statcan.gc.ca/t1/tbl1/en/tv.action?pid=1410044401</x:v>
      </x:c>
      <x:c r="O205" t="str">
        <x:v>PASS</x:v>
      </x:c>
    </x:row>
    <x:row r="206">
      <x:c r="A206" t="str">
        <x:v>OBS_JVWS_BC56FCC05AA5F7F252DA</x:v>
      </x:c>
      <x:c r="B206" t="str">
        <x:v>72202</x:v>
      </x:c>
      <x:c r="C206" t="str">
        <x:v>Power system electricians</x:v>
      </x:c>
      <x:c r="D206" t="str">
        <x:v>trade_power_line</x:v>
      </x:c>
      <x:c r="E206" t="str">
        <x:v>Job vacancies</x:v>
      </x:c>
      <x:c r="F206" s="145"/>
      <x:c r="G206" t="str">
        <x:v>Number</x:v>
      </x:c>
      <x:c r="H206" s="153" t="n">
        <x:v>44562</x:v>
      </x:c>
      <x:c r="I206" s="153" t="n">
        <x:v>44651</x:v>
      </x:c>
      <x:c r="J206" t="str">
        <x:v>observed</x:v>
      </x:c>
      <x:c r="K206" t="str">
        <x:v>STATCAN_JVWS_14100444</x:v>
      </x:c>
      <x:c r="L206" t="str">
        <x:v>TR_STATCAN_JVWS_AB_NOC_1_0_0</x:v>
      </x:c>
      <x:c r="M206" t="str">
        <x:v>status:F|value_missing_or_suppressed</x:v>
      </x:c>
      <x:c r="N206" t="str">
        <x:v>https://www150.statcan.gc.ca/t1/tbl1/en/tv.action?pid=1410044401</x:v>
      </x:c>
      <x:c r="O206" t="str">
        <x:v>PASS</x:v>
      </x:c>
    </x:row>
    <x:row r="207">
      <x:c r="A207" t="str">
        <x:v>OBS_JVWS_DCB20627A67A1E174F4A</x:v>
      </x:c>
      <x:c r="B207" t="str">
        <x:v>72203</x:v>
      </x:c>
      <x:c r="C207" t="str">
        <x:v>Electrical power line and cable workers</x:v>
      </x:c>
      <x:c r="D207" t="str">
        <x:v>trade_power_line</x:v>
      </x:c>
      <x:c r="E207" t="str">
        <x:v>Average offered hourly wage</x:v>
      </x:c>
      <x:c r="F207" s="145"/>
      <x:c r="G207" t="str">
        <x:v>Dollars</x:v>
      </x:c>
      <x:c r="H207" s="153" t="n">
        <x:v>44562</x:v>
      </x:c>
      <x:c r="I207" s="153" t="n">
        <x:v>44651</x:v>
      </x:c>
      <x:c r="J207" t="str">
        <x:v>observed</x:v>
      </x:c>
      <x:c r="K207" t="str">
        <x:v>STATCAN_JVWS_14100444</x:v>
      </x:c>
      <x:c r="L207" t="str">
        <x:v>TR_STATCAN_JVWS_AB_NOC_1_0_0</x:v>
      </x:c>
      <x:c r="M207" t="str">
        <x:v>status:F|value_missing_or_suppressed</x:v>
      </x:c>
      <x:c r="N207" t="str">
        <x:v>https://www150.statcan.gc.ca/t1/tbl1/en/tv.action?pid=1410044401</x:v>
      </x:c>
      <x:c r="O207" t="str">
        <x:v>PASS</x:v>
      </x:c>
    </x:row>
    <x:row r="208">
      <x:c r="A208" t="str">
        <x:v>OBS_JVWS_79C9F887833CF54B903C</x:v>
      </x:c>
      <x:c r="B208" t="str">
        <x:v>72203</x:v>
      </x:c>
      <x:c r="C208" t="str">
        <x:v>Electrical power line and cable workers</x:v>
      </x:c>
      <x:c r="D208" t="str">
        <x:v>trade_power_line</x:v>
      </x:c>
      <x:c r="E208" t="str">
        <x:v>Job vacancies</x:v>
      </x:c>
      <x:c r="F208" s="145"/>
      <x:c r="G208" t="str">
        <x:v>Number</x:v>
      </x:c>
      <x:c r="H208" s="153" t="n">
        <x:v>44562</x:v>
      </x:c>
      <x:c r="I208" s="153" t="n">
        <x:v>44651</x:v>
      </x:c>
      <x:c r="J208" t="str">
        <x:v>observed</x:v>
      </x:c>
      <x:c r="K208" t="str">
        <x:v>STATCAN_JVWS_14100444</x:v>
      </x:c>
      <x:c r="L208" t="str">
        <x:v>TR_STATCAN_JVWS_AB_NOC_1_0_0</x:v>
      </x:c>
      <x:c r="M208" t="str">
        <x:v>status:F|value_missing_or_suppressed</x:v>
      </x:c>
      <x:c r="N208" t="str">
        <x:v>https://www150.statcan.gc.ca/t1/tbl1/en/tv.action?pid=1410044401</x:v>
      </x:c>
      <x:c r="O208" t="str">
        <x:v>PASS</x:v>
      </x:c>
    </x:row>
    <x:row r="209">
      <x:c r="A209" t="str">
        <x:v>OBS_JVWS_072C971621E8296D4E39</x:v>
      </x:c>
      <x:c r="B209" t="str">
        <x:v>73100</x:v>
      </x:c>
      <x:c r="C209" t="str">
        <x:v>Concrete finishers</x:v>
      </x:c>
      <x:c r="D209" t="str">
        <x:v>trade_concrete</x:v>
      </x:c>
      <x:c r="E209" t="str">
        <x:v>Average offered hourly wage</x:v>
      </x:c>
      <x:c r="F209" s="145" t="n">
        <x:v>28.75</x:v>
      </x:c>
      <x:c r="G209" t="str">
        <x:v>Dollars</x:v>
      </x:c>
      <x:c r="H209" s="153" t="n">
        <x:v>44470</x:v>
      </x:c>
      <x:c r="I209" s="153" t="n">
        <x:v>44561</x:v>
      </x:c>
      <x:c r="J209" t="str">
        <x:v>observed</x:v>
      </x:c>
      <x:c r="K209" t="str">
        <x:v>STATCAN_JVWS_14100444</x:v>
      </x:c>
      <x:c r="L209" t="str">
        <x:v>TR_STATCAN_JVWS_AB_NOC_1_0_0</x:v>
      </x:c>
      <x:c r="M209" t="str">
        <x:v>status:A</x:v>
      </x:c>
      <x:c r="N209" t="str">
        <x:v>https://www150.statcan.gc.ca/t1/tbl1/en/tv.action?pid=1410044401</x:v>
      </x:c>
      <x:c r="O209" t="str">
        <x:v>PASS</x:v>
      </x:c>
    </x:row>
    <x:row r="210">
      <x:c r="A210" t="str">
        <x:v>OBS_JVWS_89E5F872AF1AABD7227C</x:v>
      </x:c>
      <x:c r="B210" t="str">
        <x:v>73100</x:v>
      </x:c>
      <x:c r="C210" t="str">
        <x:v>Concrete finishers</x:v>
      </x:c>
      <x:c r="D210" t="str">
        <x:v>trade_concrete</x:v>
      </x:c>
      <x:c r="E210" t="str">
        <x:v>Job vacancies</x:v>
      </x:c>
      <x:c r="F210" s="145" t="n">
        <x:v>330</x:v>
      </x:c>
      <x:c r="G210" t="str">
        <x:v>Number</x:v>
      </x:c>
      <x:c r="H210" s="153" t="n">
        <x:v>44470</x:v>
      </x:c>
      <x:c r="I210" s="153" t="n">
        <x:v>44561</x:v>
      </x:c>
      <x:c r="J210" t="str">
        <x:v>observed</x:v>
      </x:c>
      <x:c r="K210" t="str">
        <x:v>STATCAN_JVWS_14100444</x:v>
      </x:c>
      <x:c r="L210" t="str">
        <x:v>TR_STATCAN_JVWS_AB_NOC_1_0_0</x:v>
      </x:c>
      <x:c r="M210" t="str">
        <x:v>status:E</x:v>
      </x:c>
      <x:c r="N210" t="str">
        <x:v>https://www150.statcan.gc.ca/t1/tbl1/en/tv.action?pid=1410044401</x:v>
      </x:c>
      <x:c r="O210" t="str">
        <x:v>PASS</x:v>
      </x:c>
    </x:row>
    <x:row r="211">
      <x:c r="A211" t="str">
        <x:v>OBS_JVWS_CAB218FE3D37825A2206</x:v>
      </x:c>
      <x:c r="B211" t="str">
        <x:v>72200</x:v>
      </x:c>
      <x:c r="C211" t="str">
        <x:v>Electricians (except industrial and power system)</x:v>
      </x:c>
      <x:c r="D211" t="str">
        <x:v>trade_electricians</x:v>
      </x:c>
      <x:c r="E211" t="str">
        <x:v>Average offered hourly wage</x:v>
      </x:c>
      <x:c r="F211" s="145" t="n">
        <x:v>24.75</x:v>
      </x:c>
      <x:c r="G211" t="str">
        <x:v>Dollars</x:v>
      </x:c>
      <x:c r="H211" s="153" t="n">
        <x:v>44470</x:v>
      </x:c>
      <x:c r="I211" s="153" t="n">
        <x:v>44561</x:v>
      </x:c>
      <x:c r="J211" t="str">
        <x:v>observed</x:v>
      </x:c>
      <x:c r="K211" t="str">
        <x:v>STATCAN_JVWS_14100444</x:v>
      </x:c>
      <x:c r="L211" t="str">
        <x:v>TR_STATCAN_JVWS_AB_NOC_1_0_0</x:v>
      </x:c>
      <x:c r="M211" t="str">
        <x:v>status:B</x:v>
      </x:c>
      <x:c r="N211" t="str">
        <x:v>https://www150.statcan.gc.ca/t1/tbl1/en/tv.action?pid=1410044401</x:v>
      </x:c>
      <x:c r="O211" t="str">
        <x:v>PASS</x:v>
      </x:c>
    </x:row>
    <x:row r="212">
      <x:c r="A212" t="str">
        <x:v>OBS_JVWS_4935722BE8A6E0579BFD</x:v>
      </x:c>
      <x:c r="B212" t="str">
        <x:v>72200</x:v>
      </x:c>
      <x:c r="C212" t="str">
        <x:v>Electricians (except industrial and power system)</x:v>
      </x:c>
      <x:c r="D212" t="str">
        <x:v>trade_electricians</x:v>
      </x:c>
      <x:c r="E212" t="str">
        <x:v>Job vacancies</x:v>
      </x:c>
      <x:c r="F212" s="145" t="n">
        <x:v>780</x:v>
      </x:c>
      <x:c r="G212" t="str">
        <x:v>Number</x:v>
      </x:c>
      <x:c r="H212" s="153" t="n">
        <x:v>44470</x:v>
      </x:c>
      <x:c r="I212" s="153" t="n">
        <x:v>44561</x:v>
      </x:c>
      <x:c r="J212" t="str">
        <x:v>observed</x:v>
      </x:c>
      <x:c r="K212" t="str">
        <x:v>STATCAN_JVWS_14100444</x:v>
      </x:c>
      <x:c r="L212" t="str">
        <x:v>TR_STATCAN_JVWS_AB_NOC_1_0_0</x:v>
      </x:c>
      <x:c r="M212" t="str">
        <x:v>status:D</x:v>
      </x:c>
      <x:c r="N212" t="str">
        <x:v>https://www150.statcan.gc.ca/t1/tbl1/en/tv.action?pid=1410044401</x:v>
      </x:c>
      <x:c r="O212" t="str">
        <x:v>PASS</x:v>
      </x:c>
    </x:row>
    <x:row r="213">
      <x:c r="A213" t="str">
        <x:v>OBS_JVWS_D7A35C6D605F68AF2C41</x:v>
      </x:c>
      <x:c r="B213" t="str">
        <x:v>72201</x:v>
      </x:c>
      <x:c r="C213" t="str">
        <x:v>Industrial electricians</x:v>
      </x:c>
      <x:c r="D213" t="str">
        <x:v>trade_electricians</x:v>
      </x:c>
      <x:c r="E213" t="str">
        <x:v>Average offered hourly wage</x:v>
      </x:c>
      <x:c r="F213" s="145" t="n">
        <x:v>37.65</x:v>
      </x:c>
      <x:c r="G213" t="str">
        <x:v>Dollars</x:v>
      </x:c>
      <x:c r="H213" s="153" t="n">
        <x:v>44470</x:v>
      </x:c>
      <x:c r="I213" s="153" t="n">
        <x:v>44561</x:v>
      </x:c>
      <x:c r="J213" t="str">
        <x:v>observed</x:v>
      </x:c>
      <x:c r="K213" t="str">
        <x:v>STATCAN_JVWS_14100444</x:v>
      </x:c>
      <x:c r="L213" t="str">
        <x:v>TR_STATCAN_JVWS_AB_NOC_1_0_0</x:v>
      </x:c>
      <x:c r="M213" t="str">
        <x:v>status:A</x:v>
      </x:c>
      <x:c r="N213" t="str">
        <x:v>https://www150.statcan.gc.ca/t1/tbl1/en/tv.action?pid=1410044401</x:v>
      </x:c>
      <x:c r="O213" t="str">
        <x:v>PASS</x:v>
      </x:c>
    </x:row>
    <x:row r="214">
      <x:c r="A214" t="str">
        <x:v>OBS_JVWS_FD9A9474B29186261770</x:v>
      </x:c>
      <x:c r="B214" t="str">
        <x:v>72201</x:v>
      </x:c>
      <x:c r="C214" t="str">
        <x:v>Industrial electricians</x:v>
      </x:c>
      <x:c r="D214" t="str">
        <x:v>trade_electricians</x:v>
      </x:c>
      <x:c r="E214" t="str">
        <x:v>Job vacancies</x:v>
      </x:c>
      <x:c r="F214" s="145" t="n">
        <x:v>45</x:v>
      </x:c>
      <x:c r="G214" t="str">
        <x:v>Number</x:v>
      </x:c>
      <x:c r="H214" s="153" t="n">
        <x:v>44470</x:v>
      </x:c>
      <x:c r="I214" s="153" t="n">
        <x:v>44561</x:v>
      </x:c>
      <x:c r="J214" t="str">
        <x:v>observed</x:v>
      </x:c>
      <x:c r="K214" t="str">
        <x:v>STATCAN_JVWS_14100444</x:v>
      </x:c>
      <x:c r="L214" t="str">
        <x:v>TR_STATCAN_JVWS_AB_NOC_1_0_0</x:v>
      </x:c>
      <x:c r="M214" t="str">
        <x:v>status:D</x:v>
      </x:c>
      <x:c r="N214" t="str">
        <x:v>https://www150.statcan.gc.ca/t1/tbl1/en/tv.action?pid=1410044401</x:v>
      </x:c>
      <x:c r="O214" t="str">
        <x:v>PASS</x:v>
      </x:c>
    </x:row>
    <x:row r="215">
      <x:c r="A215" t="str">
        <x:v>OBS_JVWS_6BD079C297E9EDD37554</x:v>
      </x:c>
      <x:c r="B215" t="str">
        <x:v>72402</x:v>
      </x:c>
      <x:c r="C215" t="str">
        <x:v>Heating, refrigeration and air conditioning mechanics</x:v>
      </x:c>
      <x:c r="D215" t="str">
        <x:v>trade_hvac</x:v>
      </x:c>
      <x:c r="E215" t="str">
        <x:v>Average offered hourly wage</x:v>
      </x:c>
      <x:c r="F215" s="145" t="n">
        <x:v>32.7</x:v>
      </x:c>
      <x:c r="G215" t="str">
        <x:v>Dollars</x:v>
      </x:c>
      <x:c r="H215" s="153" t="n">
        <x:v>44470</x:v>
      </x:c>
      <x:c r="I215" s="153" t="n">
        <x:v>44561</x:v>
      </x:c>
      <x:c r="J215" t="str">
        <x:v>observed</x:v>
      </x:c>
      <x:c r="K215" t="str">
        <x:v>STATCAN_JVWS_14100444</x:v>
      </x:c>
      <x:c r="L215" t="str">
        <x:v>TR_STATCAN_JVWS_AB_NOC_1_0_0</x:v>
      </x:c>
      <x:c r="M215" t="str">
        <x:v>status:B</x:v>
      </x:c>
      <x:c r="N215" t="str">
        <x:v>https://www150.statcan.gc.ca/t1/tbl1/en/tv.action?pid=1410044401</x:v>
      </x:c>
      <x:c r="O215" t="str">
        <x:v>PASS</x:v>
      </x:c>
    </x:row>
    <x:row r="216">
      <x:c r="A216" t="str">
        <x:v>OBS_JVWS_0E2E5A3893E1A06AE839</x:v>
      </x:c>
      <x:c r="B216" t="str">
        <x:v>72402</x:v>
      </x:c>
      <x:c r="C216" t="str">
        <x:v>Heating, refrigeration and air conditioning mechanics</x:v>
      </x:c>
      <x:c r="D216" t="str">
        <x:v>trade_hvac</x:v>
      </x:c>
      <x:c r="E216" t="str">
        <x:v>Job vacancies</x:v>
      </x:c>
      <x:c r="F216" s="145" t="n">
        <x:v>370</x:v>
      </x:c>
      <x:c r="G216" t="str">
        <x:v>Number</x:v>
      </x:c>
      <x:c r="H216" s="153" t="n">
        <x:v>44470</x:v>
      </x:c>
      <x:c r="I216" s="153" t="n">
        <x:v>44561</x:v>
      </x:c>
      <x:c r="J216" t="str">
        <x:v>observed</x:v>
      </x:c>
      <x:c r="K216" t="str">
        <x:v>STATCAN_JVWS_14100444</x:v>
      </x:c>
      <x:c r="L216" t="str">
        <x:v>TR_STATCAN_JVWS_AB_NOC_1_0_0</x:v>
      </x:c>
      <x:c r="M216" t="str">
        <x:v>status:D</x:v>
      </x:c>
      <x:c r="N216" t="str">
        <x:v>https://www150.statcan.gc.ca/t1/tbl1/en/tv.action?pid=1410044401</x:v>
      </x:c>
      <x:c r="O216" t="str">
        <x:v>PASS</x:v>
      </x:c>
    </x:row>
    <x:row r="217">
      <x:c r="A217" t="str">
        <x:v>OBS_JVWS_5120EED9BB353FEAA52F</x:v>
      </x:c>
      <x:c r="B217" t="str">
        <x:v>72202</x:v>
      </x:c>
      <x:c r="C217" t="str">
        <x:v>Power system electricians</x:v>
      </x:c>
      <x:c r="D217" t="str">
        <x:v>trade_power_line</x:v>
      </x:c>
      <x:c r="E217" t="str">
        <x:v>Average offered hourly wage</x:v>
      </x:c>
      <x:c r="F217" s="145"/>
      <x:c r="G217" t="str">
        <x:v>Dollars</x:v>
      </x:c>
      <x:c r="H217" s="153" t="n">
        <x:v>44470</x:v>
      </x:c>
      <x:c r="I217" s="153" t="n">
        <x:v>44561</x:v>
      </x:c>
      <x:c r="J217" t="str">
        <x:v>observed</x:v>
      </x:c>
      <x:c r="K217" t="str">
        <x:v>STATCAN_JVWS_14100444</x:v>
      </x:c>
      <x:c r="L217" t="str">
        <x:v>TR_STATCAN_JVWS_AB_NOC_1_0_0</x:v>
      </x:c>
      <x:c r="M217" t="str">
        <x:v>status:F|value_missing_or_suppressed</x:v>
      </x:c>
      <x:c r="N217" t="str">
        <x:v>https://www150.statcan.gc.ca/t1/tbl1/en/tv.action?pid=1410044401</x:v>
      </x:c>
      <x:c r="O217" t="str">
        <x:v>PASS</x:v>
      </x:c>
    </x:row>
    <x:row r="218">
      <x:c r="A218" t="str">
        <x:v>OBS_JVWS_00DC46A3C1A0644EE15F</x:v>
      </x:c>
      <x:c r="B218" t="str">
        <x:v>72202</x:v>
      </x:c>
      <x:c r="C218" t="str">
        <x:v>Power system electricians</x:v>
      </x:c>
      <x:c r="D218" t="str">
        <x:v>trade_power_line</x:v>
      </x:c>
      <x:c r="E218" t="str">
        <x:v>Job vacancies</x:v>
      </x:c>
      <x:c r="F218" s="145"/>
      <x:c r="G218" t="str">
        <x:v>Number</x:v>
      </x:c>
      <x:c r="H218" s="153" t="n">
        <x:v>44470</x:v>
      </x:c>
      <x:c r="I218" s="153" t="n">
        <x:v>44561</x:v>
      </x:c>
      <x:c r="J218" t="str">
        <x:v>observed</x:v>
      </x:c>
      <x:c r="K218" t="str">
        <x:v>STATCAN_JVWS_14100444</x:v>
      </x:c>
      <x:c r="L218" t="str">
        <x:v>TR_STATCAN_JVWS_AB_NOC_1_0_0</x:v>
      </x:c>
      <x:c r="M218" t="str">
        <x:v>status:F|value_missing_or_suppressed</x:v>
      </x:c>
      <x:c r="N218" t="str">
        <x:v>https://www150.statcan.gc.ca/t1/tbl1/en/tv.action?pid=1410044401</x:v>
      </x:c>
      <x:c r="O218" t="str">
        <x:v>PASS</x:v>
      </x:c>
    </x:row>
    <x:row r="219">
      <x:c r="A219" t="str">
        <x:v>OBS_JVWS_FACAE292FED75AF8EA8A</x:v>
      </x:c>
      <x:c r="B219" t="str">
        <x:v>72203</x:v>
      </x:c>
      <x:c r="C219" t="str">
        <x:v>Electrical power line and cable workers</x:v>
      </x:c>
      <x:c r="D219" t="str">
        <x:v>trade_power_line</x:v>
      </x:c>
      <x:c r="E219" t="str">
        <x:v>Average offered hourly wage</x:v>
      </x:c>
      <x:c r="F219" s="145"/>
      <x:c r="G219" t="str">
        <x:v>Dollars</x:v>
      </x:c>
      <x:c r="H219" s="153" t="n">
        <x:v>44470</x:v>
      </x:c>
      <x:c r="I219" s="153" t="n">
        <x:v>44561</x:v>
      </x:c>
      <x:c r="J219" t="str">
        <x:v>observed</x:v>
      </x:c>
      <x:c r="K219" t="str">
        <x:v>STATCAN_JVWS_14100444</x:v>
      </x:c>
      <x:c r="L219" t="str">
        <x:v>TR_STATCAN_JVWS_AB_NOC_1_0_0</x:v>
      </x:c>
      <x:c r="M219" t="str">
        <x:v>status:F|value_missing_or_suppressed</x:v>
      </x:c>
      <x:c r="N219" t="str">
        <x:v>https://www150.statcan.gc.ca/t1/tbl1/en/tv.action?pid=1410044401</x:v>
      </x:c>
      <x:c r="O219" t="str">
        <x:v>PASS</x:v>
      </x:c>
    </x:row>
    <x:row r="220">
      <x:c r="A220" t="str">
        <x:v>OBS_JVWS_623C52476362C0ADEFD9</x:v>
      </x:c>
      <x:c r="B220" t="str">
        <x:v>72203</x:v>
      </x:c>
      <x:c r="C220" t="str">
        <x:v>Electrical power line and cable workers</x:v>
      </x:c>
      <x:c r="D220" t="str">
        <x:v>trade_power_line</x:v>
      </x:c>
      <x:c r="E220" t="str">
        <x:v>Job vacancies</x:v>
      </x:c>
      <x:c r="F220" s="145"/>
      <x:c r="G220" t="str">
        <x:v>Number</x:v>
      </x:c>
      <x:c r="H220" s="153" t="n">
        <x:v>44470</x:v>
      </x:c>
      <x:c r="I220" s="153" t="n">
        <x:v>44561</x:v>
      </x:c>
      <x:c r="J220" t="str">
        <x:v>observed</x:v>
      </x:c>
      <x:c r="K220" t="str">
        <x:v>STATCAN_JVWS_14100444</x:v>
      </x:c>
      <x:c r="L220" t="str">
        <x:v>TR_STATCAN_JVWS_AB_NOC_1_0_0</x:v>
      </x:c>
      <x:c r="M220" t="str">
        <x:v>status:F|value_missing_or_suppressed</x:v>
      </x:c>
      <x:c r="N220" t="str">
        <x:v>https://www150.statcan.gc.ca/t1/tbl1/en/tv.action?pid=1410044401</x:v>
      </x:c>
      <x:c r="O220" t="str">
        <x:v>PASS</x:v>
      </x:c>
    </x:row>
    <x:row r="221">
      <x:c r="A221" t="str">
        <x:v>OBS_JVWS_FBA83DFF162C278BB250</x:v>
      </x:c>
      <x:c r="B221" t="str">
        <x:v>73100</x:v>
      </x:c>
      <x:c r="C221" t="str">
        <x:v>Concrete finishers</x:v>
      </x:c>
      <x:c r="D221" t="str">
        <x:v>trade_concrete</x:v>
      </x:c>
      <x:c r="E221" t="str">
        <x:v>Average offered hourly wage</x:v>
      </x:c>
      <x:c r="F221" s="145" t="n">
        <x:v>29.5</x:v>
      </x:c>
      <x:c r="G221" t="str">
        <x:v>Dollars</x:v>
      </x:c>
      <x:c r="H221" s="153" t="n">
        <x:v>44378</x:v>
      </x:c>
      <x:c r="I221" s="153" t="n">
        <x:v>44469</x:v>
      </x:c>
      <x:c r="J221" t="str">
        <x:v>observed</x:v>
      </x:c>
      <x:c r="K221" t="str">
        <x:v>STATCAN_JVWS_14100444</x:v>
      </x:c>
      <x:c r="L221" t="str">
        <x:v>TR_STATCAN_JVWS_AB_NOC_1_0_0</x:v>
      </x:c>
      <x:c r="M221" t="str">
        <x:v>status:A</x:v>
      </x:c>
      <x:c r="N221" t="str">
        <x:v>https://www150.statcan.gc.ca/t1/tbl1/en/tv.action?pid=1410044401</x:v>
      </x:c>
      <x:c r="O221" t="str">
        <x:v>PASS</x:v>
      </x:c>
    </x:row>
    <x:row r="222">
      <x:c r="A222" t="str">
        <x:v>OBS_JVWS_B030A4A2B067FEA21C47</x:v>
      </x:c>
      <x:c r="B222" t="str">
        <x:v>73100</x:v>
      </x:c>
      <x:c r="C222" t="str">
        <x:v>Concrete finishers</x:v>
      </x:c>
      <x:c r="D222" t="str">
        <x:v>trade_concrete</x:v>
      </x:c>
      <x:c r="E222" t="str">
        <x:v>Job vacancies</x:v>
      </x:c>
      <x:c r="F222" s="145" t="n">
        <x:v>250</x:v>
      </x:c>
      <x:c r="G222" t="str">
        <x:v>Number</x:v>
      </x:c>
      <x:c r="H222" s="153" t="n">
        <x:v>44378</x:v>
      </x:c>
      <x:c r="I222" s="153" t="n">
        <x:v>44469</x:v>
      </x:c>
      <x:c r="J222" t="str">
        <x:v>observed</x:v>
      </x:c>
      <x:c r="K222" t="str">
        <x:v>STATCAN_JVWS_14100444</x:v>
      </x:c>
      <x:c r="L222" t="str">
        <x:v>TR_STATCAN_JVWS_AB_NOC_1_0_0</x:v>
      </x:c>
      <x:c r="M222" t="str">
        <x:v>status:E</x:v>
      </x:c>
      <x:c r="N222" t="str">
        <x:v>https://www150.statcan.gc.ca/t1/tbl1/en/tv.action?pid=1410044401</x:v>
      </x:c>
      <x:c r="O222" t="str">
        <x:v>PASS</x:v>
      </x:c>
    </x:row>
    <x:row r="223">
      <x:c r="A223" t="str">
        <x:v>OBS_JVWS_8DE1C5FAD21A1E7AA4AD</x:v>
      </x:c>
      <x:c r="B223" t="str">
        <x:v>72200</x:v>
      </x:c>
      <x:c r="C223" t="str">
        <x:v>Electricians (except industrial and power system)</x:v>
      </x:c>
      <x:c r="D223" t="str">
        <x:v>trade_electricians</x:v>
      </x:c>
      <x:c r="E223" t="str">
        <x:v>Average offered hourly wage</x:v>
      </x:c>
      <x:c r="F223" s="145" t="n">
        <x:v>27.6</x:v>
      </x:c>
      <x:c r="G223" t="str">
        <x:v>Dollars</x:v>
      </x:c>
      <x:c r="H223" s="153" t="n">
        <x:v>44378</x:v>
      </x:c>
      <x:c r="I223" s="153" t="n">
        <x:v>44469</x:v>
      </x:c>
      <x:c r="J223" t="str">
        <x:v>observed</x:v>
      </x:c>
      <x:c r="K223" t="str">
        <x:v>STATCAN_JVWS_14100444</x:v>
      </x:c>
      <x:c r="L223" t="str">
        <x:v>TR_STATCAN_JVWS_AB_NOC_1_0_0</x:v>
      </x:c>
      <x:c r="M223" t="str">
        <x:v>status:B</x:v>
      </x:c>
      <x:c r="N223" t="str">
        <x:v>https://www150.statcan.gc.ca/t1/tbl1/en/tv.action?pid=1410044401</x:v>
      </x:c>
      <x:c r="O223" t="str">
        <x:v>PASS</x:v>
      </x:c>
    </x:row>
    <x:row r="224">
      <x:c r="A224" t="str">
        <x:v>OBS_JVWS_CF2E40A87A71638EB7EF</x:v>
      </x:c>
      <x:c r="B224" t="str">
        <x:v>72200</x:v>
      </x:c>
      <x:c r="C224" t="str">
        <x:v>Electricians (except industrial and power system)</x:v>
      </x:c>
      <x:c r="D224" t="str">
        <x:v>trade_electricians</x:v>
      </x:c>
      <x:c r="E224" t="str">
        <x:v>Job vacancies</x:v>
      </x:c>
      <x:c r="F224" s="145" t="n">
        <x:v>615</x:v>
      </x:c>
      <x:c r="G224" t="str">
        <x:v>Number</x:v>
      </x:c>
      <x:c r="H224" s="153" t="n">
        <x:v>44378</x:v>
      </x:c>
      <x:c r="I224" s="153" t="n">
        <x:v>44469</x:v>
      </x:c>
      <x:c r="J224" t="str">
        <x:v>observed</x:v>
      </x:c>
      <x:c r="K224" t="str">
        <x:v>STATCAN_JVWS_14100444</x:v>
      </x:c>
      <x:c r="L224" t="str">
        <x:v>TR_STATCAN_JVWS_AB_NOC_1_0_0</x:v>
      </x:c>
      <x:c r="M224" t="str">
        <x:v>status:E</x:v>
      </x:c>
      <x:c r="N224" t="str">
        <x:v>https://www150.statcan.gc.ca/t1/tbl1/en/tv.action?pid=1410044401</x:v>
      </x:c>
      <x:c r="O224" t="str">
        <x:v>PASS</x:v>
      </x:c>
    </x:row>
    <x:row r="225">
      <x:c r="A225" t="str">
        <x:v>OBS_JVWS_99A8F5F015D0BDB303EA</x:v>
      </x:c>
      <x:c r="B225" t="str">
        <x:v>72201</x:v>
      </x:c>
      <x:c r="C225" t="str">
        <x:v>Industrial electricians</x:v>
      </x:c>
      <x:c r="D225" t="str">
        <x:v>trade_electricians</x:v>
      </x:c>
      <x:c r="E225" t="str">
        <x:v>Average offered hourly wage</x:v>
      </x:c>
      <x:c r="F225" s="145" t="n">
        <x:v>33.5</x:v>
      </x:c>
      <x:c r="G225" t="str">
        <x:v>Dollars</x:v>
      </x:c>
      <x:c r="H225" s="153" t="n">
        <x:v>44378</x:v>
      </x:c>
      <x:c r="I225" s="153" t="n">
        <x:v>44469</x:v>
      </x:c>
      <x:c r="J225" t="str">
        <x:v>observed</x:v>
      </x:c>
      <x:c r="K225" t="str">
        <x:v>STATCAN_JVWS_14100444</x:v>
      </x:c>
      <x:c r="L225" t="str">
        <x:v>TR_STATCAN_JVWS_AB_NOC_1_0_0</x:v>
      </x:c>
      <x:c r="M225" t="str">
        <x:v>status:B</x:v>
      </x:c>
      <x:c r="N225" t="str">
        <x:v>https://www150.statcan.gc.ca/t1/tbl1/en/tv.action?pid=1410044401</x:v>
      </x:c>
      <x:c r="O225" t="str">
        <x:v>PASS</x:v>
      </x:c>
    </x:row>
    <x:row r="226">
      <x:c r="A226" t="str">
        <x:v>OBS_JVWS_797C03311B68150E7223</x:v>
      </x:c>
      <x:c r="B226" t="str">
        <x:v>72201</x:v>
      </x:c>
      <x:c r="C226" t="str">
        <x:v>Industrial electricians</x:v>
      </x:c>
      <x:c r="D226" t="str">
        <x:v>trade_electricians</x:v>
      </x:c>
      <x:c r="E226" t="str">
        <x:v>Job vacancies</x:v>
      </x:c>
      <x:c r="F226" s="145" t="n">
        <x:v>35</x:v>
      </x:c>
      <x:c r="G226" t="str">
        <x:v>Number</x:v>
      </x:c>
      <x:c r="H226" s="153" t="n">
        <x:v>44378</x:v>
      </x:c>
      <x:c r="I226" s="153" t="n">
        <x:v>44469</x:v>
      </x:c>
      <x:c r="J226" t="str">
        <x:v>observed</x:v>
      </x:c>
      <x:c r="K226" t="str">
        <x:v>STATCAN_JVWS_14100444</x:v>
      </x:c>
      <x:c r="L226" t="str">
        <x:v>TR_STATCAN_JVWS_AB_NOC_1_0_0</x:v>
      </x:c>
      <x:c r="M226" t="str">
        <x:v>status:E</x:v>
      </x:c>
      <x:c r="N226" t="str">
        <x:v>https://www150.statcan.gc.ca/t1/tbl1/en/tv.action?pid=1410044401</x:v>
      </x:c>
      <x:c r="O226" t="str">
        <x:v>PASS</x:v>
      </x:c>
    </x:row>
    <x:row r="227">
      <x:c r="A227" t="str">
        <x:v>OBS_JVWS_BC11D6A191F4E3C44DC8</x:v>
      </x:c>
      <x:c r="B227" t="str">
        <x:v>72402</x:v>
      </x:c>
      <x:c r="C227" t="str">
        <x:v>Heating, refrigeration and air conditioning mechanics</x:v>
      </x:c>
      <x:c r="D227" t="str">
        <x:v>trade_hvac</x:v>
      </x:c>
      <x:c r="E227" t="str">
        <x:v>Average offered hourly wage</x:v>
      </x:c>
      <x:c r="F227" s="145" t="n">
        <x:v>31.3</x:v>
      </x:c>
      <x:c r="G227" t="str">
        <x:v>Dollars</x:v>
      </x:c>
      <x:c r="H227" s="153" t="n">
        <x:v>44378</x:v>
      </x:c>
      <x:c r="I227" s="153" t="n">
        <x:v>44469</x:v>
      </x:c>
      <x:c r="J227" t="str">
        <x:v>observed</x:v>
      </x:c>
      <x:c r="K227" t="str">
        <x:v>STATCAN_JVWS_14100444</x:v>
      </x:c>
      <x:c r="L227" t="str">
        <x:v>TR_STATCAN_JVWS_AB_NOC_1_0_0</x:v>
      </x:c>
      <x:c r="M227" t="str">
        <x:v>status:B</x:v>
      </x:c>
      <x:c r="N227" t="str">
        <x:v>https://www150.statcan.gc.ca/t1/tbl1/en/tv.action?pid=1410044401</x:v>
      </x:c>
      <x:c r="O227" t="str">
        <x:v>PASS</x:v>
      </x:c>
    </x:row>
    <x:row r="228">
      <x:c r="A228" t="str">
        <x:v>OBS_JVWS_33C983498FE4FA9B95DA</x:v>
      </x:c>
      <x:c r="B228" t="str">
        <x:v>72402</x:v>
      </x:c>
      <x:c r="C228" t="str">
        <x:v>Heating, refrigeration and air conditioning mechanics</x:v>
      </x:c>
      <x:c r="D228" t="str">
        <x:v>trade_hvac</x:v>
      </x:c>
      <x:c r="E228" t="str">
        <x:v>Job vacancies</x:v>
      </x:c>
      <x:c r="F228" s="145" t="n">
        <x:v>390</x:v>
      </x:c>
      <x:c r="G228" t="str">
        <x:v>Number</x:v>
      </x:c>
      <x:c r="H228" s="153" t="n">
        <x:v>44378</x:v>
      </x:c>
      <x:c r="I228" s="153" t="n">
        <x:v>44469</x:v>
      </x:c>
      <x:c r="J228" t="str">
        <x:v>observed</x:v>
      </x:c>
      <x:c r="K228" t="str">
        <x:v>STATCAN_JVWS_14100444</x:v>
      </x:c>
      <x:c r="L228" t="str">
        <x:v>TR_STATCAN_JVWS_AB_NOC_1_0_0</x:v>
      </x:c>
      <x:c r="M228" t="str">
        <x:v>status:E</x:v>
      </x:c>
      <x:c r="N228" t="str">
        <x:v>https://www150.statcan.gc.ca/t1/tbl1/en/tv.action?pid=1410044401</x:v>
      </x:c>
      <x:c r="O228" t="str">
        <x:v>PASS</x:v>
      </x:c>
    </x:row>
    <x:row r="229">
      <x:c r="A229" t="str">
        <x:v>OBS_JVWS_6617F245B41C4E630A64</x:v>
      </x:c>
      <x:c r="B229" t="str">
        <x:v>72202</x:v>
      </x:c>
      <x:c r="C229" t="str">
        <x:v>Power system electricians</x:v>
      </x:c>
      <x:c r="D229" t="str">
        <x:v>trade_power_line</x:v>
      </x:c>
      <x:c r="E229" t="str">
        <x:v>Average offered hourly wage</x:v>
      </x:c>
      <x:c r="F229" s="145"/>
      <x:c r="G229" t="str">
        <x:v>Dollars</x:v>
      </x:c>
      <x:c r="H229" s="153" t="n">
        <x:v>44378</x:v>
      </x:c>
      <x:c r="I229" s="153" t="n">
        <x:v>44469</x:v>
      </x:c>
      <x:c r="J229" t="str">
        <x:v>observed</x:v>
      </x:c>
      <x:c r="K229" t="str">
        <x:v>STATCAN_JVWS_14100444</x:v>
      </x:c>
      <x:c r="L229" t="str">
        <x:v>TR_STATCAN_JVWS_AB_NOC_1_0_0</x:v>
      </x:c>
      <x:c r="M229" t="str">
        <x:v>status:..|value_missing_or_suppressed</x:v>
      </x:c>
      <x:c r="N229" t="str">
        <x:v>https://www150.statcan.gc.ca/t1/tbl1/en/tv.action?pid=1410044401</x:v>
      </x:c>
      <x:c r="O229" t="str">
        <x:v>PASS</x:v>
      </x:c>
    </x:row>
    <x:row r="230">
      <x:c r="A230" t="str">
        <x:v>OBS_JVWS_809D37DAE196BA3B5302</x:v>
      </x:c>
      <x:c r="B230" t="str">
        <x:v>72202</x:v>
      </x:c>
      <x:c r="C230" t="str">
        <x:v>Power system electricians</x:v>
      </x:c>
      <x:c r="D230" t="str">
        <x:v>trade_power_line</x:v>
      </x:c>
      <x:c r="E230" t="str">
        <x:v>Job vacancies</x:v>
      </x:c>
      <x:c r="F230" s="145"/>
      <x:c r="G230" t="str">
        <x:v>Number</x:v>
      </x:c>
      <x:c r="H230" s="153" t="n">
        <x:v>44378</x:v>
      </x:c>
      <x:c r="I230" s="153" t="n">
        <x:v>44469</x:v>
      </x:c>
      <x:c r="J230" t="str">
        <x:v>observed</x:v>
      </x:c>
      <x:c r="K230" t="str">
        <x:v>STATCAN_JVWS_14100444</x:v>
      </x:c>
      <x:c r="L230" t="str">
        <x:v>TR_STATCAN_JVWS_AB_NOC_1_0_0</x:v>
      </x:c>
      <x:c r="M230" t="str">
        <x:v>status:..|value_missing_or_suppressed</x:v>
      </x:c>
      <x:c r="N230" t="str">
        <x:v>https://www150.statcan.gc.ca/t1/tbl1/en/tv.action?pid=1410044401</x:v>
      </x:c>
      <x:c r="O230" t="str">
        <x:v>PASS</x:v>
      </x:c>
    </x:row>
    <x:row r="231">
      <x:c r="A231" t="str">
        <x:v>OBS_JVWS_0E3D9948F076444357A2</x:v>
      </x:c>
      <x:c r="B231" t="str">
        <x:v>72203</x:v>
      </x:c>
      <x:c r="C231" t="str">
        <x:v>Electrical power line and cable workers</x:v>
      </x:c>
      <x:c r="D231" t="str">
        <x:v>trade_power_line</x:v>
      </x:c>
      <x:c r="E231" t="str">
        <x:v>Average offered hourly wage</x:v>
      </x:c>
      <x:c r="F231" s="145" t="n">
        <x:v>34.9</x:v>
      </x:c>
      <x:c r="G231" t="str">
        <x:v>Dollars</x:v>
      </x:c>
      <x:c r="H231" s="153" t="n">
        <x:v>44378</x:v>
      </x:c>
      <x:c r="I231" s="153" t="n">
        <x:v>44469</x:v>
      </x:c>
      <x:c r="J231" t="str">
        <x:v>observed</x:v>
      </x:c>
      <x:c r="K231" t="str">
        <x:v>STATCAN_JVWS_14100444</x:v>
      </x:c>
      <x:c r="L231" t="str">
        <x:v>TR_STATCAN_JVWS_AB_NOC_1_0_0</x:v>
      </x:c>
      <x:c r="M231" t="str">
        <x:v>status:C</x:v>
      </x:c>
      <x:c r="N231" t="str">
        <x:v>https://www150.statcan.gc.ca/t1/tbl1/en/tv.action?pid=1410044401</x:v>
      </x:c>
      <x:c r="O231" t="str">
        <x:v>PASS</x:v>
      </x:c>
    </x:row>
    <x:row r="232">
      <x:c r="A232" t="str">
        <x:v>OBS_JVWS_1C01F8A9BB1B4B46B5F4</x:v>
      </x:c>
      <x:c r="B232" t="str">
        <x:v>72203</x:v>
      </x:c>
      <x:c r="C232" t="str">
        <x:v>Electrical power line and cable workers</x:v>
      </x:c>
      <x:c r="D232" t="str">
        <x:v>trade_power_line</x:v>
      </x:c>
      <x:c r="E232" t="str">
        <x:v>Job vacancies</x:v>
      </x:c>
      <x:c r="F232" s="145"/>
      <x:c r="G232" t="str">
        <x:v>Number</x:v>
      </x:c>
      <x:c r="H232" s="153" t="n">
        <x:v>44378</x:v>
      </x:c>
      <x:c r="I232" s="153" t="n">
        <x:v>44469</x:v>
      </x:c>
      <x:c r="J232" t="str">
        <x:v>observed</x:v>
      </x:c>
      <x:c r="K232" t="str">
        <x:v>STATCAN_JVWS_14100444</x:v>
      </x:c>
      <x:c r="L232" t="str">
        <x:v>TR_STATCAN_JVWS_AB_NOC_1_0_0</x:v>
      </x:c>
      <x:c r="M232" t="str">
        <x:v>status:F|value_missing_or_suppressed</x:v>
      </x:c>
      <x:c r="N232" t="str">
        <x:v>https://www150.statcan.gc.ca/t1/tbl1/en/tv.action?pid=1410044401</x:v>
      </x:c>
      <x:c r="O232" t="str">
        <x:v>PASS</x:v>
      </x:c>
    </x:row>
    <x:row r="233">
      <x:c r="A233" t="str">
        <x:v>OBS_JVWS_7C93742A7592A5CF20D6</x:v>
      </x:c>
      <x:c r="B233" t="str">
        <x:v>73100</x:v>
      </x:c>
      <x:c r="C233" t="str">
        <x:v>Concrete finishers</x:v>
      </x:c>
      <x:c r="D233" t="str">
        <x:v>trade_concrete</x:v>
      </x:c>
      <x:c r="E233" t="str">
        <x:v>Average offered hourly wage</x:v>
      </x:c>
      <x:c r="F233" s="145" t="n">
        <x:v>31.7</x:v>
      </x:c>
      <x:c r="G233" t="str">
        <x:v>Dollars</x:v>
      </x:c>
      <x:c r="H233" s="153" t="n">
        <x:v>44287</x:v>
      </x:c>
      <x:c r="I233" s="153" t="n">
        <x:v>44377</x:v>
      </x:c>
      <x:c r="J233" t="str">
        <x:v>observed</x:v>
      </x:c>
      <x:c r="K233" t="str">
        <x:v>STATCAN_JVWS_14100444</x:v>
      </x:c>
      <x:c r="L233" t="str">
        <x:v>TR_STATCAN_JVWS_AB_NOC_1_0_0</x:v>
      </x:c>
      <x:c r="M233" t="str">
        <x:v>status:A</x:v>
      </x:c>
      <x:c r="N233" t="str">
        <x:v>https://www150.statcan.gc.ca/t1/tbl1/en/tv.action?pid=1410044401</x:v>
      </x:c>
      <x:c r="O233" t="str">
        <x:v>PASS</x:v>
      </x:c>
    </x:row>
    <x:row r="234">
      <x:c r="A234" t="str">
        <x:v>OBS_JVWS_9F1643A2849ACF324E33</x:v>
      </x:c>
      <x:c r="B234" t="str">
        <x:v>73100</x:v>
      </x:c>
      <x:c r="C234" t="str">
        <x:v>Concrete finishers</x:v>
      </x:c>
      <x:c r="D234" t="str">
        <x:v>trade_concrete</x:v>
      </x:c>
      <x:c r="E234" t="str">
        <x:v>Job vacancies</x:v>
      </x:c>
      <x:c r="F234" s="145"/>
      <x:c r="G234" t="str">
        <x:v>Number</x:v>
      </x:c>
      <x:c r="H234" s="153" t="n">
        <x:v>44287</x:v>
      </x:c>
      <x:c r="I234" s="153" t="n">
        <x:v>44377</x:v>
      </x:c>
      <x:c r="J234" t="str">
        <x:v>observed</x:v>
      </x:c>
      <x:c r="K234" t="str">
        <x:v>STATCAN_JVWS_14100444</x:v>
      </x:c>
      <x:c r="L234" t="str">
        <x:v>TR_STATCAN_JVWS_AB_NOC_1_0_0</x:v>
      </x:c>
      <x:c r="M234" t="str">
        <x:v>status:F|value_missing_or_suppressed</x:v>
      </x:c>
      <x:c r="N234" t="str">
        <x:v>https://www150.statcan.gc.ca/t1/tbl1/en/tv.action?pid=1410044401</x:v>
      </x:c>
      <x:c r="O234" t="str">
        <x:v>PASS</x:v>
      </x:c>
    </x:row>
    <x:row r="235">
      <x:c r="A235" t="str">
        <x:v>OBS_JVWS_49DF1A99EC8DA2CC4CB4</x:v>
      </x:c>
      <x:c r="B235" t="str">
        <x:v>72200</x:v>
      </x:c>
      <x:c r="C235" t="str">
        <x:v>Electricians (except industrial and power system)</x:v>
      </x:c>
      <x:c r="D235" t="str">
        <x:v>trade_electricians</x:v>
      </x:c>
      <x:c r="E235" t="str">
        <x:v>Average offered hourly wage</x:v>
      </x:c>
      <x:c r="F235" s="145" t="n">
        <x:v>25.5</x:v>
      </x:c>
      <x:c r="G235" t="str">
        <x:v>Dollars</x:v>
      </x:c>
      <x:c r="H235" s="153" t="n">
        <x:v>44287</x:v>
      </x:c>
      <x:c r="I235" s="153" t="n">
        <x:v>44377</x:v>
      </x:c>
      <x:c r="J235" t="str">
        <x:v>observed</x:v>
      </x:c>
      <x:c r="K235" t="str">
        <x:v>STATCAN_JVWS_14100444</x:v>
      </x:c>
      <x:c r="L235" t="str">
        <x:v>TR_STATCAN_JVWS_AB_NOC_1_0_0</x:v>
      </x:c>
      <x:c r="M235" t="str">
        <x:v>status:C</x:v>
      </x:c>
      <x:c r="N235" t="str">
        <x:v>https://www150.statcan.gc.ca/t1/tbl1/en/tv.action?pid=1410044401</x:v>
      </x:c>
      <x:c r="O235" t="str">
        <x:v>PASS</x:v>
      </x:c>
    </x:row>
    <x:row r="236">
      <x:c r="A236" t="str">
        <x:v>OBS_JVWS_821356AD72F6AF31F6C7</x:v>
      </x:c>
      <x:c r="B236" t="str">
        <x:v>72200</x:v>
      </x:c>
      <x:c r="C236" t="str">
        <x:v>Electricians (except industrial and power system)</x:v>
      </x:c>
      <x:c r="D236" t="str">
        <x:v>trade_electricians</x:v>
      </x:c>
      <x:c r="E236" t="str">
        <x:v>Job vacancies</x:v>
      </x:c>
      <x:c r="F236" s="145"/>
      <x:c r="G236" t="str">
        <x:v>Number</x:v>
      </x:c>
      <x:c r="H236" s="153" t="n">
        <x:v>44287</x:v>
      </x:c>
      <x:c r="I236" s="153" t="n">
        <x:v>44377</x:v>
      </x:c>
      <x:c r="J236" t="str">
        <x:v>observed</x:v>
      </x:c>
      <x:c r="K236" t="str">
        <x:v>STATCAN_JVWS_14100444</x:v>
      </x:c>
      <x:c r="L236" t="str">
        <x:v>TR_STATCAN_JVWS_AB_NOC_1_0_0</x:v>
      </x:c>
      <x:c r="M236" t="str">
        <x:v>status:F|value_missing_or_suppressed</x:v>
      </x:c>
      <x:c r="N236" t="str">
        <x:v>https://www150.statcan.gc.ca/t1/tbl1/en/tv.action?pid=1410044401</x:v>
      </x:c>
      <x:c r="O236" t="str">
        <x:v>PASS</x:v>
      </x:c>
    </x:row>
    <x:row r="237">
      <x:c r="A237" t="str">
        <x:v>OBS_JVWS_39FDBB734BFCE0AF04F8</x:v>
      </x:c>
      <x:c r="B237" t="str">
        <x:v>72201</x:v>
      </x:c>
      <x:c r="C237" t="str">
        <x:v>Industrial electricians</x:v>
      </x:c>
      <x:c r="D237" t="str">
        <x:v>trade_electricians</x:v>
      </x:c>
      <x:c r="E237" t="str">
        <x:v>Average offered hourly wage</x:v>
      </x:c>
      <x:c r="F237" s="145" t="n">
        <x:v>39.65</x:v>
      </x:c>
      <x:c r="G237" t="str">
        <x:v>Dollars</x:v>
      </x:c>
      <x:c r="H237" s="153" t="n">
        <x:v>44287</x:v>
      </x:c>
      <x:c r="I237" s="153" t="n">
        <x:v>44377</x:v>
      </x:c>
      <x:c r="J237" t="str">
        <x:v>observed</x:v>
      </x:c>
      <x:c r="K237" t="str">
        <x:v>STATCAN_JVWS_14100444</x:v>
      </x:c>
      <x:c r="L237" t="str">
        <x:v>TR_STATCAN_JVWS_AB_NOC_1_0_0</x:v>
      </x:c>
      <x:c r="M237" t="str">
        <x:v>status:A</x:v>
      </x:c>
      <x:c r="N237" t="str">
        <x:v>https://www150.statcan.gc.ca/t1/tbl1/en/tv.action?pid=1410044401</x:v>
      </x:c>
      <x:c r="O237" t="str">
        <x:v>PASS</x:v>
      </x:c>
    </x:row>
    <x:row r="238">
      <x:c r="A238" t="str">
        <x:v>OBS_JVWS_9691B5BED1190EFBFD47</x:v>
      </x:c>
      <x:c r="B238" t="str">
        <x:v>72201</x:v>
      </x:c>
      <x:c r="C238" t="str">
        <x:v>Industrial electricians</x:v>
      </x:c>
      <x:c r="D238" t="str">
        <x:v>trade_electricians</x:v>
      </x:c>
      <x:c r="E238" t="str">
        <x:v>Job vacancies</x:v>
      </x:c>
      <x:c r="F238" s="145" t="n">
        <x:v>40</x:v>
      </x:c>
      <x:c r="G238" t="str">
        <x:v>Number</x:v>
      </x:c>
      <x:c r="H238" s="153" t="n">
        <x:v>44287</x:v>
      </x:c>
      <x:c r="I238" s="153" t="n">
        <x:v>44377</x:v>
      </x:c>
      <x:c r="J238" t="str">
        <x:v>observed</x:v>
      </x:c>
      <x:c r="K238" t="str">
        <x:v>STATCAN_JVWS_14100444</x:v>
      </x:c>
      <x:c r="L238" t="str">
        <x:v>TR_STATCAN_JVWS_AB_NOC_1_0_0</x:v>
      </x:c>
      <x:c r="M238" t="str">
        <x:v>status:E</x:v>
      </x:c>
      <x:c r="N238" t="str">
        <x:v>https://www150.statcan.gc.ca/t1/tbl1/en/tv.action?pid=1410044401</x:v>
      </x:c>
      <x:c r="O238" t="str">
        <x:v>PASS</x:v>
      </x:c>
    </x:row>
    <x:row r="239">
      <x:c r="A239" t="str">
        <x:v>OBS_JVWS_1A07362F09C17DFA411E</x:v>
      </x:c>
      <x:c r="B239" t="str">
        <x:v>72402</x:v>
      </x:c>
      <x:c r="C239" t="str">
        <x:v>Heating, refrigeration and air conditioning mechanics</x:v>
      </x:c>
      <x:c r="D239" t="str">
        <x:v>trade_hvac</x:v>
      </x:c>
      <x:c r="E239" t="str">
        <x:v>Average offered hourly wage</x:v>
      </x:c>
      <x:c r="F239" s="145" t="n">
        <x:v>39.25</x:v>
      </x:c>
      <x:c r="G239" t="str">
        <x:v>Dollars</x:v>
      </x:c>
      <x:c r="H239" s="153" t="n">
        <x:v>44287</x:v>
      </x:c>
      <x:c r="I239" s="153" t="n">
        <x:v>44377</x:v>
      </x:c>
      <x:c r="J239" t="str">
        <x:v>observed</x:v>
      </x:c>
      <x:c r="K239" t="str">
        <x:v>STATCAN_JVWS_14100444</x:v>
      </x:c>
      <x:c r="L239" t="str">
        <x:v>TR_STATCAN_JVWS_AB_NOC_1_0_0</x:v>
      </x:c>
      <x:c r="M239" t="str">
        <x:v>status:C</x:v>
      </x:c>
      <x:c r="N239" t="str">
        <x:v>https://www150.statcan.gc.ca/t1/tbl1/en/tv.action?pid=1410044401</x:v>
      </x:c>
      <x:c r="O239" t="str">
        <x:v>PASS</x:v>
      </x:c>
    </x:row>
    <x:row r="240">
      <x:c r="A240" t="str">
        <x:v>OBS_JVWS_6CEEC360E5507C5547A0</x:v>
      </x:c>
      <x:c r="B240" t="str">
        <x:v>72402</x:v>
      </x:c>
      <x:c r="C240" t="str">
        <x:v>Heating, refrigeration and air conditioning mechanics</x:v>
      </x:c>
      <x:c r="D240" t="str">
        <x:v>trade_hvac</x:v>
      </x:c>
      <x:c r="E240" t="str">
        <x:v>Job vacancies</x:v>
      </x:c>
      <x:c r="F240" s="145"/>
      <x:c r="G240" t="str">
        <x:v>Number</x:v>
      </x:c>
      <x:c r="H240" s="153" t="n">
        <x:v>44287</x:v>
      </x:c>
      <x:c r="I240" s="153" t="n">
        <x:v>44377</x:v>
      </x:c>
      <x:c r="J240" t="str">
        <x:v>observed</x:v>
      </x:c>
      <x:c r="K240" t="str">
        <x:v>STATCAN_JVWS_14100444</x:v>
      </x:c>
      <x:c r="L240" t="str">
        <x:v>TR_STATCAN_JVWS_AB_NOC_1_0_0</x:v>
      </x:c>
      <x:c r="M240" t="str">
        <x:v>status:F|value_missing_or_suppressed</x:v>
      </x:c>
      <x:c r="N240" t="str">
        <x:v>https://www150.statcan.gc.ca/t1/tbl1/en/tv.action?pid=1410044401</x:v>
      </x:c>
      <x:c r="O240" t="str">
        <x:v>PASS</x:v>
      </x:c>
    </x:row>
    <x:row r="241">
      <x:c r="A241" t="str">
        <x:v>OBS_JVWS_874E2CF5AFB6620AF543</x:v>
      </x:c>
      <x:c r="B241" t="str">
        <x:v>72202</x:v>
      </x:c>
      <x:c r="C241" t="str">
        <x:v>Power system electricians</x:v>
      </x:c>
      <x:c r="D241" t="str">
        <x:v>trade_power_line</x:v>
      </x:c>
      <x:c r="E241" t="str">
        <x:v>Average offered hourly wage</x:v>
      </x:c>
      <x:c r="F241" s="145"/>
      <x:c r="G241" t="str">
        <x:v>Dollars</x:v>
      </x:c>
      <x:c r="H241" s="153" t="n">
        <x:v>44287</x:v>
      </x:c>
      <x:c r="I241" s="153" t="n">
        <x:v>44377</x:v>
      </x:c>
      <x:c r="J241" t="str">
        <x:v>observed</x:v>
      </x:c>
      <x:c r="K241" t="str">
        <x:v>STATCAN_JVWS_14100444</x:v>
      </x:c>
      <x:c r="L241" t="str">
        <x:v>TR_STATCAN_JVWS_AB_NOC_1_0_0</x:v>
      </x:c>
      <x:c r="M241" t="str">
        <x:v>status:..|value_missing_or_suppressed</x:v>
      </x:c>
      <x:c r="N241" t="str">
        <x:v>https://www150.statcan.gc.ca/t1/tbl1/en/tv.action?pid=1410044401</x:v>
      </x:c>
      <x:c r="O241" t="str">
        <x:v>PASS</x:v>
      </x:c>
    </x:row>
    <x:row r="242">
      <x:c r="A242" t="str">
        <x:v>OBS_JVWS_0592BE7CBE24CD9584D8</x:v>
      </x:c>
      <x:c r="B242" t="str">
        <x:v>72202</x:v>
      </x:c>
      <x:c r="C242" t="str">
        <x:v>Power system electricians</x:v>
      </x:c>
      <x:c r="D242" t="str">
        <x:v>trade_power_line</x:v>
      </x:c>
      <x:c r="E242" t="str">
        <x:v>Job vacancies</x:v>
      </x:c>
      <x:c r="F242" s="145"/>
      <x:c r="G242" t="str">
        <x:v>Number</x:v>
      </x:c>
      <x:c r="H242" s="153" t="n">
        <x:v>44287</x:v>
      </x:c>
      <x:c r="I242" s="153" t="n">
        <x:v>44377</x:v>
      </x:c>
      <x:c r="J242" t="str">
        <x:v>observed</x:v>
      </x:c>
      <x:c r="K242" t="str">
        <x:v>STATCAN_JVWS_14100444</x:v>
      </x:c>
      <x:c r="L242" t="str">
        <x:v>TR_STATCAN_JVWS_AB_NOC_1_0_0</x:v>
      </x:c>
      <x:c r="M242" t="str">
        <x:v>status:..|value_missing_or_suppressed</x:v>
      </x:c>
      <x:c r="N242" t="str">
        <x:v>https://www150.statcan.gc.ca/t1/tbl1/en/tv.action?pid=1410044401</x:v>
      </x:c>
      <x:c r="O242" t="str">
        <x:v>PASS</x:v>
      </x:c>
    </x:row>
    <x:row r="243">
      <x:c r="A243" t="str">
        <x:v>OBS_JVWS_19AB977F33821FAC480E</x:v>
      </x:c>
      <x:c r="B243" t="str">
        <x:v>72203</x:v>
      </x:c>
      <x:c r="C243" t="str">
        <x:v>Electrical power line and cable workers</x:v>
      </x:c>
      <x:c r="D243" t="str">
        <x:v>trade_power_line</x:v>
      </x:c>
      <x:c r="E243" t="str">
        <x:v>Average offered hourly wage</x:v>
      </x:c>
      <x:c r="F243" s="145" t="n">
        <x:v>38.25</x:v>
      </x:c>
      <x:c r="G243" t="str">
        <x:v>Dollars</x:v>
      </x:c>
      <x:c r="H243" s="153" t="n">
        <x:v>44287</x:v>
      </x:c>
      <x:c r="I243" s="153" t="n">
        <x:v>44377</x:v>
      </x:c>
      <x:c r="J243" t="str">
        <x:v>observed</x:v>
      </x:c>
      <x:c r="K243" t="str">
        <x:v>STATCAN_JVWS_14100444</x:v>
      </x:c>
      <x:c r="L243" t="str">
        <x:v>TR_STATCAN_JVWS_AB_NOC_1_0_0</x:v>
      </x:c>
      <x:c r="M243" t="str">
        <x:v>status:E</x:v>
      </x:c>
      <x:c r="N243" t="str">
        <x:v>https://www150.statcan.gc.ca/t1/tbl1/en/tv.action?pid=1410044401</x:v>
      </x:c>
      <x:c r="O243" t="str">
        <x:v>PASS</x:v>
      </x:c>
    </x:row>
    <x:row r="244">
      <x:c r="A244" t="str">
        <x:v>OBS_JVWS_35C1FEBD22A9C38ACD89</x:v>
      </x:c>
      <x:c r="B244" t="str">
        <x:v>72203</x:v>
      </x:c>
      <x:c r="C244" t="str">
        <x:v>Electrical power line and cable workers</x:v>
      </x:c>
      <x:c r="D244" t="str">
        <x:v>trade_power_line</x:v>
      </x:c>
      <x:c r="E244" t="str">
        <x:v>Job vacancies</x:v>
      </x:c>
      <x:c r="F244" s="145"/>
      <x:c r="G244" t="str">
        <x:v>Number</x:v>
      </x:c>
      <x:c r="H244" s="153" t="n">
        <x:v>44287</x:v>
      </x:c>
      <x:c r="I244" s="153" t="n">
        <x:v>44377</x:v>
      </x:c>
      <x:c r="J244" t="str">
        <x:v>observed</x:v>
      </x:c>
      <x:c r="K244" t="str">
        <x:v>STATCAN_JVWS_14100444</x:v>
      </x:c>
      <x:c r="L244" t="str">
        <x:v>TR_STATCAN_JVWS_AB_NOC_1_0_0</x:v>
      </x:c>
      <x:c r="M244" t="str">
        <x:v>status:F|value_missing_or_suppressed</x:v>
      </x:c>
      <x:c r="N244" t="str">
        <x:v>https://www150.statcan.gc.ca/t1/tbl1/en/tv.action?pid=1410044401</x:v>
      </x:c>
      <x:c r="O244" t="str">
        <x:v>PASS</x:v>
      </x:c>
    </x:row>
    <x:row r="245">
      <x:c r="A245" t="str">
        <x:v>OBS_JVWS_3C6FEDAEC47632DA1645</x:v>
      </x:c>
      <x:c r="B245" t="str">
        <x:v>73100</x:v>
      </x:c>
      <x:c r="C245" t="str">
        <x:v>Concrete finishers</x:v>
      </x:c>
      <x:c r="D245" t="str">
        <x:v>trade_concrete</x:v>
      </x:c>
      <x:c r="E245" t="str">
        <x:v>Average offered hourly wage</x:v>
      </x:c>
      <x:c r="F245" s="145" t="n">
        <x:v>31.9</x:v>
      </x:c>
      <x:c r="G245" t="str">
        <x:v>Dollars</x:v>
      </x:c>
      <x:c r="H245" s="153" t="n">
        <x:v>44197</x:v>
      </x:c>
      <x:c r="I245" s="153" t="n">
        <x:v>44286</x:v>
      </x:c>
      <x:c r="J245" t="str">
        <x:v>observed</x:v>
      </x:c>
      <x:c r="K245" t="str">
        <x:v>STATCAN_JVWS_14100444</x:v>
      </x:c>
      <x:c r="L245" t="str">
        <x:v>TR_STATCAN_JVWS_AB_NOC_1_0_0</x:v>
      </x:c>
      <x:c r="M245" t="str">
        <x:v>status:B</x:v>
      </x:c>
      <x:c r="N245" t="str">
        <x:v>https://www150.statcan.gc.ca/t1/tbl1/en/tv.action?pid=1410044401</x:v>
      </x:c>
      <x:c r="O245" t="str">
        <x:v>PASS</x:v>
      </x:c>
    </x:row>
    <x:row r="246">
      <x:c r="A246" t="str">
        <x:v>OBS_JVWS_769F4113537AB3CD3F3F</x:v>
      </x:c>
      <x:c r="B246" t="str">
        <x:v>73100</x:v>
      </x:c>
      <x:c r="C246" t="str">
        <x:v>Concrete finishers</x:v>
      </x:c>
      <x:c r="D246" t="str">
        <x:v>trade_concrete</x:v>
      </x:c>
      <x:c r="E246" t="str">
        <x:v>Job vacancies</x:v>
      </x:c>
      <x:c r="F246" s="145"/>
      <x:c r="G246" t="str">
        <x:v>Number</x:v>
      </x:c>
      <x:c r="H246" s="153" t="n">
        <x:v>44197</x:v>
      </x:c>
      <x:c r="I246" s="153" t="n">
        <x:v>44286</x:v>
      </x:c>
      <x:c r="J246" t="str">
        <x:v>observed</x:v>
      </x:c>
      <x:c r="K246" t="str">
        <x:v>STATCAN_JVWS_14100444</x:v>
      </x:c>
      <x:c r="L246" t="str">
        <x:v>TR_STATCAN_JVWS_AB_NOC_1_0_0</x:v>
      </x:c>
      <x:c r="M246" t="str">
        <x:v>status:F|value_missing_or_suppressed</x:v>
      </x:c>
      <x:c r="N246" t="str">
        <x:v>https://www150.statcan.gc.ca/t1/tbl1/en/tv.action?pid=1410044401</x:v>
      </x:c>
      <x:c r="O246" t="str">
        <x:v>PASS</x:v>
      </x:c>
    </x:row>
    <x:row r="247">
      <x:c r="A247" t="str">
        <x:v>OBS_JVWS_3C33E506803B52543DB6</x:v>
      </x:c>
      <x:c r="B247" t="str">
        <x:v>72200</x:v>
      </x:c>
      <x:c r="C247" t="str">
        <x:v>Electricians (except industrial and power system)</x:v>
      </x:c>
      <x:c r="D247" t="str">
        <x:v>trade_electricians</x:v>
      </x:c>
      <x:c r="E247" t="str">
        <x:v>Average offered hourly wage</x:v>
      </x:c>
      <x:c r="F247" s="145" t="n">
        <x:v>25.5</x:v>
      </x:c>
      <x:c r="G247" t="str">
        <x:v>Dollars</x:v>
      </x:c>
      <x:c r="H247" s="153" t="n">
        <x:v>44197</x:v>
      </x:c>
      <x:c r="I247" s="153" t="n">
        <x:v>44286</x:v>
      </x:c>
      <x:c r="J247" t="str">
        <x:v>observed</x:v>
      </x:c>
      <x:c r="K247" t="str">
        <x:v>STATCAN_JVWS_14100444</x:v>
      </x:c>
      <x:c r="L247" t="str">
        <x:v>TR_STATCAN_JVWS_AB_NOC_1_0_0</x:v>
      </x:c>
      <x:c r="M247" t="str">
        <x:v>status:C</x:v>
      </x:c>
      <x:c r="N247" t="str">
        <x:v>https://www150.statcan.gc.ca/t1/tbl1/en/tv.action?pid=1410044401</x:v>
      </x:c>
      <x:c r="O247" t="str">
        <x:v>PASS</x:v>
      </x:c>
    </x:row>
    <x:row r="248">
      <x:c r="A248" t="str">
        <x:v>OBS_JVWS_A2C484E3914778D1C02C</x:v>
      </x:c>
      <x:c r="B248" t="str">
        <x:v>72200</x:v>
      </x:c>
      <x:c r="C248" t="str">
        <x:v>Electricians (except industrial and power system)</x:v>
      </x:c>
      <x:c r="D248" t="str">
        <x:v>trade_electricians</x:v>
      </x:c>
      <x:c r="E248" t="str">
        <x:v>Job vacancies</x:v>
      </x:c>
      <x:c r="F248" s="145"/>
      <x:c r="G248" t="str">
        <x:v>Number</x:v>
      </x:c>
      <x:c r="H248" s="153" t="n">
        <x:v>44197</x:v>
      </x:c>
      <x:c r="I248" s="153" t="n">
        <x:v>44286</x:v>
      </x:c>
      <x:c r="J248" t="str">
        <x:v>observed</x:v>
      </x:c>
      <x:c r="K248" t="str">
        <x:v>STATCAN_JVWS_14100444</x:v>
      </x:c>
      <x:c r="L248" t="str">
        <x:v>TR_STATCAN_JVWS_AB_NOC_1_0_0</x:v>
      </x:c>
      <x:c r="M248" t="str">
        <x:v>status:F|value_missing_or_suppressed</x:v>
      </x:c>
      <x:c r="N248" t="str">
        <x:v>https://www150.statcan.gc.ca/t1/tbl1/en/tv.action?pid=1410044401</x:v>
      </x:c>
      <x:c r="O248" t="str">
        <x:v>PASS</x:v>
      </x:c>
    </x:row>
    <x:row r="249">
      <x:c r="A249" t="str">
        <x:v>OBS_JVWS_FD82531D9CABE04DC9C4</x:v>
      </x:c>
      <x:c r="B249" t="str">
        <x:v>72201</x:v>
      </x:c>
      <x:c r="C249" t="str">
        <x:v>Industrial electricians</x:v>
      </x:c>
      <x:c r="D249" t="str">
        <x:v>trade_electricians</x:v>
      </x:c>
      <x:c r="E249" t="str">
        <x:v>Average offered hourly wage</x:v>
      </x:c>
      <x:c r="F249" s="145" t="n">
        <x:v>41.2</x:v>
      </x:c>
      <x:c r="G249" t="str">
        <x:v>Dollars</x:v>
      </x:c>
      <x:c r="H249" s="153" t="n">
        <x:v>44197</x:v>
      </x:c>
      <x:c r="I249" s="153" t="n">
        <x:v>44286</x:v>
      </x:c>
      <x:c r="J249" t="str">
        <x:v>observed</x:v>
      </x:c>
      <x:c r="K249" t="str">
        <x:v>STATCAN_JVWS_14100444</x:v>
      </x:c>
      <x:c r="L249" t="str">
        <x:v>TR_STATCAN_JVWS_AB_NOC_1_0_0</x:v>
      </x:c>
      <x:c r="M249" t="str">
        <x:v>status:C</x:v>
      </x:c>
      <x:c r="N249" t="str">
        <x:v>https://www150.statcan.gc.ca/t1/tbl1/en/tv.action?pid=1410044401</x:v>
      </x:c>
      <x:c r="O249" t="str">
        <x:v>PASS</x:v>
      </x:c>
    </x:row>
    <x:row r="250">
      <x:c r="A250" t="str">
        <x:v>OBS_JVWS_B1E5F9C1C9784EF24CC2</x:v>
      </x:c>
      <x:c r="B250" t="str">
        <x:v>72201</x:v>
      </x:c>
      <x:c r="C250" t="str">
        <x:v>Industrial electricians</x:v>
      </x:c>
      <x:c r="D250" t="str">
        <x:v>trade_electricians</x:v>
      </x:c>
      <x:c r="E250" t="str">
        <x:v>Job vacancies</x:v>
      </x:c>
      <x:c r="F250" s="145"/>
      <x:c r="G250" t="str">
        <x:v>Number</x:v>
      </x:c>
      <x:c r="H250" s="153" t="n">
        <x:v>44197</x:v>
      </x:c>
      <x:c r="I250" s="153" t="n">
        <x:v>44286</x:v>
      </x:c>
      <x:c r="J250" t="str">
        <x:v>observed</x:v>
      </x:c>
      <x:c r="K250" t="str">
        <x:v>STATCAN_JVWS_14100444</x:v>
      </x:c>
      <x:c r="L250" t="str">
        <x:v>TR_STATCAN_JVWS_AB_NOC_1_0_0</x:v>
      </x:c>
      <x:c r="M250" t="str">
        <x:v>status:F|value_missing_or_suppressed</x:v>
      </x:c>
      <x:c r="N250" t="str">
        <x:v>https://www150.statcan.gc.ca/t1/tbl1/en/tv.action?pid=1410044401</x:v>
      </x:c>
      <x:c r="O250" t="str">
        <x:v>PASS</x:v>
      </x:c>
    </x:row>
    <x:row r="251">
      <x:c r="A251" t="str">
        <x:v>OBS_JVWS_CE3FE65237AAE6D22D8A</x:v>
      </x:c>
      <x:c r="B251" t="str">
        <x:v>72402</x:v>
      </x:c>
      <x:c r="C251" t="str">
        <x:v>Heating, refrigeration and air conditioning mechanics</x:v>
      </x:c>
      <x:c r="D251" t="str">
        <x:v>trade_hvac</x:v>
      </x:c>
      <x:c r="E251" t="str">
        <x:v>Average offered hourly wage</x:v>
      </x:c>
      <x:c r="F251" s="145" t="n">
        <x:v>31.1</x:v>
      </x:c>
      <x:c r="G251" t="str">
        <x:v>Dollars</x:v>
      </x:c>
      <x:c r="H251" s="153" t="n">
        <x:v>44197</x:v>
      </x:c>
      <x:c r="I251" s="153" t="n">
        <x:v>44286</x:v>
      </x:c>
      <x:c r="J251" t="str">
        <x:v>observed</x:v>
      </x:c>
      <x:c r="K251" t="str">
        <x:v>STATCAN_JVWS_14100444</x:v>
      </x:c>
      <x:c r="L251" t="str">
        <x:v>TR_STATCAN_JVWS_AB_NOC_1_0_0</x:v>
      </x:c>
      <x:c r="M251" t="str">
        <x:v>status:B</x:v>
      </x:c>
      <x:c r="N251" t="str">
        <x:v>https://www150.statcan.gc.ca/t1/tbl1/en/tv.action?pid=1410044401</x:v>
      </x:c>
      <x:c r="O251" t="str">
        <x:v>PASS</x:v>
      </x:c>
    </x:row>
    <x:row r="252">
      <x:c r="A252" t="str">
        <x:v>OBS_JVWS_1275A16D2D7A208DC941</x:v>
      </x:c>
      <x:c r="B252" t="str">
        <x:v>72402</x:v>
      </x:c>
      <x:c r="C252" t="str">
        <x:v>Heating, refrigeration and air conditioning mechanics</x:v>
      </x:c>
      <x:c r="D252" t="str">
        <x:v>trade_hvac</x:v>
      </x:c>
      <x:c r="E252" t="str">
        <x:v>Job vacancies</x:v>
      </x:c>
      <x:c r="F252" s="145"/>
      <x:c r="G252" t="str">
        <x:v>Number</x:v>
      </x:c>
      <x:c r="H252" s="153" t="n">
        <x:v>44197</x:v>
      </x:c>
      <x:c r="I252" s="153" t="n">
        <x:v>44286</x:v>
      </x:c>
      <x:c r="J252" t="str">
        <x:v>observed</x:v>
      </x:c>
      <x:c r="K252" t="str">
        <x:v>STATCAN_JVWS_14100444</x:v>
      </x:c>
      <x:c r="L252" t="str">
        <x:v>TR_STATCAN_JVWS_AB_NOC_1_0_0</x:v>
      </x:c>
      <x:c r="M252" t="str">
        <x:v>status:F|value_missing_or_suppressed</x:v>
      </x:c>
      <x:c r="N252" t="str">
        <x:v>https://www150.statcan.gc.ca/t1/tbl1/en/tv.action?pid=1410044401</x:v>
      </x:c>
      <x:c r="O252" t="str">
        <x:v>PASS</x:v>
      </x:c>
    </x:row>
    <x:row r="253">
      <x:c r="A253" t="str">
        <x:v>OBS_JVWS_5631A5F49FA543CDAB77</x:v>
      </x:c>
      <x:c r="B253" t="str">
        <x:v>72202</x:v>
      </x:c>
      <x:c r="C253" t="str">
        <x:v>Power system electricians</x:v>
      </x:c>
      <x:c r="D253" t="str">
        <x:v>trade_power_line</x:v>
      </x:c>
      <x:c r="E253" t="str">
        <x:v>Average offered hourly wage</x:v>
      </x:c>
      <x:c r="F253" s="145"/>
      <x:c r="G253" t="str">
        <x:v>Dollars</x:v>
      </x:c>
      <x:c r="H253" s="153" t="n">
        <x:v>44197</x:v>
      </x:c>
      <x:c r="I253" s="153" t="n">
        <x:v>44286</x:v>
      </x:c>
      <x:c r="J253" t="str">
        <x:v>observed</x:v>
      </x:c>
      <x:c r="K253" t="str">
        <x:v>STATCAN_JVWS_14100444</x:v>
      </x:c>
      <x:c r="L253" t="str">
        <x:v>TR_STATCAN_JVWS_AB_NOC_1_0_0</x:v>
      </x:c>
      <x:c r="M253" t="str">
        <x:v>status:F|value_missing_or_suppressed</x:v>
      </x:c>
      <x:c r="N253" t="str">
        <x:v>https://www150.statcan.gc.ca/t1/tbl1/en/tv.action?pid=1410044401</x:v>
      </x:c>
      <x:c r="O253" t="str">
        <x:v>PASS</x:v>
      </x:c>
    </x:row>
    <x:row r="254">
      <x:c r="A254" t="str">
        <x:v>OBS_JVWS_3D00C5EBBDD26CCCCB1B</x:v>
      </x:c>
      <x:c r="B254" t="str">
        <x:v>72202</x:v>
      </x:c>
      <x:c r="C254" t="str">
        <x:v>Power system electricians</x:v>
      </x:c>
      <x:c r="D254" t="str">
        <x:v>trade_power_line</x:v>
      </x:c>
      <x:c r="E254" t="str">
        <x:v>Job vacancies</x:v>
      </x:c>
      <x:c r="F254" s="145"/>
      <x:c r="G254" t="str">
        <x:v>Number</x:v>
      </x:c>
      <x:c r="H254" s="153" t="n">
        <x:v>44197</x:v>
      </x:c>
      <x:c r="I254" s="153" t="n">
        <x:v>44286</x:v>
      </x:c>
      <x:c r="J254" t="str">
        <x:v>observed</x:v>
      </x:c>
      <x:c r="K254" t="str">
        <x:v>STATCAN_JVWS_14100444</x:v>
      </x:c>
      <x:c r="L254" t="str">
        <x:v>TR_STATCAN_JVWS_AB_NOC_1_0_0</x:v>
      </x:c>
      <x:c r="M254" t="str">
        <x:v>status:F|value_missing_or_suppressed</x:v>
      </x:c>
      <x:c r="N254" t="str">
        <x:v>https://www150.statcan.gc.ca/t1/tbl1/en/tv.action?pid=1410044401</x:v>
      </x:c>
      <x:c r="O254" t="str">
        <x:v>PASS</x:v>
      </x:c>
    </x:row>
    <x:row r="255">
      <x:c r="A255" t="str">
        <x:v>OBS_JVWS_F690206144E03DCEF8B6</x:v>
      </x:c>
      <x:c r="B255" t="str">
        <x:v>72203</x:v>
      </x:c>
      <x:c r="C255" t="str">
        <x:v>Electrical power line and cable workers</x:v>
      </x:c>
      <x:c r="D255" t="str">
        <x:v>trade_power_line</x:v>
      </x:c>
      <x:c r="E255" t="str">
        <x:v>Average offered hourly wage</x:v>
      </x:c>
      <x:c r="F255" s="145"/>
      <x:c r="G255" t="str">
        <x:v>Dollars</x:v>
      </x:c>
      <x:c r="H255" s="153" t="n">
        <x:v>44197</x:v>
      </x:c>
      <x:c r="I255" s="153" t="n">
        <x:v>44286</x:v>
      </x:c>
      <x:c r="J255" t="str">
        <x:v>observed</x:v>
      </x:c>
      <x:c r="K255" t="str">
        <x:v>STATCAN_JVWS_14100444</x:v>
      </x:c>
      <x:c r="L255" t="str">
        <x:v>TR_STATCAN_JVWS_AB_NOC_1_0_0</x:v>
      </x:c>
      <x:c r="M255" t="str">
        <x:v>status:F|value_missing_or_suppressed</x:v>
      </x:c>
      <x:c r="N255" t="str">
        <x:v>https://www150.statcan.gc.ca/t1/tbl1/en/tv.action?pid=1410044401</x:v>
      </x:c>
      <x:c r="O255" t="str">
        <x:v>PASS</x:v>
      </x:c>
    </x:row>
    <x:row r="256">
      <x:c r="A256" t="str">
        <x:v>OBS_JVWS_9239ACE819A3E1FA5CE6</x:v>
      </x:c>
      <x:c r="B256" t="str">
        <x:v>72203</x:v>
      </x:c>
      <x:c r="C256" t="str">
        <x:v>Electrical power line and cable workers</x:v>
      </x:c>
      <x:c r="D256" t="str">
        <x:v>trade_power_line</x:v>
      </x:c>
      <x:c r="E256" t="str">
        <x:v>Job vacancies</x:v>
      </x:c>
      <x:c r="F256" s="145"/>
      <x:c r="G256" t="str">
        <x:v>Number</x:v>
      </x:c>
      <x:c r="H256" s="153" t="n">
        <x:v>44197</x:v>
      </x:c>
      <x:c r="I256" s="153" t="n">
        <x:v>44286</x:v>
      </x:c>
      <x:c r="J256" t="str">
        <x:v>observed</x:v>
      </x:c>
      <x:c r="K256" t="str">
        <x:v>STATCAN_JVWS_14100444</x:v>
      </x:c>
      <x:c r="L256" t="str">
        <x:v>TR_STATCAN_JVWS_AB_NOC_1_0_0</x:v>
      </x:c>
      <x:c r="M256" t="str">
        <x:v>status:F|value_missing_or_suppressed</x:v>
      </x:c>
      <x:c r="N256" t="str">
        <x:v>https://www150.statcan.gc.ca/t1/tbl1/en/tv.action?pid=1410044401</x:v>
      </x:c>
      <x:c r="O256" t="str">
        <x:v>PASS</x:v>
      </x:c>
    </x:row>
    <x:row r="257">
      <x:c r="A257" t="str">
        <x:v>OBS_JVWS_6B832982C719F54F7853</x:v>
      </x:c>
      <x:c r="B257" t="str">
        <x:v>73100</x:v>
      </x:c>
      <x:c r="C257" t="str">
        <x:v>Concrete finishers</x:v>
      </x:c>
      <x:c r="D257" t="str">
        <x:v>trade_concrete</x:v>
      </x:c>
      <x:c r="E257" t="str">
        <x:v>Average offered hourly wage</x:v>
      </x:c>
      <x:c r="F257" s="145" t="n">
        <x:v>27.3</x:v>
      </x:c>
      <x:c r="G257" t="str">
        <x:v>Dollars</x:v>
      </x:c>
      <x:c r="H257" s="153" t="n">
        <x:v>44105</x:v>
      </x:c>
      <x:c r="I257" s="153" t="n">
        <x:v>44196</x:v>
      </x:c>
      <x:c r="J257" t="str">
        <x:v>observed</x:v>
      </x:c>
      <x:c r="K257" t="str">
        <x:v>STATCAN_JVWS_14100444</x:v>
      </x:c>
      <x:c r="L257" t="str">
        <x:v>TR_STATCAN_JVWS_AB_NOC_1_0_0</x:v>
      </x:c>
      <x:c r="M257" t="str">
        <x:v>status:A</x:v>
      </x:c>
      <x:c r="N257" t="str">
        <x:v>https://www150.statcan.gc.ca/t1/tbl1/en/tv.action?pid=1410044401</x:v>
      </x:c>
      <x:c r="O257" t="str">
        <x:v>PASS</x:v>
      </x:c>
    </x:row>
    <x:row r="258">
      <x:c r="A258" t="str">
        <x:v>OBS_JVWS_739144657EADE47A269D</x:v>
      </x:c>
      <x:c r="B258" t="str">
        <x:v>73100</x:v>
      </x:c>
      <x:c r="C258" t="str">
        <x:v>Concrete finishers</x:v>
      </x:c>
      <x:c r="D258" t="str">
        <x:v>trade_concrete</x:v>
      </x:c>
      <x:c r="E258" t="str">
        <x:v>Job vacancies</x:v>
      </x:c>
      <x:c r="F258" s="145" t="n">
        <x:v>50</x:v>
      </x:c>
      <x:c r="G258" t="str">
        <x:v>Number</x:v>
      </x:c>
      <x:c r="H258" s="153" t="n">
        <x:v>44105</x:v>
      </x:c>
      <x:c r="I258" s="153" t="n">
        <x:v>44196</x:v>
      </x:c>
      <x:c r="J258" t="str">
        <x:v>observed</x:v>
      </x:c>
      <x:c r="K258" t="str">
        <x:v>STATCAN_JVWS_14100444</x:v>
      </x:c>
      <x:c r="L258" t="str">
        <x:v>TR_STATCAN_JVWS_AB_NOC_1_0_0</x:v>
      </x:c>
      <x:c r="M258" t="str">
        <x:v>status:E</x:v>
      </x:c>
      <x:c r="N258" t="str">
        <x:v>https://www150.statcan.gc.ca/t1/tbl1/en/tv.action?pid=1410044401</x:v>
      </x:c>
      <x:c r="O258" t="str">
        <x:v>PASS</x:v>
      </x:c>
    </x:row>
    <x:row r="259">
      <x:c r="A259" t="str">
        <x:v>OBS_JVWS_69474EB998EA08CD57B7</x:v>
      </x:c>
      <x:c r="B259" t="str">
        <x:v>72200</x:v>
      </x:c>
      <x:c r="C259" t="str">
        <x:v>Electricians (except industrial and power system)</x:v>
      </x:c>
      <x:c r="D259" t="str">
        <x:v>trade_electricians</x:v>
      </x:c>
      <x:c r="E259" t="str">
        <x:v>Average offered hourly wage</x:v>
      </x:c>
      <x:c r="F259" s="145" t="n">
        <x:v>23.25</x:v>
      </x:c>
      <x:c r="G259" t="str">
        <x:v>Dollars</x:v>
      </x:c>
      <x:c r="H259" s="153" t="n">
        <x:v>44105</x:v>
      </x:c>
      <x:c r="I259" s="153" t="n">
        <x:v>44196</x:v>
      </x:c>
      <x:c r="J259" t="str">
        <x:v>observed</x:v>
      </x:c>
      <x:c r="K259" t="str">
        <x:v>STATCAN_JVWS_14100444</x:v>
      </x:c>
      <x:c r="L259" t="str">
        <x:v>TR_STATCAN_JVWS_AB_NOC_1_0_0</x:v>
      </x:c>
      <x:c r="M259" t="str">
        <x:v>status:B</x:v>
      </x:c>
      <x:c r="N259" t="str">
        <x:v>https://www150.statcan.gc.ca/t1/tbl1/en/tv.action?pid=1410044401</x:v>
      </x:c>
      <x:c r="O259" t="str">
        <x:v>PASS</x:v>
      </x:c>
    </x:row>
    <x:row r="260">
      <x:c r="A260" t="str">
        <x:v>OBS_JVWS_5C9729731322453CF7B7</x:v>
      </x:c>
      <x:c r="B260" t="str">
        <x:v>72200</x:v>
      </x:c>
      <x:c r="C260" t="str">
        <x:v>Electricians (except industrial and power system)</x:v>
      </x:c>
      <x:c r="D260" t="str">
        <x:v>trade_electricians</x:v>
      </x:c>
      <x:c r="E260" t="str">
        <x:v>Job vacancies</x:v>
      </x:c>
      <x:c r="F260" s="145"/>
      <x:c r="G260" t="str">
        <x:v>Number</x:v>
      </x:c>
      <x:c r="H260" s="153" t="n">
        <x:v>44105</x:v>
      </x:c>
      <x:c r="I260" s="153" t="n">
        <x:v>44196</x:v>
      </x:c>
      <x:c r="J260" t="str">
        <x:v>observed</x:v>
      </x:c>
      <x:c r="K260" t="str">
        <x:v>STATCAN_JVWS_14100444</x:v>
      </x:c>
      <x:c r="L260" t="str">
        <x:v>TR_STATCAN_JVWS_AB_NOC_1_0_0</x:v>
      </x:c>
      <x:c r="M260" t="str">
        <x:v>status:F|value_missing_or_suppressed</x:v>
      </x:c>
      <x:c r="N260" t="str">
        <x:v>https://www150.statcan.gc.ca/t1/tbl1/en/tv.action?pid=1410044401</x:v>
      </x:c>
      <x:c r="O260" t="str">
        <x:v>PASS</x:v>
      </x:c>
    </x:row>
    <x:row r="261">
      <x:c r="A261" t="str">
        <x:v>OBS_JVWS_BF1560B4225F6C4C3370</x:v>
      </x:c>
      <x:c r="B261" t="str">
        <x:v>72201</x:v>
      </x:c>
      <x:c r="C261" t="str">
        <x:v>Industrial electricians</x:v>
      </x:c>
      <x:c r="D261" t="str">
        <x:v>trade_electricians</x:v>
      </x:c>
      <x:c r="E261" t="str">
        <x:v>Average offered hourly wage</x:v>
      </x:c>
      <x:c r="F261" s="145" t="n">
        <x:v>32.1</x:v>
      </x:c>
      <x:c r="G261" t="str">
        <x:v>Dollars</x:v>
      </x:c>
      <x:c r="H261" s="153" t="n">
        <x:v>44105</x:v>
      </x:c>
      <x:c r="I261" s="153" t="n">
        <x:v>44196</x:v>
      </x:c>
      <x:c r="J261" t="str">
        <x:v>observed</x:v>
      </x:c>
      <x:c r="K261" t="str">
        <x:v>STATCAN_JVWS_14100444</x:v>
      </x:c>
      <x:c r="L261" t="str">
        <x:v>TR_STATCAN_JVWS_AB_NOC_1_0_0</x:v>
      </x:c>
      <x:c r="M261" t="str">
        <x:v>status:B</x:v>
      </x:c>
      <x:c r="N261" t="str">
        <x:v>https://www150.statcan.gc.ca/t1/tbl1/en/tv.action?pid=1410044401</x:v>
      </x:c>
      <x:c r="O261" t="str">
        <x:v>PASS</x:v>
      </x:c>
    </x:row>
    <x:row r="262">
      <x:c r="A262" t="str">
        <x:v>OBS_JVWS_0D45DC67050E2BB97A1D</x:v>
      </x:c>
      <x:c r="B262" t="str">
        <x:v>72201</x:v>
      </x:c>
      <x:c r="C262" t="str">
        <x:v>Industrial electricians</x:v>
      </x:c>
      <x:c r="D262" t="str">
        <x:v>trade_electricians</x:v>
      </x:c>
      <x:c r="E262" t="str">
        <x:v>Job vacancies</x:v>
      </x:c>
      <x:c r="F262" s="145"/>
      <x:c r="G262" t="str">
        <x:v>Number</x:v>
      </x:c>
      <x:c r="H262" s="153" t="n">
        <x:v>44105</x:v>
      </x:c>
      <x:c r="I262" s="153" t="n">
        <x:v>44196</x:v>
      </x:c>
      <x:c r="J262" t="str">
        <x:v>observed</x:v>
      </x:c>
      <x:c r="K262" t="str">
        <x:v>STATCAN_JVWS_14100444</x:v>
      </x:c>
      <x:c r="L262" t="str">
        <x:v>TR_STATCAN_JVWS_AB_NOC_1_0_0</x:v>
      </x:c>
      <x:c r="M262" t="str">
        <x:v>status:F|value_missing_or_suppressed</x:v>
      </x:c>
      <x:c r="N262" t="str">
        <x:v>https://www150.statcan.gc.ca/t1/tbl1/en/tv.action?pid=1410044401</x:v>
      </x:c>
      <x:c r="O262" t="str">
        <x:v>PASS</x:v>
      </x:c>
    </x:row>
    <x:row r="263">
      <x:c r="A263" t="str">
        <x:v>OBS_JVWS_CA99A2D57DD4A1655316</x:v>
      </x:c>
      <x:c r="B263" t="str">
        <x:v>72402</x:v>
      </x:c>
      <x:c r="C263" t="str">
        <x:v>Heating, refrigeration and air conditioning mechanics</x:v>
      </x:c>
      <x:c r="D263" t="str">
        <x:v>trade_hvac</x:v>
      </x:c>
      <x:c r="E263" t="str">
        <x:v>Average offered hourly wage</x:v>
      </x:c>
      <x:c r="F263" s="145" t="n">
        <x:v>38.55</x:v>
      </x:c>
      <x:c r="G263" t="str">
        <x:v>Dollars</x:v>
      </x:c>
      <x:c r="H263" s="153" t="n">
        <x:v>44105</x:v>
      </x:c>
      <x:c r="I263" s="153" t="n">
        <x:v>44196</x:v>
      </x:c>
      <x:c r="J263" t="str">
        <x:v>observed</x:v>
      </x:c>
      <x:c r="K263" t="str">
        <x:v>STATCAN_JVWS_14100444</x:v>
      </x:c>
      <x:c r="L263" t="str">
        <x:v>TR_STATCAN_JVWS_AB_NOC_1_0_0</x:v>
      </x:c>
      <x:c r="M263" t="str">
        <x:v>status:A</x:v>
      </x:c>
      <x:c r="N263" t="str">
        <x:v>https://www150.statcan.gc.ca/t1/tbl1/en/tv.action?pid=1410044401</x:v>
      </x:c>
      <x:c r="O263" t="str">
        <x:v>PASS</x:v>
      </x:c>
    </x:row>
    <x:row r="264">
      <x:c r="A264" t="str">
        <x:v>OBS_JVWS_DEE6DDD5EBFBE9558F1A</x:v>
      </x:c>
      <x:c r="B264" t="str">
        <x:v>72402</x:v>
      </x:c>
      <x:c r="C264" t="str">
        <x:v>Heating, refrigeration and air conditioning mechanics</x:v>
      </x:c>
      <x:c r="D264" t="str">
        <x:v>trade_hvac</x:v>
      </x:c>
      <x:c r="E264" t="str">
        <x:v>Job vacancies</x:v>
      </x:c>
      <x:c r="F264" s="145"/>
      <x:c r="G264" t="str">
        <x:v>Number</x:v>
      </x:c>
      <x:c r="H264" s="153" t="n">
        <x:v>44105</x:v>
      </x:c>
      <x:c r="I264" s="153" t="n">
        <x:v>44196</x:v>
      </x:c>
      <x:c r="J264" t="str">
        <x:v>observed</x:v>
      </x:c>
      <x:c r="K264" t="str">
        <x:v>STATCAN_JVWS_14100444</x:v>
      </x:c>
      <x:c r="L264" t="str">
        <x:v>TR_STATCAN_JVWS_AB_NOC_1_0_0</x:v>
      </x:c>
      <x:c r="M264" t="str">
        <x:v>status:F|value_missing_or_suppressed</x:v>
      </x:c>
      <x:c r="N264" t="str">
        <x:v>https://www150.statcan.gc.ca/t1/tbl1/en/tv.action?pid=1410044401</x:v>
      </x:c>
      <x:c r="O264" t="str">
        <x:v>PASS</x:v>
      </x:c>
    </x:row>
    <x:row r="265">
      <x:c r="A265" t="str">
        <x:v>OBS_JVWS_EAA471CB53DA6C411EEF</x:v>
      </x:c>
      <x:c r="B265" t="str">
        <x:v>72202</x:v>
      </x:c>
      <x:c r="C265" t="str">
        <x:v>Power system electricians</x:v>
      </x:c>
      <x:c r="D265" t="str">
        <x:v>trade_power_line</x:v>
      </x:c>
      <x:c r="E265" t="str">
        <x:v>Average offered hourly wage</x:v>
      </x:c>
      <x:c r="F265" s="145"/>
      <x:c r="G265" t="str">
        <x:v>Dollars</x:v>
      </x:c>
      <x:c r="H265" s="153" t="n">
        <x:v>44105</x:v>
      </x:c>
      <x:c r="I265" s="153" t="n">
        <x:v>44196</x:v>
      </x:c>
      <x:c r="J265" t="str">
        <x:v>observed</x:v>
      </x:c>
      <x:c r="K265" t="str">
        <x:v>STATCAN_JVWS_14100444</x:v>
      </x:c>
      <x:c r="L265" t="str">
        <x:v>TR_STATCAN_JVWS_AB_NOC_1_0_0</x:v>
      </x:c>
      <x:c r="M265" t="str">
        <x:v>status:..|value_missing_or_suppressed</x:v>
      </x:c>
      <x:c r="N265" t="str">
        <x:v>https://www150.statcan.gc.ca/t1/tbl1/en/tv.action?pid=1410044401</x:v>
      </x:c>
      <x:c r="O265" t="str">
        <x:v>PASS</x:v>
      </x:c>
    </x:row>
    <x:row r="266">
      <x:c r="A266" t="str">
        <x:v>OBS_JVWS_FB621FED31303E361FBF</x:v>
      </x:c>
      <x:c r="B266" t="str">
        <x:v>72202</x:v>
      </x:c>
      <x:c r="C266" t="str">
        <x:v>Power system electricians</x:v>
      </x:c>
      <x:c r="D266" t="str">
        <x:v>trade_power_line</x:v>
      </x:c>
      <x:c r="E266" t="str">
        <x:v>Job vacancies</x:v>
      </x:c>
      <x:c r="F266" s="145"/>
      <x:c r="G266" t="str">
        <x:v>Number</x:v>
      </x:c>
      <x:c r="H266" s="153" t="n">
        <x:v>44105</x:v>
      </x:c>
      <x:c r="I266" s="153" t="n">
        <x:v>44196</x:v>
      </x:c>
      <x:c r="J266" t="str">
        <x:v>observed</x:v>
      </x:c>
      <x:c r="K266" t="str">
        <x:v>STATCAN_JVWS_14100444</x:v>
      </x:c>
      <x:c r="L266" t="str">
        <x:v>TR_STATCAN_JVWS_AB_NOC_1_0_0</x:v>
      </x:c>
      <x:c r="M266" t="str">
        <x:v>status:..|value_missing_or_suppressed</x:v>
      </x:c>
      <x:c r="N266" t="str">
        <x:v>https://www150.statcan.gc.ca/t1/tbl1/en/tv.action?pid=1410044401</x:v>
      </x:c>
      <x:c r="O266" t="str">
        <x:v>PASS</x:v>
      </x:c>
    </x:row>
    <x:row r="267">
      <x:c r="A267" t="str">
        <x:v>OBS_JVWS_0BD7EEBB372216CC9848</x:v>
      </x:c>
      <x:c r="B267" t="str">
        <x:v>72203</x:v>
      </x:c>
      <x:c r="C267" t="str">
        <x:v>Electrical power line and cable workers</x:v>
      </x:c>
      <x:c r="D267" t="str">
        <x:v>trade_power_line</x:v>
      </x:c>
      <x:c r="E267" t="str">
        <x:v>Average offered hourly wage</x:v>
      </x:c>
      <x:c r="F267" s="145"/>
      <x:c r="G267" t="str">
        <x:v>Dollars</x:v>
      </x:c>
      <x:c r="H267" s="153" t="n">
        <x:v>44105</x:v>
      </x:c>
      <x:c r="I267" s="153" t="n">
        <x:v>44196</x:v>
      </x:c>
      <x:c r="J267" t="str">
        <x:v>observed</x:v>
      </x:c>
      <x:c r="K267" t="str">
        <x:v>STATCAN_JVWS_14100444</x:v>
      </x:c>
      <x:c r="L267" t="str">
        <x:v>TR_STATCAN_JVWS_AB_NOC_1_0_0</x:v>
      </x:c>
      <x:c r="M267" t="str">
        <x:v>status:F|value_missing_or_suppressed</x:v>
      </x:c>
      <x:c r="N267" t="str">
        <x:v>https://www150.statcan.gc.ca/t1/tbl1/en/tv.action?pid=1410044401</x:v>
      </x:c>
      <x:c r="O267" t="str">
        <x:v>PASS</x:v>
      </x:c>
    </x:row>
    <x:row r="268">
      <x:c r="A268" t="str">
        <x:v>OBS_JVWS_CF9D4EBAFD5D23EF88B4</x:v>
      </x:c>
      <x:c r="B268" t="str">
        <x:v>72203</x:v>
      </x:c>
      <x:c r="C268" t="str">
        <x:v>Electrical power line and cable workers</x:v>
      </x:c>
      <x:c r="D268" t="str">
        <x:v>trade_power_line</x:v>
      </x:c>
      <x:c r="E268" t="str">
        <x:v>Job vacancies</x:v>
      </x:c>
      <x:c r="F268" s="145"/>
      <x:c r="G268" t="str">
        <x:v>Number</x:v>
      </x:c>
      <x:c r="H268" s="153" t="n">
        <x:v>44105</x:v>
      </x:c>
      <x:c r="I268" s="153" t="n">
        <x:v>44196</x:v>
      </x:c>
      <x:c r="J268" t="str">
        <x:v>observed</x:v>
      </x:c>
      <x:c r="K268" t="str">
        <x:v>STATCAN_JVWS_14100444</x:v>
      </x:c>
      <x:c r="L268" t="str">
        <x:v>TR_STATCAN_JVWS_AB_NOC_1_0_0</x:v>
      </x:c>
      <x:c r="M268" t="str">
        <x:v>status:F|value_missing_or_suppressed</x:v>
      </x:c>
      <x:c r="N268" t="str">
        <x:v>https://www150.statcan.gc.ca/t1/tbl1/en/tv.action?pid=1410044401</x:v>
      </x:c>
      <x:c r="O268" t="str">
        <x:v>PASS</x:v>
      </x:c>
    </x:row>
    <x:row r="269">
      <x:c r="A269" t="str">
        <x:v>OBS_JVWS_1C75C0DC063718A17E08</x:v>
      </x:c>
      <x:c r="B269" t="str">
        <x:v>73100</x:v>
      </x:c>
      <x:c r="C269" t="str">
        <x:v>Concrete finishers</x:v>
      </x:c>
      <x:c r="D269" t="str">
        <x:v>trade_concrete</x:v>
      </x:c>
      <x:c r="E269" t="str">
        <x:v>Average offered hourly wage</x:v>
      </x:c>
      <x:c r="F269" s="145" t="n">
        <x:v>29.7</x:v>
      </x:c>
      <x:c r="G269" t="str">
        <x:v>Dollars</x:v>
      </x:c>
      <x:c r="H269" s="153" t="n">
        <x:v>43831</x:v>
      </x:c>
      <x:c r="I269" s="153" t="n">
        <x:v>43921</x:v>
      </x:c>
      <x:c r="J269" t="str">
        <x:v>observed</x:v>
      </x:c>
      <x:c r="K269" t="str">
        <x:v>STATCAN_JVWS_14100444</x:v>
      </x:c>
      <x:c r="L269" t="str">
        <x:v>TR_STATCAN_JVWS_AB_NOC_1_0_0</x:v>
      </x:c>
      <x:c r="M269" t="str">
        <x:v>status:A</x:v>
      </x:c>
      <x:c r="N269" t="str">
        <x:v>https://www150.statcan.gc.ca/t1/tbl1/en/tv.action?pid=1410044401</x:v>
      </x:c>
      <x:c r="O269" t="str">
        <x:v>PASS</x:v>
      </x:c>
    </x:row>
    <x:row r="270">
      <x:c r="A270" t="str">
        <x:v>OBS_JVWS_7F84E0EB22EDAD8FB2A2</x:v>
      </x:c>
      <x:c r="B270" t="str">
        <x:v>73100</x:v>
      </x:c>
      <x:c r="C270" t="str">
        <x:v>Concrete finishers</x:v>
      </x:c>
      <x:c r="D270" t="str">
        <x:v>trade_concrete</x:v>
      </x:c>
      <x:c r="E270" t="str">
        <x:v>Job vacancies</x:v>
      </x:c>
      <x:c r="F270" s="145" t="n">
        <x:v>95</x:v>
      </x:c>
      <x:c r="G270" t="str">
        <x:v>Number</x:v>
      </x:c>
      <x:c r="H270" s="153" t="n">
        <x:v>43831</x:v>
      </x:c>
      <x:c r="I270" s="153" t="n">
        <x:v>43921</x:v>
      </x:c>
      <x:c r="J270" t="str">
        <x:v>observed</x:v>
      </x:c>
      <x:c r="K270" t="str">
        <x:v>STATCAN_JVWS_14100444</x:v>
      </x:c>
      <x:c r="L270" t="str">
        <x:v>TR_STATCAN_JVWS_AB_NOC_1_0_0</x:v>
      </x:c>
      <x:c r="M270" t="str">
        <x:v>status:D</x:v>
      </x:c>
      <x:c r="N270" t="str">
        <x:v>https://www150.statcan.gc.ca/t1/tbl1/en/tv.action?pid=1410044401</x:v>
      </x:c>
      <x:c r="O270" t="str">
        <x:v>PASS</x:v>
      </x:c>
    </x:row>
    <x:row r="271">
      <x:c r="A271" t="str">
        <x:v>OBS_JVWS_D5AA68ED130FF30A518E</x:v>
      </x:c>
      <x:c r="B271" t="str">
        <x:v>72200</x:v>
      </x:c>
      <x:c r="C271" t="str">
        <x:v>Electricians (except industrial and power system)</x:v>
      </x:c>
      <x:c r="D271" t="str">
        <x:v>trade_electricians</x:v>
      </x:c>
      <x:c r="E271" t="str">
        <x:v>Average offered hourly wage</x:v>
      </x:c>
      <x:c r="F271" s="145" t="n">
        <x:v>26.65</x:v>
      </x:c>
      <x:c r="G271" t="str">
        <x:v>Dollars</x:v>
      </x:c>
      <x:c r="H271" s="153" t="n">
        <x:v>43831</x:v>
      </x:c>
      <x:c r="I271" s="153" t="n">
        <x:v>43921</x:v>
      </x:c>
      <x:c r="J271" t="str">
        <x:v>observed</x:v>
      </x:c>
      <x:c r="K271" t="str">
        <x:v>STATCAN_JVWS_14100444</x:v>
      </x:c>
      <x:c r="L271" t="str">
        <x:v>TR_STATCAN_JVWS_AB_NOC_1_0_0</x:v>
      </x:c>
      <x:c r="M271" t="str">
        <x:v>status:C</x:v>
      </x:c>
      <x:c r="N271" t="str">
        <x:v>https://www150.statcan.gc.ca/t1/tbl1/en/tv.action?pid=1410044401</x:v>
      </x:c>
      <x:c r="O271" t="str">
        <x:v>PASS</x:v>
      </x:c>
    </x:row>
    <x:row r="272">
      <x:c r="A272" t="str">
        <x:v>OBS_JVWS_5E73525DD98EB3DEB21A</x:v>
      </x:c>
      <x:c r="B272" t="str">
        <x:v>72200</x:v>
      </x:c>
      <x:c r="C272" t="str">
        <x:v>Electricians (except industrial and power system)</x:v>
      </x:c>
      <x:c r="D272" t="str">
        <x:v>trade_electricians</x:v>
      </x:c>
      <x:c r="E272" t="str">
        <x:v>Job vacancies</x:v>
      </x:c>
      <x:c r="F272" s="145"/>
      <x:c r="G272" t="str">
        <x:v>Number</x:v>
      </x:c>
      <x:c r="H272" s="153" t="n">
        <x:v>43831</x:v>
      </x:c>
      <x:c r="I272" s="153" t="n">
        <x:v>43921</x:v>
      </x:c>
      <x:c r="J272" t="str">
        <x:v>observed</x:v>
      </x:c>
      <x:c r="K272" t="str">
        <x:v>STATCAN_JVWS_14100444</x:v>
      </x:c>
      <x:c r="L272" t="str">
        <x:v>TR_STATCAN_JVWS_AB_NOC_1_0_0</x:v>
      </x:c>
      <x:c r="M272" t="str">
        <x:v>status:F|value_missing_or_suppressed</x:v>
      </x:c>
      <x:c r="N272" t="str">
        <x:v>https://www150.statcan.gc.ca/t1/tbl1/en/tv.action?pid=1410044401</x:v>
      </x:c>
      <x:c r="O272" t="str">
        <x:v>PASS</x:v>
      </x:c>
    </x:row>
    <x:row r="273">
      <x:c r="A273" t="str">
        <x:v>OBS_JVWS_57E908165197F3BF5490</x:v>
      </x:c>
      <x:c r="B273" t="str">
        <x:v>72201</x:v>
      </x:c>
      <x:c r="C273" t="str">
        <x:v>Industrial electricians</x:v>
      </x:c>
      <x:c r="D273" t="str">
        <x:v>trade_electricians</x:v>
      </x:c>
      <x:c r="E273" t="str">
        <x:v>Average offered hourly wage</x:v>
      </x:c>
      <x:c r="F273" s="145" t="n">
        <x:v>41</x:v>
      </x:c>
      <x:c r="G273" t="str">
        <x:v>Dollars</x:v>
      </x:c>
      <x:c r="H273" s="153" t="n">
        <x:v>43831</x:v>
      </x:c>
      <x:c r="I273" s="153" t="n">
        <x:v>43921</x:v>
      </x:c>
      <x:c r="J273" t="str">
        <x:v>observed</x:v>
      </x:c>
      <x:c r="K273" t="str">
        <x:v>STATCAN_JVWS_14100444</x:v>
      </x:c>
      <x:c r="L273" t="str">
        <x:v>TR_STATCAN_JVWS_AB_NOC_1_0_0</x:v>
      </x:c>
      <x:c r="M273" t="str">
        <x:v>status:B</x:v>
      </x:c>
      <x:c r="N273" t="str">
        <x:v>https://www150.statcan.gc.ca/t1/tbl1/en/tv.action?pid=1410044401</x:v>
      </x:c>
      <x:c r="O273" t="str">
        <x:v>PASS</x:v>
      </x:c>
    </x:row>
    <x:row r="274">
      <x:c r="A274" t="str">
        <x:v>OBS_JVWS_6F675975A6D42E09FB3A</x:v>
      </x:c>
      <x:c r="B274" t="str">
        <x:v>72201</x:v>
      </x:c>
      <x:c r="C274" t="str">
        <x:v>Industrial electricians</x:v>
      </x:c>
      <x:c r="D274" t="str">
        <x:v>trade_electricians</x:v>
      </x:c>
      <x:c r="E274" t="str">
        <x:v>Job vacancies</x:v>
      </x:c>
      <x:c r="F274" s="145" t="n">
        <x:v>100</x:v>
      </x:c>
      <x:c r="G274" t="str">
        <x:v>Number</x:v>
      </x:c>
      <x:c r="H274" s="153" t="n">
        <x:v>43831</x:v>
      </x:c>
      <x:c r="I274" s="153" t="n">
        <x:v>43921</x:v>
      </x:c>
      <x:c r="J274" t="str">
        <x:v>observed</x:v>
      </x:c>
      <x:c r="K274" t="str">
        <x:v>STATCAN_JVWS_14100444</x:v>
      </x:c>
      <x:c r="L274" t="str">
        <x:v>TR_STATCAN_JVWS_AB_NOC_1_0_0</x:v>
      </x:c>
      <x:c r="M274" t="str">
        <x:v>status:D</x:v>
      </x:c>
      <x:c r="N274" t="str">
        <x:v>https://www150.statcan.gc.ca/t1/tbl1/en/tv.action?pid=1410044401</x:v>
      </x:c>
      <x:c r="O274" t="str">
        <x:v>PASS</x:v>
      </x:c>
    </x:row>
    <x:row r="275">
      <x:c r="A275" t="str">
        <x:v>OBS_JVWS_36F9E91D54F5FF06936C</x:v>
      </x:c>
      <x:c r="B275" t="str">
        <x:v>72402</x:v>
      </x:c>
      <x:c r="C275" t="str">
        <x:v>Heating, refrigeration and air conditioning mechanics</x:v>
      </x:c>
      <x:c r="D275" t="str">
        <x:v>trade_hvac</x:v>
      </x:c>
      <x:c r="E275" t="str">
        <x:v>Average offered hourly wage</x:v>
      </x:c>
      <x:c r="F275" s="145" t="n">
        <x:v>44.15</x:v>
      </x:c>
      <x:c r="G275" t="str">
        <x:v>Dollars</x:v>
      </x:c>
      <x:c r="H275" s="153" t="n">
        <x:v>43831</x:v>
      </x:c>
      <x:c r="I275" s="153" t="n">
        <x:v>43921</x:v>
      </x:c>
      <x:c r="J275" t="str">
        <x:v>observed</x:v>
      </x:c>
      <x:c r="K275" t="str">
        <x:v>STATCAN_JVWS_14100444</x:v>
      </x:c>
      <x:c r="L275" t="str">
        <x:v>TR_STATCAN_JVWS_AB_NOC_1_0_0</x:v>
      </x:c>
      <x:c r="M275" t="str">
        <x:v>status:A</x:v>
      </x:c>
      <x:c r="N275" t="str">
        <x:v>https://www150.statcan.gc.ca/t1/tbl1/en/tv.action?pid=1410044401</x:v>
      </x:c>
      <x:c r="O275" t="str">
        <x:v>PASS</x:v>
      </x:c>
    </x:row>
    <x:row r="276">
      <x:c r="A276" t="str">
        <x:v>OBS_JVWS_531B1D2CD482183F1357</x:v>
      </x:c>
      <x:c r="B276" t="str">
        <x:v>72402</x:v>
      </x:c>
      <x:c r="C276" t="str">
        <x:v>Heating, refrigeration and air conditioning mechanics</x:v>
      </x:c>
      <x:c r="D276" t="str">
        <x:v>trade_hvac</x:v>
      </x:c>
      <x:c r="E276" t="str">
        <x:v>Job vacancies</x:v>
      </x:c>
      <x:c r="F276" s="145"/>
      <x:c r="G276" t="str">
        <x:v>Number</x:v>
      </x:c>
      <x:c r="H276" s="153" t="n">
        <x:v>43831</x:v>
      </x:c>
      <x:c r="I276" s="153" t="n">
        <x:v>43921</x:v>
      </x:c>
      <x:c r="J276" t="str">
        <x:v>observed</x:v>
      </x:c>
      <x:c r="K276" t="str">
        <x:v>STATCAN_JVWS_14100444</x:v>
      </x:c>
      <x:c r="L276" t="str">
        <x:v>TR_STATCAN_JVWS_AB_NOC_1_0_0</x:v>
      </x:c>
      <x:c r="M276" t="str">
        <x:v>status:F|value_missing_or_suppressed</x:v>
      </x:c>
      <x:c r="N276" t="str">
        <x:v>https://www150.statcan.gc.ca/t1/tbl1/en/tv.action?pid=1410044401</x:v>
      </x:c>
      <x:c r="O276" t="str">
        <x:v>PASS</x:v>
      </x:c>
    </x:row>
    <x:row r="277">
      <x:c r="A277" t="str">
        <x:v>OBS_JVWS_992D715FDD908050B892</x:v>
      </x:c>
      <x:c r="B277" t="str">
        <x:v>72202</x:v>
      </x:c>
      <x:c r="C277" t="str">
        <x:v>Power system electricians</x:v>
      </x:c>
      <x:c r="D277" t="str">
        <x:v>trade_power_line</x:v>
      </x:c>
      <x:c r="E277" t="str">
        <x:v>Average offered hourly wage</x:v>
      </x:c>
      <x:c r="F277" s="145"/>
      <x:c r="G277" t="str">
        <x:v>Dollars</x:v>
      </x:c>
      <x:c r="H277" s="153" t="n">
        <x:v>43831</x:v>
      </x:c>
      <x:c r="I277" s="153" t="n">
        <x:v>43921</x:v>
      </x:c>
      <x:c r="J277" t="str">
        <x:v>observed</x:v>
      </x:c>
      <x:c r="K277" t="str">
        <x:v>STATCAN_JVWS_14100444</x:v>
      </x:c>
      <x:c r="L277" t="str">
        <x:v>TR_STATCAN_JVWS_AB_NOC_1_0_0</x:v>
      </x:c>
      <x:c r="M277" t="str">
        <x:v>status:..|value_missing_or_suppressed</x:v>
      </x:c>
      <x:c r="N277" t="str">
        <x:v>https://www150.statcan.gc.ca/t1/tbl1/en/tv.action?pid=1410044401</x:v>
      </x:c>
      <x:c r="O277" t="str">
        <x:v>PASS</x:v>
      </x:c>
    </x:row>
    <x:row r="278">
      <x:c r="A278" t="str">
        <x:v>OBS_JVWS_A2DF92DA83904EDFF092</x:v>
      </x:c>
      <x:c r="B278" t="str">
        <x:v>72202</x:v>
      </x:c>
      <x:c r="C278" t="str">
        <x:v>Power system electricians</x:v>
      </x:c>
      <x:c r="D278" t="str">
        <x:v>trade_power_line</x:v>
      </x:c>
      <x:c r="E278" t="str">
        <x:v>Job vacancies</x:v>
      </x:c>
      <x:c r="F278" s="145"/>
      <x:c r="G278" t="str">
        <x:v>Number</x:v>
      </x:c>
      <x:c r="H278" s="153" t="n">
        <x:v>43831</x:v>
      </x:c>
      <x:c r="I278" s="153" t="n">
        <x:v>43921</x:v>
      </x:c>
      <x:c r="J278" t="str">
        <x:v>observed</x:v>
      </x:c>
      <x:c r="K278" t="str">
        <x:v>STATCAN_JVWS_14100444</x:v>
      </x:c>
      <x:c r="L278" t="str">
        <x:v>TR_STATCAN_JVWS_AB_NOC_1_0_0</x:v>
      </x:c>
      <x:c r="M278" t="str">
        <x:v>status:..|value_missing_or_suppressed</x:v>
      </x:c>
      <x:c r="N278" t="str">
        <x:v>https://www150.statcan.gc.ca/t1/tbl1/en/tv.action?pid=1410044401</x:v>
      </x:c>
      <x:c r="O278" t="str">
        <x:v>PASS</x:v>
      </x:c>
    </x:row>
    <x:row r="279">
      <x:c r="A279" t="str">
        <x:v>OBS_JVWS_A1DEE3198856CB5BA269</x:v>
      </x:c>
      <x:c r="B279" t="str">
        <x:v>72203</x:v>
      </x:c>
      <x:c r="C279" t="str">
        <x:v>Electrical power line and cable workers</x:v>
      </x:c>
      <x:c r="D279" t="str">
        <x:v>trade_power_line</x:v>
      </x:c>
      <x:c r="E279" t="str">
        <x:v>Average offered hourly wage</x:v>
      </x:c>
      <x:c r="F279" s="145"/>
      <x:c r="G279" t="str">
        <x:v>Dollars</x:v>
      </x:c>
      <x:c r="H279" s="153" t="n">
        <x:v>43831</x:v>
      </x:c>
      <x:c r="I279" s="153" t="n">
        <x:v>43921</x:v>
      </x:c>
      <x:c r="J279" t="str">
        <x:v>observed</x:v>
      </x:c>
      <x:c r="K279" t="str">
        <x:v>STATCAN_JVWS_14100444</x:v>
      </x:c>
      <x:c r="L279" t="str">
        <x:v>TR_STATCAN_JVWS_AB_NOC_1_0_0</x:v>
      </x:c>
      <x:c r="M279" t="str">
        <x:v>status:F|value_missing_or_suppressed</x:v>
      </x:c>
      <x:c r="N279" t="str">
        <x:v>https://www150.statcan.gc.ca/t1/tbl1/en/tv.action?pid=1410044401</x:v>
      </x:c>
      <x:c r="O279" t="str">
        <x:v>PASS</x:v>
      </x:c>
    </x:row>
    <x:row r="280">
      <x:c r="A280" t="str">
        <x:v>OBS_JVWS_18CA4DF715E0616D94C1</x:v>
      </x:c>
      <x:c r="B280" t="str">
        <x:v>72203</x:v>
      </x:c>
      <x:c r="C280" t="str">
        <x:v>Electrical power line and cable workers</x:v>
      </x:c>
      <x:c r="D280" t="str">
        <x:v>trade_power_line</x:v>
      </x:c>
      <x:c r="E280" t="str">
        <x:v>Job vacancies</x:v>
      </x:c>
      <x:c r="F280" s="145"/>
      <x:c r="G280" t="str">
        <x:v>Number</x:v>
      </x:c>
      <x:c r="H280" s="153" t="n">
        <x:v>43831</x:v>
      </x:c>
      <x:c r="I280" s="153" t="n">
        <x:v>43921</x:v>
      </x:c>
      <x:c r="J280" t="str">
        <x:v>observed</x:v>
      </x:c>
      <x:c r="K280" t="str">
        <x:v>STATCAN_JVWS_14100444</x:v>
      </x:c>
      <x:c r="L280" t="str">
        <x:v>TR_STATCAN_JVWS_AB_NOC_1_0_0</x:v>
      </x:c>
      <x:c r="M280" t="str">
        <x:v>status:F|value_missing_or_suppressed</x:v>
      </x:c>
      <x:c r="N280" t="str">
        <x:v>https://www150.statcan.gc.ca/t1/tbl1/en/tv.action?pid=1410044401</x:v>
      </x:c>
      <x:c r="O280" t="str">
        <x:v>PASS</x:v>
      </x:c>
    </x:row>
    <x:row r="281">
      <x:c r="A281" t="str">
        <x:v>OBS_JVWS_9DCDC7968E1FB8F192C8</x:v>
      </x:c>
      <x:c r="B281" t="str">
        <x:v>73100</x:v>
      </x:c>
      <x:c r="C281" t="str">
        <x:v>Concrete finishers</x:v>
      </x:c>
      <x:c r="D281" t="str">
        <x:v>trade_concrete</x:v>
      </x:c>
      <x:c r="E281" t="str">
        <x:v>Average offered hourly wage</x:v>
      </x:c>
      <x:c r="F281" s="145"/>
      <x:c r="G281" t="str">
        <x:v>Dollars</x:v>
      </x:c>
      <x:c r="H281" s="153" t="n">
        <x:v>43739</x:v>
      </x:c>
      <x:c r="I281" s="153" t="n">
        <x:v>43830</x:v>
      </x:c>
      <x:c r="J281" t="str">
        <x:v>observed</x:v>
      </x:c>
      <x:c r="K281" t="str">
        <x:v>STATCAN_JVWS_14100444</x:v>
      </x:c>
      <x:c r="L281" t="str">
        <x:v>TR_STATCAN_JVWS_AB_NOC_1_0_0</x:v>
      </x:c>
      <x:c r="M281" t="str">
        <x:v>status:F|value_missing_or_suppressed</x:v>
      </x:c>
      <x:c r="N281" t="str">
        <x:v>https://www150.statcan.gc.ca/t1/tbl1/en/tv.action?pid=1410044401</x:v>
      </x:c>
      <x:c r="O281" t="str">
        <x:v>PASS</x:v>
      </x:c>
    </x:row>
    <x:row r="282">
      <x:c r="A282" t="str">
        <x:v>OBS_JVWS_F3A9FAD110687F57806B</x:v>
      </x:c>
      <x:c r="B282" t="str">
        <x:v>73100</x:v>
      </x:c>
      <x:c r="C282" t="str">
        <x:v>Concrete finishers</x:v>
      </x:c>
      <x:c r="D282" t="str">
        <x:v>trade_concrete</x:v>
      </x:c>
      <x:c r="E282" t="str">
        <x:v>Job vacancies</x:v>
      </x:c>
      <x:c r="F282" s="145"/>
      <x:c r="G282" t="str">
        <x:v>Number</x:v>
      </x:c>
      <x:c r="H282" s="153" t="n">
        <x:v>43739</x:v>
      </x:c>
      <x:c r="I282" s="153" t="n">
        <x:v>43830</x:v>
      </x:c>
      <x:c r="J282" t="str">
        <x:v>observed</x:v>
      </x:c>
      <x:c r="K282" t="str">
        <x:v>STATCAN_JVWS_14100444</x:v>
      </x:c>
      <x:c r="L282" t="str">
        <x:v>TR_STATCAN_JVWS_AB_NOC_1_0_0</x:v>
      </x:c>
      <x:c r="M282" t="str">
        <x:v>status:F|value_missing_or_suppressed</x:v>
      </x:c>
      <x:c r="N282" t="str">
        <x:v>https://www150.statcan.gc.ca/t1/tbl1/en/tv.action?pid=1410044401</x:v>
      </x:c>
      <x:c r="O282" t="str">
        <x:v>PASS</x:v>
      </x:c>
    </x:row>
    <x:row r="283">
      <x:c r="A283" t="str">
        <x:v>OBS_JVWS_6947C9AE95549EDFF400</x:v>
      </x:c>
      <x:c r="B283" t="str">
        <x:v>72200</x:v>
      </x:c>
      <x:c r="C283" t="str">
        <x:v>Electricians (except industrial and power system)</x:v>
      </x:c>
      <x:c r="D283" t="str">
        <x:v>trade_electricians</x:v>
      </x:c>
      <x:c r="E283" t="str">
        <x:v>Average offered hourly wage</x:v>
      </x:c>
      <x:c r="F283" s="145" t="n">
        <x:v>21.85</x:v>
      </x:c>
      <x:c r="G283" t="str">
        <x:v>Dollars</x:v>
      </x:c>
      <x:c r="H283" s="153" t="n">
        <x:v>43739</x:v>
      </x:c>
      <x:c r="I283" s="153" t="n">
        <x:v>43830</x:v>
      </x:c>
      <x:c r="J283" t="str">
        <x:v>observed</x:v>
      </x:c>
      <x:c r="K283" t="str">
        <x:v>STATCAN_JVWS_14100444</x:v>
      </x:c>
      <x:c r="L283" t="str">
        <x:v>TR_STATCAN_JVWS_AB_NOC_1_0_0</x:v>
      </x:c>
      <x:c r="M283" t="str">
        <x:v>status:B</x:v>
      </x:c>
      <x:c r="N283" t="str">
        <x:v>https://www150.statcan.gc.ca/t1/tbl1/en/tv.action?pid=1410044401</x:v>
      </x:c>
      <x:c r="O283" t="str">
        <x:v>PASS</x:v>
      </x:c>
    </x:row>
    <x:row r="284">
      <x:c r="A284" t="str">
        <x:v>OBS_JVWS_A86EFE6527D4E540CB3F</x:v>
      </x:c>
      <x:c r="B284" t="str">
        <x:v>72200</x:v>
      </x:c>
      <x:c r="C284" t="str">
        <x:v>Electricians (except industrial and power system)</x:v>
      </x:c>
      <x:c r="D284" t="str">
        <x:v>trade_electricians</x:v>
      </x:c>
      <x:c r="E284" t="str">
        <x:v>Job vacancies</x:v>
      </x:c>
      <x:c r="F284" s="145"/>
      <x:c r="G284" t="str">
        <x:v>Number</x:v>
      </x:c>
      <x:c r="H284" s="153" t="n">
        <x:v>43739</x:v>
      </x:c>
      <x:c r="I284" s="153" t="n">
        <x:v>43830</x:v>
      </x:c>
      <x:c r="J284" t="str">
        <x:v>observed</x:v>
      </x:c>
      <x:c r="K284" t="str">
        <x:v>STATCAN_JVWS_14100444</x:v>
      </x:c>
      <x:c r="L284" t="str">
        <x:v>TR_STATCAN_JVWS_AB_NOC_1_0_0</x:v>
      </x:c>
      <x:c r="M284" t="str">
        <x:v>status:F|value_missing_or_suppressed</x:v>
      </x:c>
      <x:c r="N284" t="str">
        <x:v>https://www150.statcan.gc.ca/t1/tbl1/en/tv.action?pid=1410044401</x:v>
      </x:c>
      <x:c r="O284" t="str">
        <x:v>PASS</x:v>
      </x:c>
    </x:row>
    <x:row r="285">
      <x:c r="A285" t="str">
        <x:v>OBS_JVWS_A0BC1CD9C783936E11DF</x:v>
      </x:c>
      <x:c r="B285" t="str">
        <x:v>72201</x:v>
      </x:c>
      <x:c r="C285" t="str">
        <x:v>Industrial electricians</x:v>
      </x:c>
      <x:c r="D285" t="str">
        <x:v>trade_electricians</x:v>
      </x:c>
      <x:c r="E285" t="str">
        <x:v>Average offered hourly wage</x:v>
      </x:c>
      <x:c r="F285" s="145" t="n">
        <x:v>37.75</x:v>
      </x:c>
      <x:c r="G285" t="str">
        <x:v>Dollars</x:v>
      </x:c>
      <x:c r="H285" s="153" t="n">
        <x:v>43739</x:v>
      </x:c>
      <x:c r="I285" s="153" t="n">
        <x:v>43830</x:v>
      </x:c>
      <x:c r="J285" t="str">
        <x:v>observed</x:v>
      </x:c>
      <x:c r="K285" t="str">
        <x:v>STATCAN_JVWS_14100444</x:v>
      </x:c>
      <x:c r="L285" t="str">
        <x:v>TR_STATCAN_JVWS_AB_NOC_1_0_0</x:v>
      </x:c>
      <x:c r="M285" t="str">
        <x:v>status:C</x:v>
      </x:c>
      <x:c r="N285" t="str">
        <x:v>https://www150.statcan.gc.ca/t1/tbl1/en/tv.action?pid=1410044401</x:v>
      </x:c>
      <x:c r="O285" t="str">
        <x:v>PASS</x:v>
      </x:c>
    </x:row>
    <x:row r="286">
      <x:c r="A286" t="str">
        <x:v>OBS_JVWS_833A5AEC1CD5D3221C35</x:v>
      </x:c>
      <x:c r="B286" t="str">
        <x:v>72201</x:v>
      </x:c>
      <x:c r="C286" t="str">
        <x:v>Industrial electricians</x:v>
      </x:c>
      <x:c r="D286" t="str">
        <x:v>trade_electricians</x:v>
      </x:c>
      <x:c r="E286" t="str">
        <x:v>Job vacancies</x:v>
      </x:c>
      <x:c r="F286" s="145" t="n">
        <x:v>65</x:v>
      </x:c>
      <x:c r="G286" t="str">
        <x:v>Number</x:v>
      </x:c>
      <x:c r="H286" s="153" t="n">
        <x:v>43739</x:v>
      </x:c>
      <x:c r="I286" s="153" t="n">
        <x:v>43830</x:v>
      </x:c>
      <x:c r="J286" t="str">
        <x:v>observed</x:v>
      </x:c>
      <x:c r="K286" t="str">
        <x:v>STATCAN_JVWS_14100444</x:v>
      </x:c>
      <x:c r="L286" t="str">
        <x:v>TR_STATCAN_JVWS_AB_NOC_1_0_0</x:v>
      </x:c>
      <x:c r="M286" t="str">
        <x:v>status:D</x:v>
      </x:c>
      <x:c r="N286" t="str">
        <x:v>https://www150.statcan.gc.ca/t1/tbl1/en/tv.action?pid=1410044401</x:v>
      </x:c>
      <x:c r="O286" t="str">
        <x:v>PASS</x:v>
      </x:c>
    </x:row>
    <x:row r="287">
      <x:c r="A287" t="str">
        <x:v>OBS_JVWS_A4EF5B030D7C307E9324</x:v>
      </x:c>
      <x:c r="B287" t="str">
        <x:v>72402</x:v>
      </x:c>
      <x:c r="C287" t="str">
        <x:v>Heating, refrigeration and air conditioning mechanics</x:v>
      </x:c>
      <x:c r="D287" t="str">
        <x:v>trade_hvac</x:v>
      </x:c>
      <x:c r="E287" t="str">
        <x:v>Average offered hourly wage</x:v>
      </x:c>
      <x:c r="F287" s="145" t="n">
        <x:v>34.9</x:v>
      </x:c>
      <x:c r="G287" t="str">
        <x:v>Dollars</x:v>
      </x:c>
      <x:c r="H287" s="153" t="n">
        <x:v>43739</x:v>
      </x:c>
      <x:c r="I287" s="153" t="n">
        <x:v>43830</x:v>
      </x:c>
      <x:c r="J287" t="str">
        <x:v>observed</x:v>
      </x:c>
      <x:c r="K287" t="str">
        <x:v>STATCAN_JVWS_14100444</x:v>
      </x:c>
      <x:c r="L287" t="str">
        <x:v>TR_STATCAN_JVWS_AB_NOC_1_0_0</x:v>
      </x:c>
      <x:c r="M287" t="str">
        <x:v>status:C</x:v>
      </x:c>
      <x:c r="N287" t="str">
        <x:v>https://www150.statcan.gc.ca/t1/tbl1/en/tv.action?pid=1410044401</x:v>
      </x:c>
      <x:c r="O287" t="str">
        <x:v>PASS</x:v>
      </x:c>
    </x:row>
    <x:row r="288">
      <x:c r="A288" t="str">
        <x:v>OBS_JVWS_D379E8D9DF4456804AD3</x:v>
      </x:c>
      <x:c r="B288" t="str">
        <x:v>72402</x:v>
      </x:c>
      <x:c r="C288" t="str">
        <x:v>Heating, refrigeration and air conditioning mechanics</x:v>
      </x:c>
      <x:c r="D288" t="str">
        <x:v>trade_hvac</x:v>
      </x:c>
      <x:c r="E288" t="str">
        <x:v>Job vacancies</x:v>
      </x:c>
      <x:c r="F288" s="145"/>
      <x:c r="G288" t="str">
        <x:v>Number</x:v>
      </x:c>
      <x:c r="H288" s="153" t="n">
        <x:v>43739</x:v>
      </x:c>
      <x:c r="I288" s="153" t="n">
        <x:v>43830</x:v>
      </x:c>
      <x:c r="J288" t="str">
        <x:v>observed</x:v>
      </x:c>
      <x:c r="K288" t="str">
        <x:v>STATCAN_JVWS_14100444</x:v>
      </x:c>
      <x:c r="L288" t="str">
        <x:v>TR_STATCAN_JVWS_AB_NOC_1_0_0</x:v>
      </x:c>
      <x:c r="M288" t="str">
        <x:v>status:F|value_missing_or_suppressed</x:v>
      </x:c>
      <x:c r="N288" t="str">
        <x:v>https://www150.statcan.gc.ca/t1/tbl1/en/tv.action?pid=1410044401</x:v>
      </x:c>
      <x:c r="O288" t="str">
        <x:v>PASS</x:v>
      </x:c>
    </x:row>
    <x:row r="289">
      <x:c r="A289" t="str">
        <x:v>OBS_JVWS_D5632BA9A976E1618606</x:v>
      </x:c>
      <x:c r="B289" t="str">
        <x:v>72202</x:v>
      </x:c>
      <x:c r="C289" t="str">
        <x:v>Power system electricians</x:v>
      </x:c>
      <x:c r="D289" t="str">
        <x:v>trade_power_line</x:v>
      </x:c>
      <x:c r="E289" t="str">
        <x:v>Average offered hourly wage</x:v>
      </x:c>
      <x:c r="F289" s="145"/>
      <x:c r="G289" t="str">
        <x:v>Dollars</x:v>
      </x:c>
      <x:c r="H289" s="153" t="n">
        <x:v>43739</x:v>
      </x:c>
      <x:c r="I289" s="153" t="n">
        <x:v>43830</x:v>
      </x:c>
      <x:c r="J289" t="str">
        <x:v>observed</x:v>
      </x:c>
      <x:c r="K289" t="str">
        <x:v>STATCAN_JVWS_14100444</x:v>
      </x:c>
      <x:c r="L289" t="str">
        <x:v>TR_STATCAN_JVWS_AB_NOC_1_0_0</x:v>
      </x:c>
      <x:c r="M289" t="str">
        <x:v>status:..|value_missing_or_suppressed</x:v>
      </x:c>
      <x:c r="N289" t="str">
        <x:v>https://www150.statcan.gc.ca/t1/tbl1/en/tv.action?pid=1410044401</x:v>
      </x:c>
      <x:c r="O289" t="str">
        <x:v>PASS</x:v>
      </x:c>
    </x:row>
    <x:row r="290">
      <x:c r="A290" t="str">
        <x:v>OBS_JVWS_0FF0122BF152078DCBBF</x:v>
      </x:c>
      <x:c r="B290" t="str">
        <x:v>72202</x:v>
      </x:c>
      <x:c r="C290" t="str">
        <x:v>Power system electricians</x:v>
      </x:c>
      <x:c r="D290" t="str">
        <x:v>trade_power_line</x:v>
      </x:c>
      <x:c r="E290" t="str">
        <x:v>Job vacancies</x:v>
      </x:c>
      <x:c r="F290" s="145"/>
      <x:c r="G290" t="str">
        <x:v>Number</x:v>
      </x:c>
      <x:c r="H290" s="153" t="n">
        <x:v>43739</x:v>
      </x:c>
      <x:c r="I290" s="153" t="n">
        <x:v>43830</x:v>
      </x:c>
      <x:c r="J290" t="str">
        <x:v>observed</x:v>
      </x:c>
      <x:c r="K290" t="str">
        <x:v>STATCAN_JVWS_14100444</x:v>
      </x:c>
      <x:c r="L290" t="str">
        <x:v>TR_STATCAN_JVWS_AB_NOC_1_0_0</x:v>
      </x:c>
      <x:c r="M290" t="str">
        <x:v>status:..|value_missing_or_suppressed</x:v>
      </x:c>
      <x:c r="N290" t="str">
        <x:v>https://www150.statcan.gc.ca/t1/tbl1/en/tv.action?pid=1410044401</x:v>
      </x:c>
      <x:c r="O290" t="str">
        <x:v>PASS</x:v>
      </x:c>
    </x:row>
    <x:row r="291">
      <x:c r="A291" t="str">
        <x:v>OBS_JVWS_6A64711D735DBC4E7302</x:v>
      </x:c>
      <x:c r="B291" t="str">
        <x:v>72203</x:v>
      </x:c>
      <x:c r="C291" t="str">
        <x:v>Electrical power line and cable workers</x:v>
      </x:c>
      <x:c r="D291" t="str">
        <x:v>trade_power_line</x:v>
      </x:c>
      <x:c r="E291" t="str">
        <x:v>Average offered hourly wage</x:v>
      </x:c>
      <x:c r="F291" s="145"/>
      <x:c r="G291" t="str">
        <x:v>Dollars</x:v>
      </x:c>
      <x:c r="H291" s="153" t="n">
        <x:v>43739</x:v>
      </x:c>
      <x:c r="I291" s="153" t="n">
        <x:v>43830</x:v>
      </x:c>
      <x:c r="J291" t="str">
        <x:v>observed</x:v>
      </x:c>
      <x:c r="K291" t="str">
        <x:v>STATCAN_JVWS_14100444</x:v>
      </x:c>
      <x:c r="L291" t="str">
        <x:v>TR_STATCAN_JVWS_AB_NOC_1_0_0</x:v>
      </x:c>
      <x:c r="M291" t="str">
        <x:v>status:..|value_missing_or_suppressed</x:v>
      </x:c>
      <x:c r="N291" t="str">
        <x:v>https://www150.statcan.gc.ca/t1/tbl1/en/tv.action?pid=1410044401</x:v>
      </x:c>
      <x:c r="O291" t="str">
        <x:v>PASS</x:v>
      </x:c>
    </x:row>
    <x:row r="292">
      <x:c r="A292" t="str">
        <x:v>OBS_JVWS_43416B06B47E5B981CF4</x:v>
      </x:c>
      <x:c r="B292" t="str">
        <x:v>72203</x:v>
      </x:c>
      <x:c r="C292" t="str">
        <x:v>Electrical power line and cable workers</x:v>
      </x:c>
      <x:c r="D292" t="str">
        <x:v>trade_power_line</x:v>
      </x:c>
      <x:c r="E292" t="str">
        <x:v>Job vacancies</x:v>
      </x:c>
      <x:c r="F292" s="145"/>
      <x:c r="G292" t="str">
        <x:v>Number</x:v>
      </x:c>
      <x:c r="H292" s="153" t="n">
        <x:v>43739</x:v>
      </x:c>
      <x:c r="I292" s="153" t="n">
        <x:v>43830</x:v>
      </x:c>
      <x:c r="J292" t="str">
        <x:v>observed</x:v>
      </x:c>
      <x:c r="K292" t="str">
        <x:v>STATCAN_JVWS_14100444</x:v>
      </x:c>
      <x:c r="L292" t="str">
        <x:v>TR_STATCAN_JVWS_AB_NOC_1_0_0</x:v>
      </x:c>
      <x:c r="M292" t="str">
        <x:v>status:..|value_missing_or_suppressed</x:v>
      </x:c>
      <x:c r="N292" t="str">
        <x:v>https://www150.statcan.gc.ca/t1/tbl1/en/tv.action?pid=1410044401</x:v>
      </x:c>
      <x:c r="O292" t="str">
        <x:v>PASS</x:v>
      </x:c>
    </x:row>
    <x:row r="293">
      <x:c r="A293" t="str">
        <x:v>OBS_JVWS_DFB8048C4C0E7B0062FF</x:v>
      </x:c>
      <x:c r="B293" t="str">
        <x:v>73100</x:v>
      </x:c>
      <x:c r="C293" t="str">
        <x:v>Concrete finishers</x:v>
      </x:c>
      <x:c r="D293" t="str">
        <x:v>trade_concrete</x:v>
      </x:c>
      <x:c r="E293" t="str">
        <x:v>Average offered hourly wage</x:v>
      </x:c>
      <x:c r="F293" s="145" t="n">
        <x:v>27.1</x:v>
      </x:c>
      <x:c r="G293" t="str">
        <x:v>Dollars</x:v>
      </x:c>
      <x:c r="H293" s="153" t="n">
        <x:v>43647</x:v>
      </x:c>
      <x:c r="I293" s="153" t="n">
        <x:v>43738</x:v>
      </x:c>
      <x:c r="J293" t="str">
        <x:v>observed</x:v>
      </x:c>
      <x:c r="K293" t="str">
        <x:v>STATCAN_JVWS_14100444</x:v>
      </x:c>
      <x:c r="L293" t="str">
        <x:v>TR_STATCAN_JVWS_AB_NOC_1_0_0</x:v>
      </x:c>
      <x:c r="M293" t="str">
        <x:v>status:B</x:v>
      </x:c>
      <x:c r="N293" t="str">
        <x:v>https://www150.statcan.gc.ca/t1/tbl1/en/tv.action?pid=1410044401</x:v>
      </x:c>
      <x:c r="O293" t="str">
        <x:v>PASS</x:v>
      </x:c>
    </x:row>
    <x:row r="294">
      <x:c r="A294" t="str">
        <x:v>OBS_JVWS_1804AAE922C3F6318FA4</x:v>
      </x:c>
      <x:c r="B294" t="str">
        <x:v>73100</x:v>
      </x:c>
      <x:c r="C294" t="str">
        <x:v>Concrete finishers</x:v>
      </x:c>
      <x:c r="D294" t="str">
        <x:v>trade_concrete</x:v>
      </x:c>
      <x:c r="E294" t="str">
        <x:v>Job vacancies</x:v>
      </x:c>
      <x:c r="F294" s="145"/>
      <x:c r="G294" t="str">
        <x:v>Number</x:v>
      </x:c>
      <x:c r="H294" s="153" t="n">
        <x:v>43647</x:v>
      </x:c>
      <x:c r="I294" s="153" t="n">
        <x:v>43738</x:v>
      </x:c>
      <x:c r="J294" t="str">
        <x:v>observed</x:v>
      </x:c>
      <x:c r="K294" t="str">
        <x:v>STATCAN_JVWS_14100444</x:v>
      </x:c>
      <x:c r="L294" t="str">
        <x:v>TR_STATCAN_JVWS_AB_NOC_1_0_0</x:v>
      </x:c>
      <x:c r="M294" t="str">
        <x:v>status:F|value_missing_or_suppressed</x:v>
      </x:c>
      <x:c r="N294" t="str">
        <x:v>https://www150.statcan.gc.ca/t1/tbl1/en/tv.action?pid=1410044401</x:v>
      </x:c>
      <x:c r="O294" t="str">
        <x:v>PASS</x:v>
      </x:c>
    </x:row>
    <x:row r="295">
      <x:c r="A295" t="str">
        <x:v>OBS_JVWS_7AE4FA0F1CC95F17B6F1</x:v>
      </x:c>
      <x:c r="B295" t="str">
        <x:v>72200</x:v>
      </x:c>
      <x:c r="C295" t="str">
        <x:v>Electricians (except industrial and power system)</x:v>
      </x:c>
      <x:c r="D295" t="str">
        <x:v>trade_electricians</x:v>
      </x:c>
      <x:c r="E295" t="str">
        <x:v>Average offered hourly wage</x:v>
      </x:c>
      <x:c r="F295" s="145" t="n">
        <x:v>23.25</x:v>
      </x:c>
      <x:c r="G295" t="str">
        <x:v>Dollars</x:v>
      </x:c>
      <x:c r="H295" s="153" t="n">
        <x:v>43647</x:v>
      </x:c>
      <x:c r="I295" s="153" t="n">
        <x:v>43738</x:v>
      </x:c>
      <x:c r="J295" t="str">
        <x:v>observed</x:v>
      </x:c>
      <x:c r="K295" t="str">
        <x:v>STATCAN_JVWS_14100444</x:v>
      </x:c>
      <x:c r="L295" t="str">
        <x:v>TR_STATCAN_JVWS_AB_NOC_1_0_0</x:v>
      </x:c>
      <x:c r="M295" t="str">
        <x:v>status:C</x:v>
      </x:c>
      <x:c r="N295" t="str">
        <x:v>https://www150.statcan.gc.ca/t1/tbl1/en/tv.action?pid=1410044401</x:v>
      </x:c>
      <x:c r="O295" t="str">
        <x:v>PASS</x:v>
      </x:c>
    </x:row>
    <x:row r="296">
      <x:c r="A296" t="str">
        <x:v>OBS_JVWS_338F5FD313A1376A84F6</x:v>
      </x:c>
      <x:c r="B296" t="str">
        <x:v>72200</x:v>
      </x:c>
      <x:c r="C296" t="str">
        <x:v>Electricians (except industrial and power system)</x:v>
      </x:c>
      <x:c r="D296" t="str">
        <x:v>trade_electricians</x:v>
      </x:c>
      <x:c r="E296" t="str">
        <x:v>Job vacancies</x:v>
      </x:c>
      <x:c r="F296" s="145"/>
      <x:c r="G296" t="str">
        <x:v>Number</x:v>
      </x:c>
      <x:c r="H296" s="153" t="n">
        <x:v>43647</x:v>
      </x:c>
      <x:c r="I296" s="153" t="n">
        <x:v>43738</x:v>
      </x:c>
      <x:c r="J296" t="str">
        <x:v>observed</x:v>
      </x:c>
      <x:c r="K296" t="str">
        <x:v>STATCAN_JVWS_14100444</x:v>
      </x:c>
      <x:c r="L296" t="str">
        <x:v>TR_STATCAN_JVWS_AB_NOC_1_0_0</x:v>
      </x:c>
      <x:c r="M296" t="str">
        <x:v>status:F|value_missing_or_suppressed</x:v>
      </x:c>
      <x:c r="N296" t="str">
        <x:v>https://www150.statcan.gc.ca/t1/tbl1/en/tv.action?pid=1410044401</x:v>
      </x:c>
      <x:c r="O296" t="str">
        <x:v>PASS</x:v>
      </x:c>
    </x:row>
    <x:row r="297">
      <x:c r="A297" t="str">
        <x:v>OBS_JVWS_B6938122F67FC150FA19</x:v>
      </x:c>
      <x:c r="B297" t="str">
        <x:v>72201</x:v>
      </x:c>
      <x:c r="C297" t="str">
        <x:v>Industrial electricians</x:v>
      </x:c>
      <x:c r="D297" t="str">
        <x:v>trade_electricians</x:v>
      </x:c>
      <x:c r="E297" t="str">
        <x:v>Average offered hourly wage</x:v>
      </x:c>
      <x:c r="F297" s="145" t="n">
        <x:v>40.9</x:v>
      </x:c>
      <x:c r="G297" t="str">
        <x:v>Dollars</x:v>
      </x:c>
      <x:c r="H297" s="153" t="n">
        <x:v>43647</x:v>
      </x:c>
      <x:c r="I297" s="153" t="n">
        <x:v>43738</x:v>
      </x:c>
      <x:c r="J297" t="str">
        <x:v>observed</x:v>
      </x:c>
      <x:c r="K297" t="str">
        <x:v>STATCAN_JVWS_14100444</x:v>
      </x:c>
      <x:c r="L297" t="str">
        <x:v>TR_STATCAN_JVWS_AB_NOC_1_0_0</x:v>
      </x:c>
      <x:c r="M297" t="str">
        <x:v>status:A</x:v>
      </x:c>
      <x:c r="N297" t="str">
        <x:v>https://www150.statcan.gc.ca/t1/tbl1/en/tv.action?pid=1410044401</x:v>
      </x:c>
      <x:c r="O297" t="str">
        <x:v>PASS</x:v>
      </x:c>
    </x:row>
    <x:row r="298">
      <x:c r="A298" t="str">
        <x:v>OBS_JVWS_B24BA67BA1E8B6DA9217</x:v>
      </x:c>
      <x:c r="B298" t="str">
        <x:v>72201</x:v>
      </x:c>
      <x:c r="C298" t="str">
        <x:v>Industrial electricians</x:v>
      </x:c>
      <x:c r="D298" t="str">
        <x:v>trade_electricians</x:v>
      </x:c>
      <x:c r="E298" t="str">
        <x:v>Job vacancies</x:v>
      </x:c>
      <x:c r="F298" s="145" t="n">
        <x:v>70</x:v>
      </x:c>
      <x:c r="G298" t="str">
        <x:v>Number</x:v>
      </x:c>
      <x:c r="H298" s="153" t="n">
        <x:v>43647</x:v>
      </x:c>
      <x:c r="I298" s="153" t="n">
        <x:v>43738</x:v>
      </x:c>
      <x:c r="J298" t="str">
        <x:v>observed</x:v>
      </x:c>
      <x:c r="K298" t="str">
        <x:v>STATCAN_JVWS_14100444</x:v>
      </x:c>
      <x:c r="L298" t="str">
        <x:v>TR_STATCAN_JVWS_AB_NOC_1_0_0</x:v>
      </x:c>
      <x:c r="M298" t="str">
        <x:v>status:E</x:v>
      </x:c>
      <x:c r="N298" t="str">
        <x:v>https://www150.statcan.gc.ca/t1/tbl1/en/tv.action?pid=1410044401</x:v>
      </x:c>
      <x:c r="O298" t="str">
        <x:v>PASS</x:v>
      </x:c>
    </x:row>
    <x:row r="299">
      <x:c r="A299" t="str">
        <x:v>OBS_JVWS_AE6AD3E7D9011BEB83DE</x:v>
      </x:c>
      <x:c r="B299" t="str">
        <x:v>72402</x:v>
      </x:c>
      <x:c r="C299" t="str">
        <x:v>Heating, refrigeration and air conditioning mechanics</x:v>
      </x:c>
      <x:c r="D299" t="str">
        <x:v>trade_hvac</x:v>
      </x:c>
      <x:c r="E299" t="str">
        <x:v>Average offered hourly wage</x:v>
      </x:c>
      <x:c r="F299" s="145" t="n">
        <x:v>34.9</x:v>
      </x:c>
      <x:c r="G299" t="str">
        <x:v>Dollars</x:v>
      </x:c>
      <x:c r="H299" s="153" t="n">
        <x:v>43647</x:v>
      </x:c>
      <x:c r="I299" s="153" t="n">
        <x:v>43738</x:v>
      </x:c>
      <x:c r="J299" t="str">
        <x:v>observed</x:v>
      </x:c>
      <x:c r="K299" t="str">
        <x:v>STATCAN_JVWS_14100444</x:v>
      </x:c>
      <x:c r="L299" t="str">
        <x:v>TR_STATCAN_JVWS_AB_NOC_1_0_0</x:v>
      </x:c>
      <x:c r="M299" t="str">
        <x:v>status:B</x:v>
      </x:c>
      <x:c r="N299" t="str">
        <x:v>https://www150.statcan.gc.ca/t1/tbl1/en/tv.action?pid=1410044401</x:v>
      </x:c>
      <x:c r="O299" t="str">
        <x:v>PASS</x:v>
      </x:c>
    </x:row>
    <x:row r="300">
      <x:c r="A300" t="str">
        <x:v>OBS_JVWS_5DC866A52A5A77277EDB</x:v>
      </x:c>
      <x:c r="B300" t="str">
        <x:v>72402</x:v>
      </x:c>
      <x:c r="C300" t="str">
        <x:v>Heating, refrigeration and air conditioning mechanics</x:v>
      </x:c>
      <x:c r="D300" t="str">
        <x:v>trade_hvac</x:v>
      </x:c>
      <x:c r="E300" t="str">
        <x:v>Job vacancies</x:v>
      </x:c>
      <x:c r="F300" s="145"/>
      <x:c r="G300" t="str">
        <x:v>Number</x:v>
      </x:c>
      <x:c r="H300" s="153" t="n">
        <x:v>43647</x:v>
      </x:c>
      <x:c r="I300" s="153" t="n">
        <x:v>43738</x:v>
      </x:c>
      <x:c r="J300" t="str">
        <x:v>observed</x:v>
      </x:c>
      <x:c r="K300" t="str">
        <x:v>STATCAN_JVWS_14100444</x:v>
      </x:c>
      <x:c r="L300" t="str">
        <x:v>TR_STATCAN_JVWS_AB_NOC_1_0_0</x:v>
      </x:c>
      <x:c r="M300" t="str">
        <x:v>status:F|value_missing_or_suppressed</x:v>
      </x:c>
      <x:c r="N300" t="str">
        <x:v>https://www150.statcan.gc.ca/t1/tbl1/en/tv.action?pid=1410044401</x:v>
      </x:c>
      <x:c r="O300" t="str">
        <x:v>PASS</x:v>
      </x:c>
    </x:row>
    <x:row r="301">
      <x:c r="A301" t="str">
        <x:v>OBS_JVWS_179490AF2950AC995B6F</x:v>
      </x:c>
      <x:c r="B301" t="str">
        <x:v>72202</x:v>
      </x:c>
      <x:c r="C301" t="str">
        <x:v>Power system electricians</x:v>
      </x:c>
      <x:c r="D301" t="str">
        <x:v>trade_power_line</x:v>
      </x:c>
      <x:c r="E301" t="str">
        <x:v>Average offered hourly wage</x:v>
      </x:c>
      <x:c r="F301" s="145"/>
      <x:c r="G301" t="str">
        <x:v>Dollars</x:v>
      </x:c>
      <x:c r="H301" s="153" t="n">
        <x:v>43647</x:v>
      </x:c>
      <x:c r="I301" s="153" t="n">
        <x:v>43738</x:v>
      </x:c>
      <x:c r="J301" t="str">
        <x:v>observed</x:v>
      </x:c>
      <x:c r="K301" t="str">
        <x:v>STATCAN_JVWS_14100444</x:v>
      </x:c>
      <x:c r="L301" t="str">
        <x:v>TR_STATCAN_JVWS_AB_NOC_1_0_0</x:v>
      </x:c>
      <x:c r="M301" t="str">
        <x:v>status:F|value_missing_or_suppressed</x:v>
      </x:c>
      <x:c r="N301" t="str">
        <x:v>https://www150.statcan.gc.ca/t1/tbl1/en/tv.action?pid=1410044401</x:v>
      </x:c>
      <x:c r="O301" t="str">
        <x:v>PASS</x:v>
      </x:c>
    </x:row>
    <x:row r="302">
      <x:c r="A302" t="str">
        <x:v>OBS_JVWS_5F9D9E45349DFCD25239</x:v>
      </x:c>
      <x:c r="B302" t="str">
        <x:v>72202</x:v>
      </x:c>
      <x:c r="C302" t="str">
        <x:v>Power system electricians</x:v>
      </x:c>
      <x:c r="D302" t="str">
        <x:v>trade_power_line</x:v>
      </x:c>
      <x:c r="E302" t="str">
        <x:v>Job vacancies</x:v>
      </x:c>
      <x:c r="F302" s="145"/>
      <x:c r="G302" t="str">
        <x:v>Number</x:v>
      </x:c>
      <x:c r="H302" s="153" t="n">
        <x:v>43647</x:v>
      </x:c>
      <x:c r="I302" s="153" t="n">
        <x:v>43738</x:v>
      </x:c>
      <x:c r="J302" t="str">
        <x:v>observed</x:v>
      </x:c>
      <x:c r="K302" t="str">
        <x:v>STATCAN_JVWS_14100444</x:v>
      </x:c>
      <x:c r="L302" t="str">
        <x:v>TR_STATCAN_JVWS_AB_NOC_1_0_0</x:v>
      </x:c>
      <x:c r="M302" t="str">
        <x:v>status:F|value_missing_or_suppressed</x:v>
      </x:c>
      <x:c r="N302" t="str">
        <x:v>https://www150.statcan.gc.ca/t1/tbl1/en/tv.action?pid=1410044401</x:v>
      </x:c>
      <x:c r="O302" t="str">
        <x:v>PASS</x:v>
      </x:c>
    </x:row>
    <x:row r="303">
      <x:c r="A303" t="str">
        <x:v>OBS_JVWS_B7CBDF6872BE90DD2E68</x:v>
      </x:c>
      <x:c r="B303" t="str">
        <x:v>72203</x:v>
      </x:c>
      <x:c r="C303" t="str">
        <x:v>Electrical power line and cable workers</x:v>
      </x:c>
      <x:c r="D303" t="str">
        <x:v>trade_power_line</x:v>
      </x:c>
      <x:c r="E303" t="str">
        <x:v>Average offered hourly wage</x:v>
      </x:c>
      <x:c r="F303" s="145"/>
      <x:c r="G303" t="str">
        <x:v>Dollars</x:v>
      </x:c>
      <x:c r="H303" s="153" t="n">
        <x:v>43647</x:v>
      </x:c>
      <x:c r="I303" s="153" t="n">
        <x:v>43738</x:v>
      </x:c>
      <x:c r="J303" t="str">
        <x:v>observed</x:v>
      </x:c>
      <x:c r="K303" t="str">
        <x:v>STATCAN_JVWS_14100444</x:v>
      </x:c>
      <x:c r="L303" t="str">
        <x:v>TR_STATCAN_JVWS_AB_NOC_1_0_0</x:v>
      </x:c>
      <x:c r="M303" t="str">
        <x:v>status:F|value_missing_or_suppressed</x:v>
      </x:c>
      <x:c r="N303" t="str">
        <x:v>https://www150.statcan.gc.ca/t1/tbl1/en/tv.action?pid=1410044401</x:v>
      </x:c>
      <x:c r="O303" t="str">
        <x:v>PASS</x:v>
      </x:c>
    </x:row>
    <x:row r="304">
      <x:c r="A304" t="str">
        <x:v>OBS_JVWS_B16F61E8BC4B6FA2EC40</x:v>
      </x:c>
      <x:c r="B304" t="str">
        <x:v>72203</x:v>
      </x:c>
      <x:c r="C304" t="str">
        <x:v>Electrical power line and cable workers</x:v>
      </x:c>
      <x:c r="D304" t="str">
        <x:v>trade_power_line</x:v>
      </x:c>
      <x:c r="E304" t="str">
        <x:v>Job vacancies</x:v>
      </x:c>
      <x:c r="F304" s="145"/>
      <x:c r="G304" t="str">
        <x:v>Number</x:v>
      </x:c>
      <x:c r="H304" s="153" t="n">
        <x:v>43647</x:v>
      </x:c>
      <x:c r="I304" s="153" t="n">
        <x:v>43738</x:v>
      </x:c>
      <x:c r="J304" t="str">
        <x:v>observed</x:v>
      </x:c>
      <x:c r="K304" t="str">
        <x:v>STATCAN_JVWS_14100444</x:v>
      </x:c>
      <x:c r="L304" t="str">
        <x:v>TR_STATCAN_JVWS_AB_NOC_1_0_0</x:v>
      </x:c>
      <x:c r="M304" t="str">
        <x:v>status:F|value_missing_or_suppressed</x:v>
      </x:c>
      <x:c r="N304" t="str">
        <x:v>https://www150.statcan.gc.ca/t1/tbl1/en/tv.action?pid=1410044401</x:v>
      </x:c>
      <x:c r="O304" t="str">
        <x:v>PASS</x:v>
      </x:c>
    </x:row>
    <x:row r="305">
      <x:c r="A305" t="str">
        <x:v>OBS_JVWS_9D4EBBEED1E02EF99C49</x:v>
      </x:c>
      <x:c r="B305" t="str">
        <x:v>73100</x:v>
      </x:c>
      <x:c r="C305" t="str">
        <x:v>Concrete finishers</x:v>
      </x:c>
      <x:c r="D305" t="str">
        <x:v>trade_concrete</x:v>
      </x:c>
      <x:c r="E305" t="str">
        <x:v>Average offered hourly wage</x:v>
      </x:c>
      <x:c r="F305" s="145" t="n">
        <x:v>29.9</x:v>
      </x:c>
      <x:c r="G305" t="str">
        <x:v>Dollars</x:v>
      </x:c>
      <x:c r="H305" s="153" t="n">
        <x:v>43556</x:v>
      </x:c>
      <x:c r="I305" s="153" t="n">
        <x:v>43646</x:v>
      </x:c>
      <x:c r="J305" t="str">
        <x:v>observed</x:v>
      </x:c>
      <x:c r="K305" t="str">
        <x:v>STATCAN_JVWS_14100444</x:v>
      </x:c>
      <x:c r="L305" t="str">
        <x:v>TR_STATCAN_JVWS_AB_NOC_1_0_0</x:v>
      </x:c>
      <x:c r="M305" t="str">
        <x:v>status:A</x:v>
      </x:c>
      <x:c r="N305" t="str">
        <x:v>https://www150.statcan.gc.ca/t1/tbl1/en/tv.action?pid=1410044401</x:v>
      </x:c>
      <x:c r="O305" t="str">
        <x:v>PASS</x:v>
      </x:c>
    </x:row>
    <x:row r="306">
      <x:c r="A306" t="str">
        <x:v>OBS_JVWS_DCC0D379FACE0D236AF4</x:v>
      </x:c>
      <x:c r="B306" t="str">
        <x:v>73100</x:v>
      </x:c>
      <x:c r="C306" t="str">
        <x:v>Concrete finishers</x:v>
      </x:c>
      <x:c r="D306" t="str">
        <x:v>trade_concrete</x:v>
      </x:c>
      <x:c r="E306" t="str">
        <x:v>Job vacancies</x:v>
      </x:c>
      <x:c r="F306" s="145" t="n">
        <x:v>145</x:v>
      </x:c>
      <x:c r="G306" t="str">
        <x:v>Number</x:v>
      </x:c>
      <x:c r="H306" s="153" t="n">
        <x:v>43556</x:v>
      </x:c>
      <x:c r="I306" s="153" t="n">
        <x:v>43646</x:v>
      </x:c>
      <x:c r="J306" t="str">
        <x:v>observed</x:v>
      </x:c>
      <x:c r="K306" t="str">
        <x:v>STATCAN_JVWS_14100444</x:v>
      </x:c>
      <x:c r="L306" t="str">
        <x:v>TR_STATCAN_JVWS_AB_NOC_1_0_0</x:v>
      </x:c>
      <x:c r="M306" t="str">
        <x:v>status:E</x:v>
      </x:c>
      <x:c r="N306" t="str">
        <x:v>https://www150.statcan.gc.ca/t1/tbl1/en/tv.action?pid=1410044401</x:v>
      </x:c>
      <x:c r="O306" t="str">
        <x:v>PASS</x:v>
      </x:c>
    </x:row>
    <x:row r="307">
      <x:c r="A307" t="str">
        <x:v>OBS_JVWS_D37C164AD45EC2DF9A3C</x:v>
      </x:c>
      <x:c r="B307" t="str">
        <x:v>72200</x:v>
      </x:c>
      <x:c r="C307" t="str">
        <x:v>Electricians (except industrial and power system)</x:v>
      </x:c>
      <x:c r="D307" t="str">
        <x:v>trade_electricians</x:v>
      </x:c>
      <x:c r="E307" t="str">
        <x:v>Average offered hourly wage</x:v>
      </x:c>
      <x:c r="F307" s="145" t="n">
        <x:v>25.05</x:v>
      </x:c>
      <x:c r="G307" t="str">
        <x:v>Dollars</x:v>
      </x:c>
      <x:c r="H307" s="153" t="n">
        <x:v>43556</x:v>
      </x:c>
      <x:c r="I307" s="153" t="n">
        <x:v>43646</x:v>
      </x:c>
      <x:c r="J307" t="str">
        <x:v>observed</x:v>
      </x:c>
      <x:c r="K307" t="str">
        <x:v>STATCAN_JVWS_14100444</x:v>
      </x:c>
      <x:c r="L307" t="str">
        <x:v>TR_STATCAN_JVWS_AB_NOC_1_0_0</x:v>
      </x:c>
      <x:c r="M307" t="str">
        <x:v>status:C</x:v>
      </x:c>
      <x:c r="N307" t="str">
        <x:v>https://www150.statcan.gc.ca/t1/tbl1/en/tv.action?pid=1410044401</x:v>
      </x:c>
      <x:c r="O307" t="str">
        <x:v>PASS</x:v>
      </x:c>
    </x:row>
    <x:row r="308">
      <x:c r="A308" t="str">
        <x:v>OBS_JVWS_6F52E966743DC2251000</x:v>
      </x:c>
      <x:c r="B308" t="str">
        <x:v>72200</x:v>
      </x:c>
      <x:c r="C308" t="str">
        <x:v>Electricians (except industrial and power system)</x:v>
      </x:c>
      <x:c r="D308" t="str">
        <x:v>trade_electricians</x:v>
      </x:c>
      <x:c r="E308" t="str">
        <x:v>Job vacancies</x:v>
      </x:c>
      <x:c r="F308" s="145"/>
      <x:c r="G308" t="str">
        <x:v>Number</x:v>
      </x:c>
      <x:c r="H308" s="153" t="n">
        <x:v>43556</x:v>
      </x:c>
      <x:c r="I308" s="153" t="n">
        <x:v>43646</x:v>
      </x:c>
      <x:c r="J308" t="str">
        <x:v>observed</x:v>
      </x:c>
      <x:c r="K308" t="str">
        <x:v>STATCAN_JVWS_14100444</x:v>
      </x:c>
      <x:c r="L308" t="str">
        <x:v>TR_STATCAN_JVWS_AB_NOC_1_0_0</x:v>
      </x:c>
      <x:c r="M308" t="str">
        <x:v>status:F|value_missing_or_suppressed</x:v>
      </x:c>
      <x:c r="N308" t="str">
        <x:v>https://www150.statcan.gc.ca/t1/tbl1/en/tv.action?pid=1410044401</x:v>
      </x:c>
      <x:c r="O308" t="str">
        <x:v>PASS</x:v>
      </x:c>
    </x:row>
    <x:row r="309">
      <x:c r="A309" t="str">
        <x:v>OBS_JVWS_08F81D164826C5C7B2A6</x:v>
      </x:c>
      <x:c r="B309" t="str">
        <x:v>72201</x:v>
      </x:c>
      <x:c r="C309" t="str">
        <x:v>Industrial electricians</x:v>
      </x:c>
      <x:c r="D309" t="str">
        <x:v>trade_electricians</x:v>
      </x:c>
      <x:c r="E309" t="str">
        <x:v>Average offered hourly wage</x:v>
      </x:c>
      <x:c r="F309" s="145" t="n">
        <x:v>38.8</x:v>
      </x:c>
      <x:c r="G309" t="str">
        <x:v>Dollars</x:v>
      </x:c>
      <x:c r="H309" s="153" t="n">
        <x:v>43556</x:v>
      </x:c>
      <x:c r="I309" s="153" t="n">
        <x:v>43646</x:v>
      </x:c>
      <x:c r="J309" t="str">
        <x:v>observed</x:v>
      </x:c>
      <x:c r="K309" t="str">
        <x:v>STATCAN_JVWS_14100444</x:v>
      </x:c>
      <x:c r="L309" t="str">
        <x:v>TR_STATCAN_JVWS_AB_NOC_1_0_0</x:v>
      </x:c>
      <x:c r="M309" t="str">
        <x:v>status:B</x:v>
      </x:c>
      <x:c r="N309" t="str">
        <x:v>https://www150.statcan.gc.ca/t1/tbl1/en/tv.action?pid=1410044401</x:v>
      </x:c>
      <x:c r="O309" t="str">
        <x:v>PASS</x:v>
      </x:c>
    </x:row>
    <x:row r="310">
      <x:c r="A310" t="str">
        <x:v>OBS_JVWS_A4E9021375F1F18D2D81</x:v>
      </x:c>
      <x:c r="B310" t="str">
        <x:v>72201</x:v>
      </x:c>
      <x:c r="C310" t="str">
        <x:v>Industrial electricians</x:v>
      </x:c>
      <x:c r="D310" t="str">
        <x:v>trade_electricians</x:v>
      </x:c>
      <x:c r="E310" t="str">
        <x:v>Job vacancies</x:v>
      </x:c>
      <x:c r="F310" s="145" t="n">
        <x:v>235</x:v>
      </x:c>
      <x:c r="G310" t="str">
        <x:v>Number</x:v>
      </x:c>
      <x:c r="H310" s="153" t="n">
        <x:v>43556</x:v>
      </x:c>
      <x:c r="I310" s="153" t="n">
        <x:v>43646</x:v>
      </x:c>
      <x:c r="J310" t="str">
        <x:v>observed</x:v>
      </x:c>
      <x:c r="K310" t="str">
        <x:v>STATCAN_JVWS_14100444</x:v>
      </x:c>
      <x:c r="L310" t="str">
        <x:v>TR_STATCAN_JVWS_AB_NOC_1_0_0</x:v>
      </x:c>
      <x:c r="M310" t="str">
        <x:v>status:E</x:v>
      </x:c>
      <x:c r="N310" t="str">
        <x:v>https://www150.statcan.gc.ca/t1/tbl1/en/tv.action?pid=1410044401</x:v>
      </x:c>
      <x:c r="O310" t="str">
        <x:v>PASS</x:v>
      </x:c>
    </x:row>
    <x:row r="311">
      <x:c r="A311" t="str">
        <x:v>OBS_JVWS_4A0918254C9E249E0AD8</x:v>
      </x:c>
      <x:c r="B311" t="str">
        <x:v>72402</x:v>
      </x:c>
      <x:c r="C311" t="str">
        <x:v>Heating, refrigeration and air conditioning mechanics</x:v>
      </x:c>
      <x:c r="D311" t="str">
        <x:v>trade_hvac</x:v>
      </x:c>
      <x:c r="E311" t="str">
        <x:v>Average offered hourly wage</x:v>
      </x:c>
      <x:c r="F311" s="145" t="n">
        <x:v>34.4</x:v>
      </x:c>
      <x:c r="G311" t="str">
        <x:v>Dollars</x:v>
      </x:c>
      <x:c r="H311" s="153" t="n">
        <x:v>43556</x:v>
      </x:c>
      <x:c r="I311" s="153" t="n">
        <x:v>43646</x:v>
      </x:c>
      <x:c r="J311" t="str">
        <x:v>observed</x:v>
      </x:c>
      <x:c r="K311" t="str">
        <x:v>STATCAN_JVWS_14100444</x:v>
      </x:c>
      <x:c r="L311" t="str">
        <x:v>TR_STATCAN_JVWS_AB_NOC_1_0_0</x:v>
      </x:c>
      <x:c r="M311" t="str">
        <x:v>status:B</x:v>
      </x:c>
      <x:c r="N311" t="str">
        <x:v>https://www150.statcan.gc.ca/t1/tbl1/en/tv.action?pid=1410044401</x:v>
      </x:c>
      <x:c r="O311" t="str">
        <x:v>PASS</x:v>
      </x:c>
    </x:row>
    <x:row r="312">
      <x:c r="A312" t="str">
        <x:v>OBS_JVWS_9333D1B07D911F4BCD2F</x:v>
      </x:c>
      <x:c r="B312" t="str">
        <x:v>72402</x:v>
      </x:c>
      <x:c r="C312" t="str">
        <x:v>Heating, refrigeration and air conditioning mechanics</x:v>
      </x:c>
      <x:c r="D312" t="str">
        <x:v>trade_hvac</x:v>
      </x:c>
      <x:c r="E312" t="str">
        <x:v>Job vacancies</x:v>
      </x:c>
      <x:c r="F312" s="145"/>
      <x:c r="G312" t="str">
        <x:v>Number</x:v>
      </x:c>
      <x:c r="H312" s="153" t="n">
        <x:v>43556</x:v>
      </x:c>
      <x:c r="I312" s="153" t="n">
        <x:v>43646</x:v>
      </x:c>
      <x:c r="J312" t="str">
        <x:v>observed</x:v>
      </x:c>
      <x:c r="K312" t="str">
        <x:v>STATCAN_JVWS_14100444</x:v>
      </x:c>
      <x:c r="L312" t="str">
        <x:v>TR_STATCAN_JVWS_AB_NOC_1_0_0</x:v>
      </x:c>
      <x:c r="M312" t="str">
        <x:v>status:F|value_missing_or_suppressed</x:v>
      </x:c>
      <x:c r="N312" t="str">
        <x:v>https://www150.statcan.gc.ca/t1/tbl1/en/tv.action?pid=1410044401</x:v>
      </x:c>
      <x:c r="O312" t="str">
        <x:v>PASS</x:v>
      </x:c>
    </x:row>
    <x:row r="313">
      <x:c r="A313" t="str">
        <x:v>OBS_JVWS_5ACFBEA7E4AD92FC5743</x:v>
      </x:c>
      <x:c r="B313" t="str">
        <x:v>72202</x:v>
      </x:c>
      <x:c r="C313" t="str">
        <x:v>Power system electricians</x:v>
      </x:c>
      <x:c r="D313" t="str">
        <x:v>trade_power_line</x:v>
      </x:c>
      <x:c r="E313" t="str">
        <x:v>Average offered hourly wage</x:v>
      </x:c>
      <x:c r="F313" s="145" t="n">
        <x:v>26.35</x:v>
      </x:c>
      <x:c r="G313" t="str">
        <x:v>Dollars</x:v>
      </x:c>
      <x:c r="H313" s="153" t="n">
        <x:v>43556</x:v>
      </x:c>
      <x:c r="I313" s="153" t="n">
        <x:v>43646</x:v>
      </x:c>
      <x:c r="J313" t="str">
        <x:v>observed</x:v>
      </x:c>
      <x:c r="K313" t="str">
        <x:v>STATCAN_JVWS_14100444</x:v>
      </x:c>
      <x:c r="L313" t="str">
        <x:v>TR_STATCAN_JVWS_AB_NOC_1_0_0</x:v>
      </x:c>
      <x:c r="M313" t="str">
        <x:v>status:C</x:v>
      </x:c>
      <x:c r="N313" t="str">
        <x:v>https://www150.statcan.gc.ca/t1/tbl1/en/tv.action?pid=1410044401</x:v>
      </x:c>
      <x:c r="O313" t="str">
        <x:v>PASS</x:v>
      </x:c>
    </x:row>
    <x:row r="314">
      <x:c r="A314" t="str">
        <x:v>OBS_JVWS_53EDAA30D4E9E022D9E8</x:v>
      </x:c>
      <x:c r="B314" t="str">
        <x:v>72202</x:v>
      </x:c>
      <x:c r="C314" t="str">
        <x:v>Power system electricians</x:v>
      </x:c>
      <x:c r="D314" t="str">
        <x:v>trade_power_line</x:v>
      </x:c>
      <x:c r="E314" t="str">
        <x:v>Job vacancies</x:v>
      </x:c>
      <x:c r="F314" s="145"/>
      <x:c r="G314" t="str">
        <x:v>Number</x:v>
      </x:c>
      <x:c r="H314" s="153" t="n">
        <x:v>43556</x:v>
      </x:c>
      <x:c r="I314" s="153" t="n">
        <x:v>43646</x:v>
      </x:c>
      <x:c r="J314" t="str">
        <x:v>observed</x:v>
      </x:c>
      <x:c r="K314" t="str">
        <x:v>STATCAN_JVWS_14100444</x:v>
      </x:c>
      <x:c r="L314" t="str">
        <x:v>TR_STATCAN_JVWS_AB_NOC_1_0_0</x:v>
      </x:c>
      <x:c r="M314" t="str">
        <x:v>status:F|value_missing_or_suppressed</x:v>
      </x:c>
      <x:c r="N314" t="str">
        <x:v>https://www150.statcan.gc.ca/t1/tbl1/en/tv.action?pid=1410044401</x:v>
      </x:c>
      <x:c r="O314" t="str">
        <x:v>PASS</x:v>
      </x:c>
    </x:row>
    <x:row r="315">
      <x:c r="A315" t="str">
        <x:v>OBS_JVWS_68E91F7F451FA03AC0E5</x:v>
      </x:c>
      <x:c r="B315" t="str">
        <x:v>72203</x:v>
      </x:c>
      <x:c r="C315" t="str">
        <x:v>Electrical power line and cable workers</x:v>
      </x:c>
      <x:c r="D315" t="str">
        <x:v>trade_power_line</x:v>
      </x:c>
      <x:c r="E315" t="str">
        <x:v>Average offered hourly wage</x:v>
      </x:c>
      <x:c r="F315" s="145"/>
      <x:c r="G315" t="str">
        <x:v>Dollars</x:v>
      </x:c>
      <x:c r="H315" s="153" t="n">
        <x:v>43556</x:v>
      </x:c>
      <x:c r="I315" s="153" t="n">
        <x:v>43646</x:v>
      </x:c>
      <x:c r="J315" t="str">
        <x:v>observed</x:v>
      </x:c>
      <x:c r="K315" t="str">
        <x:v>STATCAN_JVWS_14100444</x:v>
      </x:c>
      <x:c r="L315" t="str">
        <x:v>TR_STATCAN_JVWS_AB_NOC_1_0_0</x:v>
      </x:c>
      <x:c r="M315" t="str">
        <x:v>status:..|value_missing_or_suppressed</x:v>
      </x:c>
      <x:c r="N315" t="str">
        <x:v>https://www150.statcan.gc.ca/t1/tbl1/en/tv.action?pid=1410044401</x:v>
      </x:c>
      <x:c r="O315" t="str">
        <x:v>PASS</x:v>
      </x:c>
    </x:row>
    <x:row r="316">
      <x:c r="A316" t="str">
        <x:v>OBS_JVWS_10A4CE453B253958831A</x:v>
      </x:c>
      <x:c r="B316" t="str">
        <x:v>72203</x:v>
      </x:c>
      <x:c r="C316" t="str">
        <x:v>Electrical power line and cable workers</x:v>
      </x:c>
      <x:c r="D316" t="str">
        <x:v>trade_power_line</x:v>
      </x:c>
      <x:c r="E316" t="str">
        <x:v>Job vacancies</x:v>
      </x:c>
      <x:c r="F316" s="145"/>
      <x:c r="G316" t="str">
        <x:v>Number</x:v>
      </x:c>
      <x:c r="H316" s="153" t="n">
        <x:v>43556</x:v>
      </x:c>
      <x:c r="I316" s="153" t="n">
        <x:v>43646</x:v>
      </x:c>
      <x:c r="J316" t="str">
        <x:v>observed</x:v>
      </x:c>
      <x:c r="K316" t="str">
        <x:v>STATCAN_JVWS_14100444</x:v>
      </x:c>
      <x:c r="L316" t="str">
        <x:v>TR_STATCAN_JVWS_AB_NOC_1_0_0</x:v>
      </x:c>
      <x:c r="M316" t="str">
        <x:v>status:..|value_missing_or_suppressed</x:v>
      </x:c>
      <x:c r="N316" t="str">
        <x:v>https://www150.statcan.gc.ca/t1/tbl1/en/tv.action?pid=1410044401</x:v>
      </x:c>
      <x:c r="O316" t="str">
        <x:v>PASS</x:v>
      </x:c>
    </x:row>
    <x:row r="317">
      <x:c r="A317" t="str">
        <x:v>OBS_JVWS_DFB25E16B5D497F972A9</x:v>
      </x:c>
      <x:c r="B317" t="str">
        <x:v>73100</x:v>
      </x:c>
      <x:c r="C317" t="str">
        <x:v>Concrete finishers</x:v>
      </x:c>
      <x:c r="D317" t="str">
        <x:v>trade_concrete</x:v>
      </x:c>
      <x:c r="E317" t="str">
        <x:v>Average offered hourly wage</x:v>
      </x:c>
      <x:c r="F317" s="145" t="n">
        <x:v>30.1</x:v>
      </x:c>
      <x:c r="G317" t="str">
        <x:v>Dollars</x:v>
      </x:c>
      <x:c r="H317" s="153" t="n">
        <x:v>43466</x:v>
      </x:c>
      <x:c r="I317" s="153" t="n">
        <x:v>43555</x:v>
      </x:c>
      <x:c r="J317" t="str">
        <x:v>observed</x:v>
      </x:c>
      <x:c r="K317" t="str">
        <x:v>STATCAN_JVWS_14100444</x:v>
      </x:c>
      <x:c r="L317" t="str">
        <x:v>TR_STATCAN_JVWS_AB_NOC_1_0_0</x:v>
      </x:c>
      <x:c r="M317" t="str">
        <x:v>status:A</x:v>
      </x:c>
      <x:c r="N317" t="str">
        <x:v>https://www150.statcan.gc.ca/t1/tbl1/en/tv.action?pid=1410044401</x:v>
      </x:c>
      <x:c r="O317" t="str">
        <x:v>PASS</x:v>
      </x:c>
    </x:row>
    <x:row r="318">
      <x:c r="A318" t="str">
        <x:v>OBS_JVWS_3DB61F866C49F07F97CE</x:v>
      </x:c>
      <x:c r="B318" t="str">
        <x:v>73100</x:v>
      </x:c>
      <x:c r="C318" t="str">
        <x:v>Concrete finishers</x:v>
      </x:c>
      <x:c r="D318" t="str">
        <x:v>trade_concrete</x:v>
      </x:c>
      <x:c r="E318" t="str">
        <x:v>Job vacancies</x:v>
      </x:c>
      <x:c r="F318" s="145"/>
      <x:c r="G318" t="str">
        <x:v>Number</x:v>
      </x:c>
      <x:c r="H318" s="153" t="n">
        <x:v>43466</x:v>
      </x:c>
      <x:c r="I318" s="153" t="n">
        <x:v>43555</x:v>
      </x:c>
      <x:c r="J318" t="str">
        <x:v>observed</x:v>
      </x:c>
      <x:c r="K318" t="str">
        <x:v>STATCAN_JVWS_14100444</x:v>
      </x:c>
      <x:c r="L318" t="str">
        <x:v>TR_STATCAN_JVWS_AB_NOC_1_0_0</x:v>
      </x:c>
      <x:c r="M318" t="str">
        <x:v>status:F|value_missing_or_suppressed</x:v>
      </x:c>
      <x:c r="N318" t="str">
        <x:v>https://www150.statcan.gc.ca/t1/tbl1/en/tv.action?pid=1410044401</x:v>
      </x:c>
      <x:c r="O318" t="str">
        <x:v>PASS</x:v>
      </x:c>
    </x:row>
    <x:row r="319">
      <x:c r="A319" t="str">
        <x:v>OBS_JVWS_43D0AC8787E67EB9BD71</x:v>
      </x:c>
      <x:c r="B319" t="str">
        <x:v>72200</x:v>
      </x:c>
      <x:c r="C319" t="str">
        <x:v>Electricians (except industrial and power system)</x:v>
      </x:c>
      <x:c r="D319" t="str">
        <x:v>trade_electricians</x:v>
      </x:c>
      <x:c r="E319" t="str">
        <x:v>Average offered hourly wage</x:v>
      </x:c>
      <x:c r="F319" s="145" t="n">
        <x:v>20.85</x:v>
      </x:c>
      <x:c r="G319" t="str">
        <x:v>Dollars</x:v>
      </x:c>
      <x:c r="H319" s="153" t="n">
        <x:v>43466</x:v>
      </x:c>
      <x:c r="I319" s="153" t="n">
        <x:v>43555</x:v>
      </x:c>
      <x:c r="J319" t="str">
        <x:v>observed</x:v>
      </x:c>
      <x:c r="K319" t="str">
        <x:v>STATCAN_JVWS_14100444</x:v>
      </x:c>
      <x:c r="L319" t="str">
        <x:v>TR_STATCAN_JVWS_AB_NOC_1_0_0</x:v>
      </x:c>
      <x:c r="M319" t="str">
        <x:v>status:B</x:v>
      </x:c>
      <x:c r="N319" t="str">
        <x:v>https://www150.statcan.gc.ca/t1/tbl1/en/tv.action?pid=1410044401</x:v>
      </x:c>
      <x:c r="O319" t="str">
        <x:v>PASS</x:v>
      </x:c>
    </x:row>
    <x:row r="320">
      <x:c r="A320" t="str">
        <x:v>OBS_JVWS_013788FACE73D4D201CE</x:v>
      </x:c>
      <x:c r="B320" t="str">
        <x:v>72200</x:v>
      </x:c>
      <x:c r="C320" t="str">
        <x:v>Electricians (except industrial and power system)</x:v>
      </x:c>
      <x:c r="D320" t="str">
        <x:v>trade_electricians</x:v>
      </x:c>
      <x:c r="E320" t="str">
        <x:v>Job vacancies</x:v>
      </x:c>
      <x:c r="F320" s="145" t="n">
        <x:v>240</x:v>
      </x:c>
      <x:c r="G320" t="str">
        <x:v>Number</x:v>
      </x:c>
      <x:c r="H320" s="153" t="n">
        <x:v>43466</x:v>
      </x:c>
      <x:c r="I320" s="153" t="n">
        <x:v>43555</x:v>
      </x:c>
      <x:c r="J320" t="str">
        <x:v>observed</x:v>
      </x:c>
      <x:c r="K320" t="str">
        <x:v>STATCAN_JVWS_14100444</x:v>
      </x:c>
      <x:c r="L320" t="str">
        <x:v>TR_STATCAN_JVWS_AB_NOC_1_0_0</x:v>
      </x:c>
      <x:c r="M320" t="str">
        <x:v>status:E</x:v>
      </x:c>
      <x:c r="N320" t="str">
        <x:v>https://www150.statcan.gc.ca/t1/tbl1/en/tv.action?pid=1410044401</x:v>
      </x:c>
      <x:c r="O320" t="str">
        <x:v>PASS</x:v>
      </x:c>
    </x:row>
    <x:row r="321">
      <x:c r="A321" t="str">
        <x:v>OBS_JVWS_BBDE52A2D7A3AAC4910F</x:v>
      </x:c>
      <x:c r="B321" t="str">
        <x:v>72201</x:v>
      </x:c>
      <x:c r="C321" t="str">
        <x:v>Industrial electricians</x:v>
      </x:c>
      <x:c r="D321" t="str">
        <x:v>trade_electricians</x:v>
      </x:c>
      <x:c r="E321" t="str">
        <x:v>Average offered hourly wage</x:v>
      </x:c>
      <x:c r="F321" s="145" t="n">
        <x:v>39.55</x:v>
      </x:c>
      <x:c r="G321" t="str">
        <x:v>Dollars</x:v>
      </x:c>
      <x:c r="H321" s="153" t="n">
        <x:v>43466</x:v>
      </x:c>
      <x:c r="I321" s="153" t="n">
        <x:v>43555</x:v>
      </x:c>
      <x:c r="J321" t="str">
        <x:v>observed</x:v>
      </x:c>
      <x:c r="K321" t="str">
        <x:v>STATCAN_JVWS_14100444</x:v>
      </x:c>
      <x:c r="L321" t="str">
        <x:v>TR_STATCAN_JVWS_AB_NOC_1_0_0</x:v>
      </x:c>
      <x:c r="M321" t="str">
        <x:v>status:C</x:v>
      </x:c>
      <x:c r="N321" t="str">
        <x:v>https://www150.statcan.gc.ca/t1/tbl1/en/tv.action?pid=1410044401</x:v>
      </x:c>
      <x:c r="O321" t="str">
        <x:v>PASS</x:v>
      </x:c>
    </x:row>
    <x:row r="322">
      <x:c r="A322" t="str">
        <x:v>OBS_JVWS_1C9B36CC2E3760FE3303</x:v>
      </x:c>
      <x:c r="B322" t="str">
        <x:v>72201</x:v>
      </x:c>
      <x:c r="C322" t="str">
        <x:v>Industrial electricians</x:v>
      </x:c>
      <x:c r="D322" t="str">
        <x:v>trade_electricians</x:v>
      </x:c>
      <x:c r="E322" t="str">
        <x:v>Job vacancies</x:v>
      </x:c>
      <x:c r="F322" s="145" t="n">
        <x:v>70</x:v>
      </x:c>
      <x:c r="G322" t="str">
        <x:v>Number</x:v>
      </x:c>
      <x:c r="H322" s="153" t="n">
        <x:v>43466</x:v>
      </x:c>
      <x:c r="I322" s="153" t="n">
        <x:v>43555</x:v>
      </x:c>
      <x:c r="J322" t="str">
        <x:v>observed</x:v>
      </x:c>
      <x:c r="K322" t="str">
        <x:v>STATCAN_JVWS_14100444</x:v>
      </x:c>
      <x:c r="L322" t="str">
        <x:v>TR_STATCAN_JVWS_AB_NOC_1_0_0</x:v>
      </x:c>
      <x:c r="M322" t="str">
        <x:v>status:E</x:v>
      </x:c>
      <x:c r="N322" t="str">
        <x:v>https://www150.statcan.gc.ca/t1/tbl1/en/tv.action?pid=1410044401</x:v>
      </x:c>
      <x:c r="O322" t="str">
        <x:v>PASS</x:v>
      </x:c>
    </x:row>
    <x:row r="323">
      <x:c r="A323" t="str">
        <x:v>OBS_JVWS_8AE7365074DDEB5E06BE</x:v>
      </x:c>
      <x:c r="B323" t="str">
        <x:v>72402</x:v>
      </x:c>
      <x:c r="C323" t="str">
        <x:v>Heating, refrigeration and air conditioning mechanics</x:v>
      </x:c>
      <x:c r="D323" t="str">
        <x:v>trade_hvac</x:v>
      </x:c>
      <x:c r="E323" t="str">
        <x:v>Average offered hourly wage</x:v>
      </x:c>
      <x:c r="F323" s="145" t="n">
        <x:v>31.65</x:v>
      </x:c>
      <x:c r="G323" t="str">
        <x:v>Dollars</x:v>
      </x:c>
      <x:c r="H323" s="153" t="n">
        <x:v>43466</x:v>
      </x:c>
      <x:c r="I323" s="153" t="n">
        <x:v>43555</x:v>
      </x:c>
      <x:c r="J323" t="str">
        <x:v>observed</x:v>
      </x:c>
      <x:c r="K323" t="str">
        <x:v>STATCAN_JVWS_14100444</x:v>
      </x:c>
      <x:c r="L323" t="str">
        <x:v>TR_STATCAN_JVWS_AB_NOC_1_0_0</x:v>
      </x:c>
      <x:c r="M323" t="str">
        <x:v>status:B</x:v>
      </x:c>
      <x:c r="N323" t="str">
        <x:v>https://www150.statcan.gc.ca/t1/tbl1/en/tv.action?pid=1410044401</x:v>
      </x:c>
      <x:c r="O323" t="str">
        <x:v>PASS</x:v>
      </x:c>
    </x:row>
    <x:row r="324">
      <x:c r="A324" t="str">
        <x:v>OBS_JVWS_509A1701FAD4B41D3671</x:v>
      </x:c>
      <x:c r="B324" t="str">
        <x:v>72402</x:v>
      </x:c>
      <x:c r="C324" t="str">
        <x:v>Heating, refrigeration and air conditioning mechanics</x:v>
      </x:c>
      <x:c r="D324" t="str">
        <x:v>trade_hvac</x:v>
      </x:c>
      <x:c r="E324" t="str">
        <x:v>Job vacancies</x:v>
      </x:c>
      <x:c r="F324" s="145"/>
      <x:c r="G324" t="str">
        <x:v>Number</x:v>
      </x:c>
      <x:c r="H324" s="153" t="n">
        <x:v>43466</x:v>
      </x:c>
      <x:c r="I324" s="153" t="n">
        <x:v>43555</x:v>
      </x:c>
      <x:c r="J324" t="str">
        <x:v>observed</x:v>
      </x:c>
      <x:c r="K324" t="str">
        <x:v>STATCAN_JVWS_14100444</x:v>
      </x:c>
      <x:c r="L324" t="str">
        <x:v>TR_STATCAN_JVWS_AB_NOC_1_0_0</x:v>
      </x:c>
      <x:c r="M324" t="str">
        <x:v>status:F|value_missing_or_suppressed</x:v>
      </x:c>
      <x:c r="N324" t="str">
        <x:v>https://www150.statcan.gc.ca/t1/tbl1/en/tv.action?pid=1410044401</x:v>
      </x:c>
      <x:c r="O324" t="str">
        <x:v>PASS</x:v>
      </x:c>
    </x:row>
    <x:row r="325">
      <x:c r="A325" t="str">
        <x:v>OBS_JVWS_6B6C973EFF666E4C43B2</x:v>
      </x:c>
      <x:c r="B325" t="str">
        <x:v>72202</x:v>
      </x:c>
      <x:c r="C325" t="str">
        <x:v>Power system electricians</x:v>
      </x:c>
      <x:c r="D325" t="str">
        <x:v>trade_power_line</x:v>
      </x:c>
      <x:c r="E325" t="str">
        <x:v>Average offered hourly wage</x:v>
      </x:c>
      <x:c r="F325" s="145"/>
      <x:c r="G325" t="str">
        <x:v>Dollars</x:v>
      </x:c>
      <x:c r="H325" s="153" t="n">
        <x:v>43466</x:v>
      </x:c>
      <x:c r="I325" s="153" t="n">
        <x:v>43555</x:v>
      </x:c>
      <x:c r="J325" t="str">
        <x:v>observed</x:v>
      </x:c>
      <x:c r="K325" t="str">
        <x:v>STATCAN_JVWS_14100444</x:v>
      </x:c>
      <x:c r="L325" t="str">
        <x:v>TR_STATCAN_JVWS_AB_NOC_1_0_0</x:v>
      </x:c>
      <x:c r="M325" t="str">
        <x:v>status:F|value_missing_or_suppressed</x:v>
      </x:c>
      <x:c r="N325" t="str">
        <x:v>https://www150.statcan.gc.ca/t1/tbl1/en/tv.action?pid=1410044401</x:v>
      </x:c>
      <x:c r="O325" t="str">
        <x:v>PASS</x:v>
      </x:c>
    </x:row>
    <x:row r="326">
      <x:c r="A326" t="str">
        <x:v>OBS_JVWS_FF4F9C153B1CC6CC6424</x:v>
      </x:c>
      <x:c r="B326" t="str">
        <x:v>72202</x:v>
      </x:c>
      <x:c r="C326" t="str">
        <x:v>Power system electricians</x:v>
      </x:c>
      <x:c r="D326" t="str">
        <x:v>trade_power_line</x:v>
      </x:c>
      <x:c r="E326" t="str">
        <x:v>Job vacancies</x:v>
      </x:c>
      <x:c r="F326" s="145"/>
      <x:c r="G326" t="str">
        <x:v>Number</x:v>
      </x:c>
      <x:c r="H326" s="153" t="n">
        <x:v>43466</x:v>
      </x:c>
      <x:c r="I326" s="153" t="n">
        <x:v>43555</x:v>
      </x:c>
      <x:c r="J326" t="str">
        <x:v>observed</x:v>
      </x:c>
      <x:c r="K326" t="str">
        <x:v>STATCAN_JVWS_14100444</x:v>
      </x:c>
      <x:c r="L326" t="str">
        <x:v>TR_STATCAN_JVWS_AB_NOC_1_0_0</x:v>
      </x:c>
      <x:c r="M326" t="str">
        <x:v>status:F|value_missing_or_suppressed</x:v>
      </x:c>
      <x:c r="N326" t="str">
        <x:v>https://www150.statcan.gc.ca/t1/tbl1/en/tv.action?pid=1410044401</x:v>
      </x:c>
      <x:c r="O326" t="str">
        <x:v>PASS</x:v>
      </x:c>
    </x:row>
    <x:row r="327">
      <x:c r="A327" t="str">
        <x:v>OBS_JVWS_B13A4A283C227EBCD712</x:v>
      </x:c>
      <x:c r="B327" t="str">
        <x:v>72203</x:v>
      </x:c>
      <x:c r="C327" t="str">
        <x:v>Electrical power line and cable workers</x:v>
      </x:c>
      <x:c r="D327" t="str">
        <x:v>trade_power_line</x:v>
      </x:c>
      <x:c r="E327" t="str">
        <x:v>Average offered hourly wage</x:v>
      </x:c>
      <x:c r="F327" s="145"/>
      <x:c r="G327" t="str">
        <x:v>Dollars</x:v>
      </x:c>
      <x:c r="H327" s="153" t="n">
        <x:v>43466</x:v>
      </x:c>
      <x:c r="I327" s="153" t="n">
        <x:v>43555</x:v>
      </x:c>
      <x:c r="J327" t="str">
        <x:v>observed</x:v>
      </x:c>
      <x:c r="K327" t="str">
        <x:v>STATCAN_JVWS_14100444</x:v>
      </x:c>
      <x:c r="L327" t="str">
        <x:v>TR_STATCAN_JVWS_AB_NOC_1_0_0</x:v>
      </x:c>
      <x:c r="M327" t="str">
        <x:v>status:F|value_missing_or_suppressed</x:v>
      </x:c>
      <x:c r="N327" t="str">
        <x:v>https://www150.statcan.gc.ca/t1/tbl1/en/tv.action?pid=1410044401</x:v>
      </x:c>
      <x:c r="O327" t="str">
        <x:v>PASS</x:v>
      </x:c>
    </x:row>
    <x:row r="328">
      <x:c r="A328" t="str">
        <x:v>OBS_JVWS_5394C2497B754FA6CDA2</x:v>
      </x:c>
      <x:c r="B328" t="str">
        <x:v>72203</x:v>
      </x:c>
      <x:c r="C328" t="str">
        <x:v>Electrical power line and cable workers</x:v>
      </x:c>
      <x:c r="D328" t="str">
        <x:v>trade_power_line</x:v>
      </x:c>
      <x:c r="E328" t="str">
        <x:v>Job vacancies</x:v>
      </x:c>
      <x:c r="F328" s="145"/>
      <x:c r="G328" t="str">
        <x:v>Number</x:v>
      </x:c>
      <x:c r="H328" s="153" t="n">
        <x:v>43466</x:v>
      </x:c>
      <x:c r="I328" s="153" t="n">
        <x:v>43555</x:v>
      </x:c>
      <x:c r="J328" t="str">
        <x:v>observed</x:v>
      </x:c>
      <x:c r="K328" t="str">
        <x:v>STATCAN_JVWS_14100444</x:v>
      </x:c>
      <x:c r="L328" t="str">
        <x:v>TR_STATCAN_JVWS_AB_NOC_1_0_0</x:v>
      </x:c>
      <x:c r="M328" t="str">
        <x:v>status:F|value_missing_or_suppressed</x:v>
      </x:c>
      <x:c r="N328" t="str">
        <x:v>https://www150.statcan.gc.ca/t1/tbl1/en/tv.action?pid=1410044401</x:v>
      </x:c>
      <x:c r="O328" t="str">
        <x:v>PASS</x:v>
      </x:c>
    </x:row>
    <x:row r="329">
      <x:c r="A329" t="str">
        <x:v>OBS_JVWS_4A2F40E1A8770F028F6E</x:v>
      </x:c>
      <x:c r="B329" t="str">
        <x:v>73100</x:v>
      </x:c>
      <x:c r="C329" t="str">
        <x:v>Concrete finishers</x:v>
      </x:c>
      <x:c r="D329" t="str">
        <x:v>trade_concrete</x:v>
      </x:c>
      <x:c r="E329" t="str">
        <x:v>Average offered hourly wage</x:v>
      </x:c>
      <x:c r="F329" s="145"/>
      <x:c r="G329" t="str">
        <x:v>Dollars</x:v>
      </x:c>
      <x:c r="H329" s="153" t="n">
        <x:v>43374</x:v>
      </x:c>
      <x:c r="I329" s="153" t="n">
        <x:v>43465</x:v>
      </x:c>
      <x:c r="J329" t="str">
        <x:v>observed</x:v>
      </x:c>
      <x:c r="K329" t="str">
        <x:v>STATCAN_JVWS_14100444</x:v>
      </x:c>
      <x:c r="L329" t="str">
        <x:v>TR_STATCAN_JVWS_AB_NOC_1_0_0</x:v>
      </x:c>
      <x:c r="M329" t="str">
        <x:v>status:F|value_missing_or_suppressed</x:v>
      </x:c>
      <x:c r="N329" t="str">
        <x:v>https://www150.statcan.gc.ca/t1/tbl1/en/tv.action?pid=1410044401</x:v>
      </x:c>
      <x:c r="O329" t="str">
        <x:v>PASS</x:v>
      </x:c>
    </x:row>
    <x:row r="330">
      <x:c r="A330" t="str">
        <x:v>OBS_JVWS_3F786A52701E6CF5C2C9</x:v>
      </x:c>
      <x:c r="B330" t="str">
        <x:v>73100</x:v>
      </x:c>
      <x:c r="C330" t="str">
        <x:v>Concrete finishers</x:v>
      </x:c>
      <x:c r="D330" t="str">
        <x:v>trade_concrete</x:v>
      </x:c>
      <x:c r="E330" t="str">
        <x:v>Job vacancies</x:v>
      </x:c>
      <x:c r="F330" s="145"/>
      <x:c r="G330" t="str">
        <x:v>Number</x:v>
      </x:c>
      <x:c r="H330" s="153" t="n">
        <x:v>43374</x:v>
      </x:c>
      <x:c r="I330" s="153" t="n">
        <x:v>43465</x:v>
      </x:c>
      <x:c r="J330" t="str">
        <x:v>observed</x:v>
      </x:c>
      <x:c r="K330" t="str">
        <x:v>STATCAN_JVWS_14100444</x:v>
      </x:c>
      <x:c r="L330" t="str">
        <x:v>TR_STATCAN_JVWS_AB_NOC_1_0_0</x:v>
      </x:c>
      <x:c r="M330" t="str">
        <x:v>status:F|value_missing_or_suppressed</x:v>
      </x:c>
      <x:c r="N330" t="str">
        <x:v>https://www150.statcan.gc.ca/t1/tbl1/en/tv.action?pid=1410044401</x:v>
      </x:c>
      <x:c r="O330" t="str">
        <x:v>PASS</x:v>
      </x:c>
    </x:row>
    <x:row r="331">
      <x:c r="A331" t="str">
        <x:v>OBS_JVWS_8796BBA515DAF13798FF</x:v>
      </x:c>
      <x:c r="B331" t="str">
        <x:v>72200</x:v>
      </x:c>
      <x:c r="C331" t="str">
        <x:v>Electricians (except industrial and power system)</x:v>
      </x:c>
      <x:c r="D331" t="str">
        <x:v>trade_electricians</x:v>
      </x:c>
      <x:c r="E331" t="str">
        <x:v>Average offered hourly wage</x:v>
      </x:c>
      <x:c r="F331" s="145" t="n">
        <x:v>23.7</x:v>
      </x:c>
      <x:c r="G331" t="str">
        <x:v>Dollars</x:v>
      </x:c>
      <x:c r="H331" s="153" t="n">
        <x:v>43374</x:v>
      </x:c>
      <x:c r="I331" s="153" t="n">
        <x:v>43465</x:v>
      </x:c>
      <x:c r="J331" t="str">
        <x:v>observed</x:v>
      </x:c>
      <x:c r="K331" t="str">
        <x:v>STATCAN_JVWS_14100444</x:v>
      </x:c>
      <x:c r="L331" t="str">
        <x:v>TR_STATCAN_JVWS_AB_NOC_1_0_0</x:v>
      </x:c>
      <x:c r="M331" t="str">
        <x:v>status:B</x:v>
      </x:c>
      <x:c r="N331" t="str">
        <x:v>https://www150.statcan.gc.ca/t1/tbl1/en/tv.action?pid=1410044401</x:v>
      </x:c>
      <x:c r="O331" t="str">
        <x:v>PASS</x:v>
      </x:c>
    </x:row>
    <x:row r="332">
      <x:c r="A332" t="str">
        <x:v>OBS_JVWS_8A834241DF498E7CFEE2</x:v>
      </x:c>
      <x:c r="B332" t="str">
        <x:v>72200</x:v>
      </x:c>
      <x:c r="C332" t="str">
        <x:v>Electricians (except industrial and power system)</x:v>
      </x:c>
      <x:c r="D332" t="str">
        <x:v>trade_electricians</x:v>
      </x:c>
      <x:c r="E332" t="str">
        <x:v>Job vacancies</x:v>
      </x:c>
      <x:c r="F332" s="145" t="n">
        <x:v>185</x:v>
      </x:c>
      <x:c r="G332" t="str">
        <x:v>Number</x:v>
      </x:c>
      <x:c r="H332" s="153" t="n">
        <x:v>43374</x:v>
      </x:c>
      <x:c r="I332" s="153" t="n">
        <x:v>43465</x:v>
      </x:c>
      <x:c r="J332" t="str">
        <x:v>observed</x:v>
      </x:c>
      <x:c r="K332" t="str">
        <x:v>STATCAN_JVWS_14100444</x:v>
      </x:c>
      <x:c r="L332" t="str">
        <x:v>TR_STATCAN_JVWS_AB_NOC_1_0_0</x:v>
      </x:c>
      <x:c r="M332" t="str">
        <x:v>status:E</x:v>
      </x:c>
      <x:c r="N332" t="str">
        <x:v>https://www150.statcan.gc.ca/t1/tbl1/en/tv.action?pid=1410044401</x:v>
      </x:c>
      <x:c r="O332" t="str">
        <x:v>PASS</x:v>
      </x:c>
    </x:row>
    <x:row r="333">
      <x:c r="A333" t="str">
        <x:v>OBS_JVWS_07E82BC53C51C5B947D2</x:v>
      </x:c>
      <x:c r="B333" t="str">
        <x:v>72201</x:v>
      </x:c>
      <x:c r="C333" t="str">
        <x:v>Industrial electricians</x:v>
      </x:c>
      <x:c r="D333" t="str">
        <x:v>trade_electricians</x:v>
      </x:c>
      <x:c r="E333" t="str">
        <x:v>Average offered hourly wage</x:v>
      </x:c>
      <x:c r="F333" s="145" t="n">
        <x:v>35.05</x:v>
      </x:c>
      <x:c r="G333" t="str">
        <x:v>Dollars</x:v>
      </x:c>
      <x:c r="H333" s="153" t="n">
        <x:v>43374</x:v>
      </x:c>
      <x:c r="I333" s="153" t="n">
        <x:v>43465</x:v>
      </x:c>
      <x:c r="J333" t="str">
        <x:v>observed</x:v>
      </x:c>
      <x:c r="K333" t="str">
        <x:v>STATCAN_JVWS_14100444</x:v>
      </x:c>
      <x:c r="L333" t="str">
        <x:v>TR_STATCAN_JVWS_AB_NOC_1_0_0</x:v>
      </x:c>
      <x:c r="M333" t="str">
        <x:v>status:B</x:v>
      </x:c>
      <x:c r="N333" t="str">
        <x:v>https://www150.statcan.gc.ca/t1/tbl1/en/tv.action?pid=1410044401</x:v>
      </x:c>
      <x:c r="O333" t="str">
        <x:v>PASS</x:v>
      </x:c>
    </x:row>
    <x:row r="334">
      <x:c r="A334" t="str">
        <x:v>OBS_JVWS_D5E01AABF11C4063B90D</x:v>
      </x:c>
      <x:c r="B334" t="str">
        <x:v>72201</x:v>
      </x:c>
      <x:c r="C334" t="str">
        <x:v>Industrial electricians</x:v>
      </x:c>
      <x:c r="D334" t="str">
        <x:v>trade_electricians</x:v>
      </x:c>
      <x:c r="E334" t="str">
        <x:v>Job vacancies</x:v>
      </x:c>
      <x:c r="F334" s="145" t="n">
        <x:v>55</x:v>
      </x:c>
      <x:c r="G334" t="str">
        <x:v>Number</x:v>
      </x:c>
      <x:c r="H334" s="153" t="n">
        <x:v>43374</x:v>
      </x:c>
      <x:c r="I334" s="153" t="n">
        <x:v>43465</x:v>
      </x:c>
      <x:c r="J334" t="str">
        <x:v>observed</x:v>
      </x:c>
      <x:c r="K334" t="str">
        <x:v>STATCAN_JVWS_14100444</x:v>
      </x:c>
      <x:c r="L334" t="str">
        <x:v>TR_STATCAN_JVWS_AB_NOC_1_0_0</x:v>
      </x:c>
      <x:c r="M334" t="str">
        <x:v>status:D</x:v>
      </x:c>
      <x:c r="N334" t="str">
        <x:v>https://www150.statcan.gc.ca/t1/tbl1/en/tv.action?pid=1410044401</x:v>
      </x:c>
      <x:c r="O334" t="str">
        <x:v>PASS</x:v>
      </x:c>
    </x:row>
    <x:row r="335">
      <x:c r="A335" t="str">
        <x:v>OBS_JVWS_BA86562C24F03538E1A1</x:v>
      </x:c>
      <x:c r="B335" t="str">
        <x:v>72402</x:v>
      </x:c>
      <x:c r="C335" t="str">
        <x:v>Heating, refrigeration and air conditioning mechanics</x:v>
      </x:c>
      <x:c r="D335" t="str">
        <x:v>trade_hvac</x:v>
      </x:c>
      <x:c r="E335" t="str">
        <x:v>Average offered hourly wage</x:v>
      </x:c>
      <x:c r="F335" s="145" t="n">
        <x:v>37.25</x:v>
      </x:c>
      <x:c r="G335" t="str">
        <x:v>Dollars</x:v>
      </x:c>
      <x:c r="H335" s="153" t="n">
        <x:v>43374</x:v>
      </x:c>
      <x:c r="I335" s="153" t="n">
        <x:v>43465</x:v>
      </x:c>
      <x:c r="J335" t="str">
        <x:v>observed</x:v>
      </x:c>
      <x:c r="K335" t="str">
        <x:v>STATCAN_JVWS_14100444</x:v>
      </x:c>
      <x:c r="L335" t="str">
        <x:v>TR_STATCAN_JVWS_AB_NOC_1_0_0</x:v>
      </x:c>
      <x:c r="M335" t="str">
        <x:v>status:B</x:v>
      </x:c>
      <x:c r="N335" t="str">
        <x:v>https://www150.statcan.gc.ca/t1/tbl1/en/tv.action?pid=1410044401</x:v>
      </x:c>
      <x:c r="O335" t="str">
        <x:v>PASS</x:v>
      </x:c>
    </x:row>
    <x:row r="336">
      <x:c r="A336" t="str">
        <x:v>OBS_JVWS_32F0CD86568897D183AF</x:v>
      </x:c>
      <x:c r="B336" t="str">
        <x:v>72402</x:v>
      </x:c>
      <x:c r="C336" t="str">
        <x:v>Heating, refrigeration and air conditioning mechanics</x:v>
      </x:c>
      <x:c r="D336" t="str">
        <x:v>trade_hvac</x:v>
      </x:c>
      <x:c r="E336" t="str">
        <x:v>Job vacancies</x:v>
      </x:c>
      <x:c r="F336" s="145" t="n">
        <x:v>150</x:v>
      </x:c>
      <x:c r="G336" t="str">
        <x:v>Number</x:v>
      </x:c>
      <x:c r="H336" s="153" t="n">
        <x:v>43374</x:v>
      </x:c>
      <x:c r="I336" s="153" t="n">
        <x:v>43465</x:v>
      </x:c>
      <x:c r="J336" t="str">
        <x:v>observed</x:v>
      </x:c>
      <x:c r="K336" t="str">
        <x:v>STATCAN_JVWS_14100444</x:v>
      </x:c>
      <x:c r="L336" t="str">
        <x:v>TR_STATCAN_JVWS_AB_NOC_1_0_0</x:v>
      </x:c>
      <x:c r="M336" t="str">
        <x:v>status:E</x:v>
      </x:c>
      <x:c r="N336" t="str">
        <x:v>https://www150.statcan.gc.ca/t1/tbl1/en/tv.action?pid=1410044401</x:v>
      </x:c>
      <x:c r="O336" t="str">
        <x:v>PASS</x:v>
      </x:c>
    </x:row>
    <x:row r="337">
      <x:c r="A337" t="str">
        <x:v>OBS_JVWS_BD249F71A0591D427A8F</x:v>
      </x:c>
      <x:c r="B337" t="str">
        <x:v>72202</x:v>
      </x:c>
      <x:c r="C337" t="str">
        <x:v>Power system electricians</x:v>
      </x:c>
      <x:c r="D337" t="str">
        <x:v>trade_power_line</x:v>
      </x:c>
      <x:c r="E337" t="str">
        <x:v>Average offered hourly wage</x:v>
      </x:c>
      <x:c r="F337" s="145"/>
      <x:c r="G337" t="str">
        <x:v>Dollars</x:v>
      </x:c>
      <x:c r="H337" s="153" t="n">
        <x:v>43374</x:v>
      </x:c>
      <x:c r="I337" s="153" t="n">
        <x:v>43465</x:v>
      </x:c>
      <x:c r="J337" t="str">
        <x:v>observed</x:v>
      </x:c>
      <x:c r="K337" t="str">
        <x:v>STATCAN_JVWS_14100444</x:v>
      </x:c>
      <x:c r="L337" t="str">
        <x:v>TR_STATCAN_JVWS_AB_NOC_1_0_0</x:v>
      </x:c>
      <x:c r="M337" t="str">
        <x:v>status:F|value_missing_or_suppressed</x:v>
      </x:c>
      <x:c r="N337" t="str">
        <x:v>https://www150.statcan.gc.ca/t1/tbl1/en/tv.action?pid=1410044401</x:v>
      </x:c>
      <x:c r="O337" t="str">
        <x:v>PASS</x:v>
      </x:c>
    </x:row>
    <x:row r="338">
      <x:c r="A338" t="str">
        <x:v>OBS_JVWS_A38A476819E70CB2E639</x:v>
      </x:c>
      <x:c r="B338" t="str">
        <x:v>72202</x:v>
      </x:c>
      <x:c r="C338" t="str">
        <x:v>Power system electricians</x:v>
      </x:c>
      <x:c r="D338" t="str">
        <x:v>trade_power_line</x:v>
      </x:c>
      <x:c r="E338" t="str">
        <x:v>Job vacancies</x:v>
      </x:c>
      <x:c r="F338" s="145"/>
      <x:c r="G338" t="str">
        <x:v>Number</x:v>
      </x:c>
      <x:c r="H338" s="153" t="n">
        <x:v>43374</x:v>
      </x:c>
      <x:c r="I338" s="153" t="n">
        <x:v>43465</x:v>
      </x:c>
      <x:c r="J338" t="str">
        <x:v>observed</x:v>
      </x:c>
      <x:c r="K338" t="str">
        <x:v>STATCAN_JVWS_14100444</x:v>
      </x:c>
      <x:c r="L338" t="str">
        <x:v>TR_STATCAN_JVWS_AB_NOC_1_0_0</x:v>
      </x:c>
      <x:c r="M338" t="str">
        <x:v>status:F|value_missing_or_suppressed</x:v>
      </x:c>
      <x:c r="N338" t="str">
        <x:v>https://www150.statcan.gc.ca/t1/tbl1/en/tv.action?pid=1410044401</x:v>
      </x:c>
      <x:c r="O338" t="str">
        <x:v>PASS</x:v>
      </x:c>
    </x:row>
    <x:row r="339">
      <x:c r="A339" t="str">
        <x:v>OBS_JVWS_FF36F7D036D20EE87F80</x:v>
      </x:c>
      <x:c r="B339" t="str">
        <x:v>72203</x:v>
      </x:c>
      <x:c r="C339" t="str">
        <x:v>Electrical power line and cable workers</x:v>
      </x:c>
      <x:c r="D339" t="str">
        <x:v>trade_power_line</x:v>
      </x:c>
      <x:c r="E339" t="str">
        <x:v>Average offered hourly wage</x:v>
      </x:c>
      <x:c r="F339" s="145"/>
      <x:c r="G339" t="str">
        <x:v>Dollars</x:v>
      </x:c>
      <x:c r="H339" s="153" t="n">
        <x:v>43374</x:v>
      </x:c>
      <x:c r="I339" s="153" t="n">
        <x:v>43465</x:v>
      </x:c>
      <x:c r="J339" t="str">
        <x:v>observed</x:v>
      </x:c>
      <x:c r="K339" t="str">
        <x:v>STATCAN_JVWS_14100444</x:v>
      </x:c>
      <x:c r="L339" t="str">
        <x:v>TR_STATCAN_JVWS_AB_NOC_1_0_0</x:v>
      </x:c>
      <x:c r="M339" t="str">
        <x:v>status:F|value_missing_or_suppressed</x:v>
      </x:c>
      <x:c r="N339" t="str">
        <x:v>https://www150.statcan.gc.ca/t1/tbl1/en/tv.action?pid=1410044401</x:v>
      </x:c>
      <x:c r="O339" t="str">
        <x:v>PASS</x:v>
      </x:c>
    </x:row>
    <x:row r="340">
      <x:c r="A340" t="str">
        <x:v>OBS_JVWS_557C05549E7129B25C1D</x:v>
      </x:c>
      <x:c r="B340" t="str">
        <x:v>72203</x:v>
      </x:c>
      <x:c r="C340" t="str">
        <x:v>Electrical power line and cable workers</x:v>
      </x:c>
      <x:c r="D340" t="str">
        <x:v>trade_power_line</x:v>
      </x:c>
      <x:c r="E340" t="str">
        <x:v>Job vacancies</x:v>
      </x:c>
      <x:c r="F340" s="145"/>
      <x:c r="G340" t="str">
        <x:v>Number</x:v>
      </x:c>
      <x:c r="H340" s="153" t="n">
        <x:v>43374</x:v>
      </x:c>
      <x:c r="I340" s="153" t="n">
        <x:v>43465</x:v>
      </x:c>
      <x:c r="J340" t="str">
        <x:v>observed</x:v>
      </x:c>
      <x:c r="K340" t="str">
        <x:v>STATCAN_JVWS_14100444</x:v>
      </x:c>
      <x:c r="L340" t="str">
        <x:v>TR_STATCAN_JVWS_AB_NOC_1_0_0</x:v>
      </x:c>
      <x:c r="M340" t="str">
        <x:v>status:F|value_missing_or_suppressed</x:v>
      </x:c>
      <x:c r="N340" t="str">
        <x:v>https://www150.statcan.gc.ca/t1/tbl1/en/tv.action?pid=1410044401</x:v>
      </x:c>
      <x:c r="O340" t="str">
        <x:v>PASS</x:v>
      </x:c>
    </x:row>
    <x:row r="341">
      <x:c r="A341" t="str">
        <x:v>OBS_JVWS_DC560C8E75DD78143C89</x:v>
      </x:c>
      <x:c r="B341" t="str">
        <x:v>73100</x:v>
      </x:c>
      <x:c r="C341" t="str">
        <x:v>Concrete finishers</x:v>
      </x:c>
      <x:c r="D341" t="str">
        <x:v>trade_concrete</x:v>
      </x:c>
      <x:c r="E341" t="str">
        <x:v>Average offered hourly wage</x:v>
      </x:c>
      <x:c r="F341" s="145" t="n">
        <x:v>30.2</x:v>
      </x:c>
      <x:c r="G341" t="str">
        <x:v>Dollars</x:v>
      </x:c>
      <x:c r="H341" s="153" t="n">
        <x:v>43282</x:v>
      </x:c>
      <x:c r="I341" s="153" t="n">
        <x:v>43373</x:v>
      </x:c>
      <x:c r="J341" t="str">
        <x:v>observed</x:v>
      </x:c>
      <x:c r="K341" t="str">
        <x:v>STATCAN_JVWS_14100444</x:v>
      </x:c>
      <x:c r="L341" t="str">
        <x:v>TR_STATCAN_JVWS_AB_NOC_1_0_0</x:v>
      </x:c>
      <x:c r="M341" t="str">
        <x:v>status:A</x:v>
      </x:c>
      <x:c r="N341" t="str">
        <x:v>https://www150.statcan.gc.ca/t1/tbl1/en/tv.action?pid=1410044401</x:v>
      </x:c>
      <x:c r="O341" t="str">
        <x:v>PASS</x:v>
      </x:c>
    </x:row>
    <x:row r="342">
      <x:c r="A342" t="str">
        <x:v>OBS_JVWS_C3CB443F8425167CE271</x:v>
      </x:c>
      <x:c r="B342" t="str">
        <x:v>73100</x:v>
      </x:c>
      <x:c r="C342" t="str">
        <x:v>Concrete finishers</x:v>
      </x:c>
      <x:c r="D342" t="str">
        <x:v>trade_concrete</x:v>
      </x:c>
      <x:c r="E342" t="str">
        <x:v>Job vacancies</x:v>
      </x:c>
      <x:c r="F342" s="145" t="n">
        <x:v>105</x:v>
      </x:c>
      <x:c r="G342" t="str">
        <x:v>Number</x:v>
      </x:c>
      <x:c r="H342" s="153" t="n">
        <x:v>43282</x:v>
      </x:c>
      <x:c r="I342" s="153" t="n">
        <x:v>43373</x:v>
      </x:c>
      <x:c r="J342" t="str">
        <x:v>observed</x:v>
      </x:c>
      <x:c r="K342" t="str">
        <x:v>STATCAN_JVWS_14100444</x:v>
      </x:c>
      <x:c r="L342" t="str">
        <x:v>TR_STATCAN_JVWS_AB_NOC_1_0_0</x:v>
      </x:c>
      <x:c r="M342" t="str">
        <x:v>status:E</x:v>
      </x:c>
      <x:c r="N342" t="str">
        <x:v>https://www150.statcan.gc.ca/t1/tbl1/en/tv.action?pid=1410044401</x:v>
      </x:c>
      <x:c r="O342" t="str">
        <x:v>PASS</x:v>
      </x:c>
    </x:row>
    <x:row r="343">
      <x:c r="A343" t="str">
        <x:v>OBS_JVWS_13C24B6548297028784F</x:v>
      </x:c>
      <x:c r="B343" t="str">
        <x:v>72200</x:v>
      </x:c>
      <x:c r="C343" t="str">
        <x:v>Electricians (except industrial and power system)</x:v>
      </x:c>
      <x:c r="D343" t="str">
        <x:v>trade_electricians</x:v>
      </x:c>
      <x:c r="E343" t="str">
        <x:v>Average offered hourly wage</x:v>
      </x:c>
      <x:c r="F343" s="145" t="n">
        <x:v>28.75</x:v>
      </x:c>
      <x:c r="G343" t="str">
        <x:v>Dollars</x:v>
      </x:c>
      <x:c r="H343" s="153" t="n">
        <x:v>43282</x:v>
      </x:c>
      <x:c r="I343" s="153" t="n">
        <x:v>43373</x:v>
      </x:c>
      <x:c r="J343" t="str">
        <x:v>observed</x:v>
      </x:c>
      <x:c r="K343" t="str">
        <x:v>STATCAN_JVWS_14100444</x:v>
      </x:c>
      <x:c r="L343" t="str">
        <x:v>TR_STATCAN_JVWS_AB_NOC_1_0_0</x:v>
      </x:c>
      <x:c r="M343" t="str">
        <x:v>status:B</x:v>
      </x:c>
      <x:c r="N343" t="str">
        <x:v>https://www150.statcan.gc.ca/t1/tbl1/en/tv.action?pid=1410044401</x:v>
      </x:c>
      <x:c r="O343" t="str">
        <x:v>PASS</x:v>
      </x:c>
    </x:row>
    <x:row r="344">
      <x:c r="A344" t="str">
        <x:v>OBS_JVWS_4894BB378AB1ED4962A7</x:v>
      </x:c>
      <x:c r="B344" t="str">
        <x:v>72200</x:v>
      </x:c>
      <x:c r="C344" t="str">
        <x:v>Electricians (except industrial and power system)</x:v>
      </x:c>
      <x:c r="D344" t="str">
        <x:v>trade_electricians</x:v>
      </x:c>
      <x:c r="E344" t="str">
        <x:v>Job vacancies</x:v>
      </x:c>
      <x:c r="F344" s="145" t="n">
        <x:v>420</x:v>
      </x:c>
      <x:c r="G344" t="str">
        <x:v>Number</x:v>
      </x:c>
      <x:c r="H344" s="153" t="n">
        <x:v>43282</x:v>
      </x:c>
      <x:c r="I344" s="153" t="n">
        <x:v>43373</x:v>
      </x:c>
      <x:c r="J344" t="str">
        <x:v>observed</x:v>
      </x:c>
      <x:c r="K344" t="str">
        <x:v>STATCAN_JVWS_14100444</x:v>
      </x:c>
      <x:c r="L344" t="str">
        <x:v>TR_STATCAN_JVWS_AB_NOC_1_0_0</x:v>
      </x:c>
      <x:c r="M344" t="str">
        <x:v>status:D</x:v>
      </x:c>
      <x:c r="N344" t="str">
        <x:v>https://www150.statcan.gc.ca/t1/tbl1/en/tv.action?pid=1410044401</x:v>
      </x:c>
      <x:c r="O344" t="str">
        <x:v>PASS</x:v>
      </x:c>
    </x:row>
    <x:row r="345">
      <x:c r="A345" t="str">
        <x:v>OBS_JVWS_61353A0C95CF9AF841E2</x:v>
      </x:c>
      <x:c r="B345" t="str">
        <x:v>72201</x:v>
      </x:c>
      <x:c r="C345" t="str">
        <x:v>Industrial electricians</x:v>
      </x:c>
      <x:c r="D345" t="str">
        <x:v>trade_electricians</x:v>
      </x:c>
      <x:c r="E345" t="str">
        <x:v>Average offered hourly wage</x:v>
      </x:c>
      <x:c r="F345" s="145" t="n">
        <x:v>36.55</x:v>
      </x:c>
      <x:c r="G345" t="str">
        <x:v>Dollars</x:v>
      </x:c>
      <x:c r="H345" s="153" t="n">
        <x:v>43282</x:v>
      </x:c>
      <x:c r="I345" s="153" t="n">
        <x:v>43373</x:v>
      </x:c>
      <x:c r="J345" t="str">
        <x:v>observed</x:v>
      </x:c>
      <x:c r="K345" t="str">
        <x:v>STATCAN_JVWS_14100444</x:v>
      </x:c>
      <x:c r="L345" t="str">
        <x:v>TR_STATCAN_JVWS_AB_NOC_1_0_0</x:v>
      </x:c>
      <x:c r="M345" t="str">
        <x:v>status:A</x:v>
      </x:c>
      <x:c r="N345" t="str">
        <x:v>https://www150.statcan.gc.ca/t1/tbl1/en/tv.action?pid=1410044401</x:v>
      </x:c>
      <x:c r="O345" t="str">
        <x:v>PASS</x:v>
      </x:c>
    </x:row>
    <x:row r="346">
      <x:c r="A346" t="str">
        <x:v>OBS_JVWS_1547982F15A718C61E97</x:v>
      </x:c>
      <x:c r="B346" t="str">
        <x:v>72201</x:v>
      </x:c>
      <x:c r="C346" t="str">
        <x:v>Industrial electricians</x:v>
      </x:c>
      <x:c r="D346" t="str">
        <x:v>trade_electricians</x:v>
      </x:c>
      <x:c r="E346" t="str">
        <x:v>Job vacancies</x:v>
      </x:c>
      <x:c r="F346" s="145"/>
      <x:c r="G346" t="str">
        <x:v>Number</x:v>
      </x:c>
      <x:c r="H346" s="153" t="n">
        <x:v>43282</x:v>
      </x:c>
      <x:c r="I346" s="153" t="n">
        <x:v>43373</x:v>
      </x:c>
      <x:c r="J346" t="str">
        <x:v>observed</x:v>
      </x:c>
      <x:c r="K346" t="str">
        <x:v>STATCAN_JVWS_14100444</x:v>
      </x:c>
      <x:c r="L346" t="str">
        <x:v>TR_STATCAN_JVWS_AB_NOC_1_0_0</x:v>
      </x:c>
      <x:c r="M346" t="str">
        <x:v>status:F|value_missing_or_suppressed</x:v>
      </x:c>
      <x:c r="N346" t="str">
        <x:v>https://www150.statcan.gc.ca/t1/tbl1/en/tv.action?pid=1410044401</x:v>
      </x:c>
      <x:c r="O346" t="str">
        <x:v>PASS</x:v>
      </x:c>
    </x:row>
    <x:row r="347">
      <x:c r="A347" t="str">
        <x:v>OBS_JVWS_8DF8725AD130584AC70D</x:v>
      </x:c>
      <x:c r="B347" t="str">
        <x:v>72402</x:v>
      </x:c>
      <x:c r="C347" t="str">
        <x:v>Heating, refrigeration and air conditioning mechanics</x:v>
      </x:c>
      <x:c r="D347" t="str">
        <x:v>trade_hvac</x:v>
      </x:c>
      <x:c r="E347" t="str">
        <x:v>Average offered hourly wage</x:v>
      </x:c>
      <x:c r="F347" s="145" t="n">
        <x:v>40.25</x:v>
      </x:c>
      <x:c r="G347" t="str">
        <x:v>Dollars</x:v>
      </x:c>
      <x:c r="H347" s="153" t="n">
        <x:v>43282</x:v>
      </x:c>
      <x:c r="I347" s="153" t="n">
        <x:v>43373</x:v>
      </x:c>
      <x:c r="J347" t="str">
        <x:v>observed</x:v>
      </x:c>
      <x:c r="K347" t="str">
        <x:v>STATCAN_JVWS_14100444</x:v>
      </x:c>
      <x:c r="L347" t="str">
        <x:v>TR_STATCAN_JVWS_AB_NOC_1_0_0</x:v>
      </x:c>
      <x:c r="M347" t="str">
        <x:v>status:B</x:v>
      </x:c>
      <x:c r="N347" t="str">
        <x:v>https://www150.statcan.gc.ca/t1/tbl1/en/tv.action?pid=1410044401</x:v>
      </x:c>
      <x:c r="O347" t="str">
        <x:v>PASS</x:v>
      </x:c>
    </x:row>
    <x:row r="348">
      <x:c r="A348" t="str">
        <x:v>OBS_JVWS_75BAD1A5B1DDBE3A6EBD</x:v>
      </x:c>
      <x:c r="B348" t="str">
        <x:v>72402</x:v>
      </x:c>
      <x:c r="C348" t="str">
        <x:v>Heating, refrigeration and air conditioning mechanics</x:v>
      </x:c>
      <x:c r="D348" t="str">
        <x:v>trade_hvac</x:v>
      </x:c>
      <x:c r="E348" t="str">
        <x:v>Job vacancies</x:v>
      </x:c>
      <x:c r="F348" s="145" t="n">
        <x:v>55</x:v>
      </x:c>
      <x:c r="G348" t="str">
        <x:v>Number</x:v>
      </x:c>
      <x:c r="H348" s="153" t="n">
        <x:v>43282</x:v>
      </x:c>
      <x:c r="I348" s="153" t="n">
        <x:v>43373</x:v>
      </x:c>
      <x:c r="J348" t="str">
        <x:v>observed</x:v>
      </x:c>
      <x:c r="K348" t="str">
        <x:v>STATCAN_JVWS_14100444</x:v>
      </x:c>
      <x:c r="L348" t="str">
        <x:v>TR_STATCAN_JVWS_AB_NOC_1_0_0</x:v>
      </x:c>
      <x:c r="M348" t="str">
        <x:v>status:E</x:v>
      </x:c>
      <x:c r="N348" t="str">
        <x:v>https://www150.statcan.gc.ca/t1/tbl1/en/tv.action?pid=1410044401</x:v>
      </x:c>
      <x:c r="O348" t="str">
        <x:v>PASS</x:v>
      </x:c>
    </x:row>
    <x:row r="349">
      <x:c r="A349" t="str">
        <x:v>OBS_JVWS_074ACC1EDE12773C5E16</x:v>
      </x:c>
      <x:c r="B349" t="str">
        <x:v>72202</x:v>
      </x:c>
      <x:c r="C349" t="str">
        <x:v>Power system electricians</x:v>
      </x:c>
      <x:c r="D349" t="str">
        <x:v>trade_power_line</x:v>
      </x:c>
      <x:c r="E349" t="str">
        <x:v>Average offered hourly wage</x:v>
      </x:c>
      <x:c r="F349" s="145"/>
      <x:c r="G349" t="str">
        <x:v>Dollars</x:v>
      </x:c>
      <x:c r="H349" s="153" t="n">
        <x:v>43282</x:v>
      </x:c>
      <x:c r="I349" s="153" t="n">
        <x:v>43373</x:v>
      </x:c>
      <x:c r="J349" t="str">
        <x:v>observed</x:v>
      </x:c>
      <x:c r="K349" t="str">
        <x:v>STATCAN_JVWS_14100444</x:v>
      </x:c>
      <x:c r="L349" t="str">
        <x:v>TR_STATCAN_JVWS_AB_NOC_1_0_0</x:v>
      </x:c>
      <x:c r="M349" t="str">
        <x:v>status:F|value_missing_or_suppressed</x:v>
      </x:c>
      <x:c r="N349" t="str">
        <x:v>https://www150.statcan.gc.ca/t1/tbl1/en/tv.action?pid=1410044401</x:v>
      </x:c>
      <x:c r="O349" t="str">
        <x:v>PASS</x:v>
      </x:c>
    </x:row>
    <x:row r="350">
      <x:c r="A350" t="str">
        <x:v>OBS_JVWS_5821EEABC9F3CC6E6849</x:v>
      </x:c>
      <x:c r="B350" t="str">
        <x:v>72202</x:v>
      </x:c>
      <x:c r="C350" t="str">
        <x:v>Power system electricians</x:v>
      </x:c>
      <x:c r="D350" t="str">
        <x:v>trade_power_line</x:v>
      </x:c>
      <x:c r="E350" t="str">
        <x:v>Job vacancies</x:v>
      </x:c>
      <x:c r="F350" s="145"/>
      <x:c r="G350" t="str">
        <x:v>Number</x:v>
      </x:c>
      <x:c r="H350" s="153" t="n">
        <x:v>43282</x:v>
      </x:c>
      <x:c r="I350" s="153" t="n">
        <x:v>43373</x:v>
      </x:c>
      <x:c r="J350" t="str">
        <x:v>observed</x:v>
      </x:c>
      <x:c r="K350" t="str">
        <x:v>STATCAN_JVWS_14100444</x:v>
      </x:c>
      <x:c r="L350" t="str">
        <x:v>TR_STATCAN_JVWS_AB_NOC_1_0_0</x:v>
      </x:c>
      <x:c r="M350" t="str">
        <x:v>status:F|value_missing_or_suppressed</x:v>
      </x:c>
      <x:c r="N350" t="str">
        <x:v>https://www150.statcan.gc.ca/t1/tbl1/en/tv.action?pid=1410044401</x:v>
      </x:c>
      <x:c r="O350" t="str">
        <x:v>PASS</x:v>
      </x:c>
    </x:row>
    <x:row r="351">
      <x:c r="A351" t="str">
        <x:v>OBS_JVWS_767F5D8B0CB2817596F5</x:v>
      </x:c>
      <x:c r="B351" t="str">
        <x:v>72203</x:v>
      </x:c>
      <x:c r="C351" t="str">
        <x:v>Electrical power line and cable workers</x:v>
      </x:c>
      <x:c r="D351" t="str">
        <x:v>trade_power_line</x:v>
      </x:c>
      <x:c r="E351" t="str">
        <x:v>Average offered hourly wage</x:v>
      </x:c>
      <x:c r="F351" s="145"/>
      <x:c r="G351" t="str">
        <x:v>Dollars</x:v>
      </x:c>
      <x:c r="H351" s="153" t="n">
        <x:v>43282</x:v>
      </x:c>
      <x:c r="I351" s="153" t="n">
        <x:v>43373</x:v>
      </x:c>
      <x:c r="J351" t="str">
        <x:v>observed</x:v>
      </x:c>
      <x:c r="K351" t="str">
        <x:v>STATCAN_JVWS_14100444</x:v>
      </x:c>
      <x:c r="L351" t="str">
        <x:v>TR_STATCAN_JVWS_AB_NOC_1_0_0</x:v>
      </x:c>
      <x:c r="M351" t="str">
        <x:v>status:F|value_missing_or_suppressed</x:v>
      </x:c>
      <x:c r="N351" t="str">
        <x:v>https://www150.statcan.gc.ca/t1/tbl1/en/tv.action?pid=1410044401</x:v>
      </x:c>
      <x:c r="O351" t="str">
        <x:v>PASS</x:v>
      </x:c>
    </x:row>
    <x:row r="352">
      <x:c r="A352" t="str">
        <x:v>OBS_JVWS_676616CAA0CD88916B2F</x:v>
      </x:c>
      <x:c r="B352" t="str">
        <x:v>72203</x:v>
      </x:c>
      <x:c r="C352" t="str">
        <x:v>Electrical power line and cable workers</x:v>
      </x:c>
      <x:c r="D352" t="str">
        <x:v>trade_power_line</x:v>
      </x:c>
      <x:c r="E352" t="str">
        <x:v>Job vacancies</x:v>
      </x:c>
      <x:c r="F352" s="145"/>
      <x:c r="G352" t="str">
        <x:v>Number</x:v>
      </x:c>
      <x:c r="H352" s="153" t="n">
        <x:v>43282</x:v>
      </x:c>
      <x:c r="I352" s="153" t="n">
        <x:v>43373</x:v>
      </x:c>
      <x:c r="J352" t="str">
        <x:v>observed</x:v>
      </x:c>
      <x:c r="K352" t="str">
        <x:v>STATCAN_JVWS_14100444</x:v>
      </x:c>
      <x:c r="L352" t="str">
        <x:v>TR_STATCAN_JVWS_AB_NOC_1_0_0</x:v>
      </x:c>
      <x:c r="M352" t="str">
        <x:v>status:F|value_missing_or_suppressed</x:v>
      </x:c>
      <x:c r="N352" t="str">
        <x:v>https://www150.statcan.gc.ca/t1/tbl1/en/tv.action?pid=1410044401</x:v>
      </x:c>
      <x:c r="O352" t="str">
        <x:v>PASS</x:v>
      </x:c>
    </x:row>
    <x:row r="353">
      <x:c r="A353" t="str">
        <x:v>OBS_JVWS_B959746D12C02288053F</x:v>
      </x:c>
      <x:c r="B353" t="str">
        <x:v>73100</x:v>
      </x:c>
      <x:c r="C353" t="str">
        <x:v>Concrete finishers</x:v>
      </x:c>
      <x:c r="D353" t="str">
        <x:v>trade_concrete</x:v>
      </x:c>
      <x:c r="E353" t="str">
        <x:v>Average offered hourly wage</x:v>
      </x:c>
      <x:c r="F353" s="145" t="n">
        <x:v>27.45</x:v>
      </x:c>
      <x:c r="G353" t="str">
        <x:v>Dollars</x:v>
      </x:c>
      <x:c r="H353" s="153" t="n">
        <x:v>43191</x:v>
      </x:c>
      <x:c r="I353" s="153" t="n">
        <x:v>43281</x:v>
      </x:c>
      <x:c r="J353" t="str">
        <x:v>observed</x:v>
      </x:c>
      <x:c r="K353" t="str">
        <x:v>STATCAN_JVWS_14100444</x:v>
      </x:c>
      <x:c r="L353" t="str">
        <x:v>TR_STATCAN_JVWS_AB_NOC_1_0_0</x:v>
      </x:c>
      <x:c r="M353" t="str">
        <x:v>status:A</x:v>
      </x:c>
      <x:c r="N353" t="str">
        <x:v>https://www150.statcan.gc.ca/t1/tbl1/en/tv.action?pid=1410044401</x:v>
      </x:c>
      <x:c r="O353" t="str">
        <x:v>PASS</x:v>
      </x:c>
    </x:row>
    <x:row r="354">
      <x:c r="A354" t="str">
        <x:v>OBS_JVWS_5DE8CCF9CBC6BAB97B11</x:v>
      </x:c>
      <x:c r="B354" t="str">
        <x:v>73100</x:v>
      </x:c>
      <x:c r="C354" t="str">
        <x:v>Concrete finishers</x:v>
      </x:c>
      <x:c r="D354" t="str">
        <x:v>trade_concrete</x:v>
      </x:c>
      <x:c r="E354" t="str">
        <x:v>Job vacancies</x:v>
      </x:c>
      <x:c r="F354" s="145" t="n">
        <x:v>305</x:v>
      </x:c>
      <x:c r="G354" t="str">
        <x:v>Number</x:v>
      </x:c>
      <x:c r="H354" s="153" t="n">
        <x:v>43191</x:v>
      </x:c>
      <x:c r="I354" s="153" t="n">
        <x:v>43281</x:v>
      </x:c>
      <x:c r="J354" t="str">
        <x:v>observed</x:v>
      </x:c>
      <x:c r="K354" t="str">
        <x:v>STATCAN_JVWS_14100444</x:v>
      </x:c>
      <x:c r="L354" t="str">
        <x:v>TR_STATCAN_JVWS_AB_NOC_1_0_0</x:v>
      </x:c>
      <x:c r="M354" t="str">
        <x:v>status:E</x:v>
      </x:c>
      <x:c r="N354" t="str">
        <x:v>https://www150.statcan.gc.ca/t1/tbl1/en/tv.action?pid=1410044401</x:v>
      </x:c>
      <x:c r="O354" t="str">
        <x:v>PASS</x:v>
      </x:c>
    </x:row>
    <x:row r="355">
      <x:c r="A355" t="str">
        <x:v>OBS_JVWS_5206EFDABF68666BEF6C</x:v>
      </x:c>
      <x:c r="B355" t="str">
        <x:v>72200</x:v>
      </x:c>
      <x:c r="C355" t="str">
        <x:v>Electricians (except industrial and power system)</x:v>
      </x:c>
      <x:c r="D355" t="str">
        <x:v>trade_electricians</x:v>
      </x:c>
      <x:c r="E355" t="str">
        <x:v>Average offered hourly wage</x:v>
      </x:c>
      <x:c r="F355" s="145" t="n">
        <x:v>23.7</x:v>
      </x:c>
      <x:c r="G355" t="str">
        <x:v>Dollars</x:v>
      </x:c>
      <x:c r="H355" s="153" t="n">
        <x:v>43191</x:v>
      </x:c>
      <x:c r="I355" s="153" t="n">
        <x:v>43281</x:v>
      </x:c>
      <x:c r="J355" t="str">
        <x:v>observed</x:v>
      </x:c>
      <x:c r="K355" t="str">
        <x:v>STATCAN_JVWS_14100444</x:v>
      </x:c>
      <x:c r="L355" t="str">
        <x:v>TR_STATCAN_JVWS_AB_NOC_1_0_0</x:v>
      </x:c>
      <x:c r="M355" t="str">
        <x:v>status:B</x:v>
      </x:c>
      <x:c r="N355" t="str">
        <x:v>https://www150.statcan.gc.ca/t1/tbl1/en/tv.action?pid=1410044401</x:v>
      </x:c>
      <x:c r="O355" t="str">
        <x:v>PASS</x:v>
      </x:c>
    </x:row>
    <x:row r="356">
      <x:c r="A356" t="str">
        <x:v>OBS_JVWS_EC5D86AB3C744180401E</x:v>
      </x:c>
      <x:c r="B356" t="str">
        <x:v>72200</x:v>
      </x:c>
      <x:c r="C356" t="str">
        <x:v>Electricians (except industrial and power system)</x:v>
      </x:c>
      <x:c r="D356" t="str">
        <x:v>trade_electricians</x:v>
      </x:c>
      <x:c r="E356" t="str">
        <x:v>Job vacancies</x:v>
      </x:c>
      <x:c r="F356" s="145"/>
      <x:c r="G356" t="str">
        <x:v>Number</x:v>
      </x:c>
      <x:c r="H356" s="153" t="n">
        <x:v>43191</x:v>
      </x:c>
      <x:c r="I356" s="153" t="n">
        <x:v>43281</x:v>
      </x:c>
      <x:c r="J356" t="str">
        <x:v>observed</x:v>
      </x:c>
      <x:c r="K356" t="str">
        <x:v>STATCAN_JVWS_14100444</x:v>
      </x:c>
      <x:c r="L356" t="str">
        <x:v>TR_STATCAN_JVWS_AB_NOC_1_0_0</x:v>
      </x:c>
      <x:c r="M356" t="str">
        <x:v>status:F|value_missing_or_suppressed</x:v>
      </x:c>
      <x:c r="N356" t="str">
        <x:v>https://www150.statcan.gc.ca/t1/tbl1/en/tv.action?pid=1410044401</x:v>
      </x:c>
      <x:c r="O356" t="str">
        <x:v>PASS</x:v>
      </x:c>
    </x:row>
    <x:row r="357">
      <x:c r="A357" t="str">
        <x:v>OBS_JVWS_A4DC6921F6C39ED6E2A0</x:v>
      </x:c>
      <x:c r="B357" t="str">
        <x:v>72201</x:v>
      </x:c>
      <x:c r="C357" t="str">
        <x:v>Industrial electricians</x:v>
      </x:c>
      <x:c r="D357" t="str">
        <x:v>trade_electricians</x:v>
      </x:c>
      <x:c r="E357" t="str">
        <x:v>Average offered hourly wage</x:v>
      </x:c>
      <x:c r="F357" s="145" t="n">
        <x:v>37.2</x:v>
      </x:c>
      <x:c r="G357" t="str">
        <x:v>Dollars</x:v>
      </x:c>
      <x:c r="H357" s="153" t="n">
        <x:v>43191</x:v>
      </x:c>
      <x:c r="I357" s="153" t="n">
        <x:v>43281</x:v>
      </x:c>
      <x:c r="J357" t="str">
        <x:v>observed</x:v>
      </x:c>
      <x:c r="K357" t="str">
        <x:v>STATCAN_JVWS_14100444</x:v>
      </x:c>
      <x:c r="L357" t="str">
        <x:v>TR_STATCAN_JVWS_AB_NOC_1_0_0</x:v>
      </x:c>
      <x:c r="M357" t="str">
        <x:v>status:A</x:v>
      </x:c>
      <x:c r="N357" t="str">
        <x:v>https://www150.statcan.gc.ca/t1/tbl1/en/tv.action?pid=1410044401</x:v>
      </x:c>
      <x:c r="O357" t="str">
        <x:v>PASS</x:v>
      </x:c>
    </x:row>
    <x:row r="358">
      <x:c r="A358" t="str">
        <x:v>OBS_JVWS_E7419CEA112A8BAA7E23</x:v>
      </x:c>
      <x:c r="B358" t="str">
        <x:v>72201</x:v>
      </x:c>
      <x:c r="C358" t="str">
        <x:v>Industrial electricians</x:v>
      </x:c>
      <x:c r="D358" t="str">
        <x:v>trade_electricians</x:v>
      </x:c>
      <x:c r="E358" t="str">
        <x:v>Job vacancies</x:v>
      </x:c>
      <x:c r="F358" s="145"/>
      <x:c r="G358" t="str">
        <x:v>Number</x:v>
      </x:c>
      <x:c r="H358" s="153" t="n">
        <x:v>43191</x:v>
      </x:c>
      <x:c r="I358" s="153" t="n">
        <x:v>43281</x:v>
      </x:c>
      <x:c r="J358" t="str">
        <x:v>observed</x:v>
      </x:c>
      <x:c r="K358" t="str">
        <x:v>STATCAN_JVWS_14100444</x:v>
      </x:c>
      <x:c r="L358" t="str">
        <x:v>TR_STATCAN_JVWS_AB_NOC_1_0_0</x:v>
      </x:c>
      <x:c r="M358" t="str">
        <x:v>status:F|value_missing_or_suppressed</x:v>
      </x:c>
      <x:c r="N358" t="str">
        <x:v>https://www150.statcan.gc.ca/t1/tbl1/en/tv.action?pid=1410044401</x:v>
      </x:c>
      <x:c r="O358" t="str">
        <x:v>PASS</x:v>
      </x:c>
    </x:row>
    <x:row r="359">
      <x:c r="A359" t="str">
        <x:v>OBS_JVWS_F1DB30136F8DD5FF1161</x:v>
      </x:c>
      <x:c r="B359" t="str">
        <x:v>72402</x:v>
      </x:c>
      <x:c r="C359" t="str">
        <x:v>Heating, refrigeration and air conditioning mechanics</x:v>
      </x:c>
      <x:c r="D359" t="str">
        <x:v>trade_hvac</x:v>
      </x:c>
      <x:c r="E359" t="str">
        <x:v>Average offered hourly wage</x:v>
      </x:c>
      <x:c r="F359" s="145" t="n">
        <x:v>32.35</x:v>
      </x:c>
      <x:c r="G359" t="str">
        <x:v>Dollars</x:v>
      </x:c>
      <x:c r="H359" s="153" t="n">
        <x:v>43191</x:v>
      </x:c>
      <x:c r="I359" s="153" t="n">
        <x:v>43281</x:v>
      </x:c>
      <x:c r="J359" t="str">
        <x:v>observed</x:v>
      </x:c>
      <x:c r="K359" t="str">
        <x:v>STATCAN_JVWS_14100444</x:v>
      </x:c>
      <x:c r="L359" t="str">
        <x:v>TR_STATCAN_JVWS_AB_NOC_1_0_0</x:v>
      </x:c>
      <x:c r="M359" t="str">
        <x:v>status:B</x:v>
      </x:c>
      <x:c r="N359" t="str">
        <x:v>https://www150.statcan.gc.ca/t1/tbl1/en/tv.action?pid=1410044401</x:v>
      </x:c>
      <x:c r="O359" t="str">
        <x:v>PASS</x:v>
      </x:c>
    </x:row>
    <x:row r="360">
      <x:c r="A360" t="str">
        <x:v>OBS_JVWS_9F16161462F3C2114483</x:v>
      </x:c>
      <x:c r="B360" t="str">
        <x:v>72402</x:v>
      </x:c>
      <x:c r="C360" t="str">
        <x:v>Heating, refrigeration and air conditioning mechanics</x:v>
      </x:c>
      <x:c r="D360" t="str">
        <x:v>trade_hvac</x:v>
      </x:c>
      <x:c r="E360" t="str">
        <x:v>Job vacancies</x:v>
      </x:c>
      <x:c r="F360" s="145" t="n">
        <x:v>35</x:v>
      </x:c>
      <x:c r="G360" t="str">
        <x:v>Number</x:v>
      </x:c>
      <x:c r="H360" s="153" t="n">
        <x:v>43191</x:v>
      </x:c>
      <x:c r="I360" s="153" t="n">
        <x:v>43281</x:v>
      </x:c>
      <x:c r="J360" t="str">
        <x:v>observed</x:v>
      </x:c>
      <x:c r="K360" t="str">
        <x:v>STATCAN_JVWS_14100444</x:v>
      </x:c>
      <x:c r="L360" t="str">
        <x:v>TR_STATCAN_JVWS_AB_NOC_1_0_0</x:v>
      </x:c>
      <x:c r="M360" t="str">
        <x:v>status:E</x:v>
      </x:c>
      <x:c r="N360" t="str">
        <x:v>https://www150.statcan.gc.ca/t1/tbl1/en/tv.action?pid=1410044401</x:v>
      </x:c>
      <x:c r="O360" t="str">
        <x:v>PASS</x:v>
      </x:c>
    </x:row>
    <x:row r="361">
      <x:c r="A361" t="str">
        <x:v>OBS_JVWS_D036346DF0B761589E09</x:v>
      </x:c>
      <x:c r="B361" t="str">
        <x:v>72202</x:v>
      </x:c>
      <x:c r="C361" t="str">
        <x:v>Power system electricians</x:v>
      </x:c>
      <x:c r="D361" t="str">
        <x:v>trade_power_line</x:v>
      </x:c>
      <x:c r="E361" t="str">
        <x:v>Average offered hourly wage</x:v>
      </x:c>
      <x:c r="F361" s="145"/>
      <x:c r="G361" t="str">
        <x:v>Dollars</x:v>
      </x:c>
      <x:c r="H361" s="153" t="n">
        <x:v>43191</x:v>
      </x:c>
      <x:c r="I361" s="153" t="n">
        <x:v>43281</x:v>
      </x:c>
      <x:c r="J361" t="str">
        <x:v>observed</x:v>
      </x:c>
      <x:c r="K361" t="str">
        <x:v>STATCAN_JVWS_14100444</x:v>
      </x:c>
      <x:c r="L361" t="str">
        <x:v>TR_STATCAN_JVWS_AB_NOC_1_0_0</x:v>
      </x:c>
      <x:c r="M361" t="str">
        <x:v>status:F|value_missing_or_suppressed</x:v>
      </x:c>
      <x:c r="N361" t="str">
        <x:v>https://www150.statcan.gc.ca/t1/tbl1/en/tv.action?pid=1410044401</x:v>
      </x:c>
      <x:c r="O361" t="str">
        <x:v>PASS</x:v>
      </x:c>
    </x:row>
    <x:row r="362">
      <x:c r="A362" t="str">
        <x:v>OBS_JVWS_8BC43ABBADB20FBDCAE1</x:v>
      </x:c>
      <x:c r="B362" t="str">
        <x:v>72202</x:v>
      </x:c>
      <x:c r="C362" t="str">
        <x:v>Power system electricians</x:v>
      </x:c>
      <x:c r="D362" t="str">
        <x:v>trade_power_line</x:v>
      </x:c>
      <x:c r="E362" t="str">
        <x:v>Job vacancies</x:v>
      </x:c>
      <x:c r="F362" s="145"/>
      <x:c r="G362" t="str">
        <x:v>Number</x:v>
      </x:c>
      <x:c r="H362" s="153" t="n">
        <x:v>43191</x:v>
      </x:c>
      <x:c r="I362" s="153" t="n">
        <x:v>43281</x:v>
      </x:c>
      <x:c r="J362" t="str">
        <x:v>observed</x:v>
      </x:c>
      <x:c r="K362" t="str">
        <x:v>STATCAN_JVWS_14100444</x:v>
      </x:c>
      <x:c r="L362" t="str">
        <x:v>TR_STATCAN_JVWS_AB_NOC_1_0_0</x:v>
      </x:c>
      <x:c r="M362" t="str">
        <x:v>status:F|value_missing_or_suppressed</x:v>
      </x:c>
      <x:c r="N362" t="str">
        <x:v>https://www150.statcan.gc.ca/t1/tbl1/en/tv.action?pid=1410044401</x:v>
      </x:c>
      <x:c r="O362" t="str">
        <x:v>PASS</x:v>
      </x:c>
    </x:row>
    <x:row r="363">
      <x:c r="A363" t="str">
        <x:v>OBS_JVWS_238E24DC23FA1171A7FE</x:v>
      </x:c>
      <x:c r="B363" t="str">
        <x:v>72203</x:v>
      </x:c>
      <x:c r="C363" t="str">
        <x:v>Electrical power line and cable workers</x:v>
      </x:c>
      <x:c r="D363" t="str">
        <x:v>trade_power_line</x:v>
      </x:c>
      <x:c r="E363" t="str">
        <x:v>Average offered hourly wage</x:v>
      </x:c>
      <x:c r="F363" s="145"/>
      <x:c r="G363" t="str">
        <x:v>Dollars</x:v>
      </x:c>
      <x:c r="H363" s="153" t="n">
        <x:v>43191</x:v>
      </x:c>
      <x:c r="I363" s="153" t="n">
        <x:v>43281</x:v>
      </x:c>
      <x:c r="J363" t="str">
        <x:v>observed</x:v>
      </x:c>
      <x:c r="K363" t="str">
        <x:v>STATCAN_JVWS_14100444</x:v>
      </x:c>
      <x:c r="L363" t="str">
        <x:v>TR_STATCAN_JVWS_AB_NOC_1_0_0</x:v>
      </x:c>
      <x:c r="M363" t="str">
        <x:v>status:..|value_missing_or_suppressed</x:v>
      </x:c>
      <x:c r="N363" t="str">
        <x:v>https://www150.statcan.gc.ca/t1/tbl1/en/tv.action?pid=1410044401</x:v>
      </x:c>
      <x:c r="O363" t="str">
        <x:v>PASS</x:v>
      </x:c>
    </x:row>
    <x:row r="364">
      <x:c r="A364" t="str">
        <x:v>OBS_JVWS_E77B12546694BAAEC3F6</x:v>
      </x:c>
      <x:c r="B364" t="str">
        <x:v>72203</x:v>
      </x:c>
      <x:c r="C364" t="str">
        <x:v>Electrical power line and cable workers</x:v>
      </x:c>
      <x:c r="D364" t="str">
        <x:v>trade_power_line</x:v>
      </x:c>
      <x:c r="E364" t="str">
        <x:v>Job vacancies</x:v>
      </x:c>
      <x:c r="F364" s="145"/>
      <x:c r="G364" t="str">
        <x:v>Number</x:v>
      </x:c>
      <x:c r="H364" s="153" t="n">
        <x:v>43191</x:v>
      </x:c>
      <x:c r="I364" s="153" t="n">
        <x:v>43281</x:v>
      </x:c>
      <x:c r="J364" t="str">
        <x:v>observed</x:v>
      </x:c>
      <x:c r="K364" t="str">
        <x:v>STATCAN_JVWS_14100444</x:v>
      </x:c>
      <x:c r="L364" t="str">
        <x:v>TR_STATCAN_JVWS_AB_NOC_1_0_0</x:v>
      </x:c>
      <x:c r="M364" t="str">
        <x:v>status:..|value_missing_or_suppressed</x:v>
      </x:c>
      <x:c r="N364" t="str">
        <x:v>https://www150.statcan.gc.ca/t1/tbl1/en/tv.action?pid=1410044401</x:v>
      </x:c>
      <x:c r="O364" t="str">
        <x:v>PASS</x:v>
      </x:c>
    </x:row>
    <x:row r="365">
      <x:c r="A365" t="str">
        <x:v>OBS_JVWS_C78991FAD30BDC45FC6F</x:v>
      </x:c>
      <x:c r="B365" t="str">
        <x:v>73100</x:v>
      </x:c>
      <x:c r="C365" t="str">
        <x:v>Concrete finishers</x:v>
      </x:c>
      <x:c r="D365" t="str">
        <x:v>trade_concrete</x:v>
      </x:c>
      <x:c r="E365" t="str">
        <x:v>Average offered hourly wage</x:v>
      </x:c>
      <x:c r="F365" s="145" t="n">
        <x:v>29.1</x:v>
      </x:c>
      <x:c r="G365" t="str">
        <x:v>Dollars</x:v>
      </x:c>
      <x:c r="H365" s="153" t="n">
        <x:v>43101</x:v>
      </x:c>
      <x:c r="I365" s="153" t="n">
        <x:v>43190</x:v>
      </x:c>
      <x:c r="J365" t="str">
        <x:v>observed</x:v>
      </x:c>
      <x:c r="K365" t="str">
        <x:v>STATCAN_JVWS_14100444</x:v>
      </x:c>
      <x:c r="L365" t="str">
        <x:v>TR_STATCAN_JVWS_AB_NOC_1_0_0</x:v>
      </x:c>
      <x:c r="M365" t="str">
        <x:v>status:A</x:v>
      </x:c>
      <x:c r="N365" t="str">
        <x:v>https://www150.statcan.gc.ca/t1/tbl1/en/tv.action?pid=1410044401</x:v>
      </x:c>
      <x:c r="O365" t="str">
        <x:v>PASS</x:v>
      </x:c>
    </x:row>
    <x:row r="366">
      <x:c r="A366" t="str">
        <x:v>OBS_JVWS_011B87F58F6E23660709</x:v>
      </x:c>
      <x:c r="B366" t="str">
        <x:v>73100</x:v>
      </x:c>
      <x:c r="C366" t="str">
        <x:v>Concrete finishers</x:v>
      </x:c>
      <x:c r="D366" t="str">
        <x:v>trade_concrete</x:v>
      </x:c>
      <x:c r="E366" t="str">
        <x:v>Job vacancies</x:v>
      </x:c>
      <x:c r="F366" s="145"/>
      <x:c r="G366" t="str">
        <x:v>Number</x:v>
      </x:c>
      <x:c r="H366" s="153" t="n">
        <x:v>43101</x:v>
      </x:c>
      <x:c r="I366" s="153" t="n">
        <x:v>43190</x:v>
      </x:c>
      <x:c r="J366" t="str">
        <x:v>observed</x:v>
      </x:c>
      <x:c r="K366" t="str">
        <x:v>STATCAN_JVWS_14100444</x:v>
      </x:c>
      <x:c r="L366" t="str">
        <x:v>TR_STATCAN_JVWS_AB_NOC_1_0_0</x:v>
      </x:c>
      <x:c r="M366" t="str">
        <x:v>status:F|value_missing_or_suppressed</x:v>
      </x:c>
      <x:c r="N366" t="str">
        <x:v>https://www150.statcan.gc.ca/t1/tbl1/en/tv.action?pid=1410044401</x:v>
      </x:c>
      <x:c r="O366" t="str">
        <x:v>PASS</x:v>
      </x:c>
    </x:row>
    <x:row r="367">
      <x:c r="A367" t="str">
        <x:v>OBS_JVWS_54A3CF92B0A194AE82B4</x:v>
      </x:c>
      <x:c r="B367" t="str">
        <x:v>72200</x:v>
      </x:c>
      <x:c r="C367" t="str">
        <x:v>Electricians (except industrial and power system)</x:v>
      </x:c>
      <x:c r="D367" t="str">
        <x:v>trade_electricians</x:v>
      </x:c>
      <x:c r="E367" t="str">
        <x:v>Average offered hourly wage</x:v>
      </x:c>
      <x:c r="F367" s="145" t="n">
        <x:v>26.45</x:v>
      </x:c>
      <x:c r="G367" t="str">
        <x:v>Dollars</x:v>
      </x:c>
      <x:c r="H367" s="153" t="n">
        <x:v>43101</x:v>
      </x:c>
      <x:c r="I367" s="153" t="n">
        <x:v>43190</x:v>
      </x:c>
      <x:c r="J367" t="str">
        <x:v>observed</x:v>
      </x:c>
      <x:c r="K367" t="str">
        <x:v>STATCAN_JVWS_14100444</x:v>
      </x:c>
      <x:c r="L367" t="str">
        <x:v>TR_STATCAN_JVWS_AB_NOC_1_0_0</x:v>
      </x:c>
      <x:c r="M367" t="str">
        <x:v>status:B</x:v>
      </x:c>
      <x:c r="N367" t="str">
        <x:v>https://www150.statcan.gc.ca/t1/tbl1/en/tv.action?pid=1410044401</x:v>
      </x:c>
      <x:c r="O367" t="str">
        <x:v>PASS</x:v>
      </x:c>
    </x:row>
    <x:row r="368">
      <x:c r="A368" t="str">
        <x:v>OBS_JVWS_623275334A516697383A</x:v>
      </x:c>
      <x:c r="B368" t="str">
        <x:v>72200</x:v>
      </x:c>
      <x:c r="C368" t="str">
        <x:v>Electricians (except industrial and power system)</x:v>
      </x:c>
      <x:c r="D368" t="str">
        <x:v>trade_electricians</x:v>
      </x:c>
      <x:c r="E368" t="str">
        <x:v>Job vacancies</x:v>
      </x:c>
      <x:c r="F368" s="145"/>
      <x:c r="G368" t="str">
        <x:v>Number</x:v>
      </x:c>
      <x:c r="H368" s="153" t="n">
        <x:v>43101</x:v>
      </x:c>
      <x:c r="I368" s="153" t="n">
        <x:v>43190</x:v>
      </x:c>
      <x:c r="J368" t="str">
        <x:v>observed</x:v>
      </x:c>
      <x:c r="K368" t="str">
        <x:v>STATCAN_JVWS_14100444</x:v>
      </x:c>
      <x:c r="L368" t="str">
        <x:v>TR_STATCAN_JVWS_AB_NOC_1_0_0</x:v>
      </x:c>
      <x:c r="M368" t="str">
        <x:v>status:F|value_missing_or_suppressed</x:v>
      </x:c>
      <x:c r="N368" t="str">
        <x:v>https://www150.statcan.gc.ca/t1/tbl1/en/tv.action?pid=1410044401</x:v>
      </x:c>
      <x:c r="O368" t="str">
        <x:v>PASS</x:v>
      </x:c>
    </x:row>
    <x:row r="369">
      <x:c r="A369" t="str">
        <x:v>OBS_JVWS_AEF899ECAF46ACEE24FC</x:v>
      </x:c>
      <x:c r="B369" t="str">
        <x:v>72201</x:v>
      </x:c>
      <x:c r="C369" t="str">
        <x:v>Industrial electricians</x:v>
      </x:c>
      <x:c r="D369" t="str">
        <x:v>trade_electricians</x:v>
      </x:c>
      <x:c r="E369" t="str">
        <x:v>Average offered hourly wage</x:v>
      </x:c>
      <x:c r="F369" s="145" t="n">
        <x:v>36.4</x:v>
      </x:c>
      <x:c r="G369" t="str">
        <x:v>Dollars</x:v>
      </x:c>
      <x:c r="H369" s="153" t="n">
        <x:v>43101</x:v>
      </x:c>
      <x:c r="I369" s="153" t="n">
        <x:v>43190</x:v>
      </x:c>
      <x:c r="J369" t="str">
        <x:v>observed</x:v>
      </x:c>
      <x:c r="K369" t="str">
        <x:v>STATCAN_JVWS_14100444</x:v>
      </x:c>
      <x:c r="L369" t="str">
        <x:v>TR_STATCAN_JVWS_AB_NOC_1_0_0</x:v>
      </x:c>
      <x:c r="M369" t="str">
        <x:v>status:A</x:v>
      </x:c>
      <x:c r="N369" t="str">
        <x:v>https://www150.statcan.gc.ca/t1/tbl1/en/tv.action?pid=1410044401</x:v>
      </x:c>
      <x:c r="O369" t="str">
        <x:v>PASS</x:v>
      </x:c>
    </x:row>
    <x:row r="370">
      <x:c r="A370" t="str">
        <x:v>OBS_JVWS_464E7CCAD83A71ED86E8</x:v>
      </x:c>
      <x:c r="B370" t="str">
        <x:v>72201</x:v>
      </x:c>
      <x:c r="C370" t="str">
        <x:v>Industrial electricians</x:v>
      </x:c>
      <x:c r="D370" t="str">
        <x:v>trade_electricians</x:v>
      </x:c>
      <x:c r="E370" t="str">
        <x:v>Job vacancies</x:v>
      </x:c>
      <x:c r="F370" s="145" t="n">
        <x:v>75</x:v>
      </x:c>
      <x:c r="G370" t="str">
        <x:v>Number</x:v>
      </x:c>
      <x:c r="H370" s="153" t="n">
        <x:v>43101</x:v>
      </x:c>
      <x:c r="I370" s="153" t="n">
        <x:v>43190</x:v>
      </x:c>
      <x:c r="J370" t="str">
        <x:v>observed</x:v>
      </x:c>
      <x:c r="K370" t="str">
        <x:v>STATCAN_JVWS_14100444</x:v>
      </x:c>
      <x:c r="L370" t="str">
        <x:v>TR_STATCAN_JVWS_AB_NOC_1_0_0</x:v>
      </x:c>
      <x:c r="M370" t="str">
        <x:v>status:C</x:v>
      </x:c>
      <x:c r="N370" t="str">
        <x:v>https://www150.statcan.gc.ca/t1/tbl1/en/tv.action?pid=1410044401</x:v>
      </x:c>
      <x:c r="O370" t="str">
        <x:v>PASS</x:v>
      </x:c>
    </x:row>
    <x:row r="371">
      <x:c r="A371" t="str">
        <x:v>OBS_JVWS_5C055FF7F6FDECF687E7</x:v>
      </x:c>
      <x:c r="B371" t="str">
        <x:v>72402</x:v>
      </x:c>
      <x:c r="C371" t="str">
        <x:v>Heating, refrigeration and air conditioning mechanics</x:v>
      </x:c>
      <x:c r="D371" t="str">
        <x:v>trade_hvac</x:v>
      </x:c>
      <x:c r="E371" t="str">
        <x:v>Average offered hourly wage</x:v>
      </x:c>
      <x:c r="F371" s="145" t="n">
        <x:v>25.65</x:v>
      </x:c>
      <x:c r="G371" t="str">
        <x:v>Dollars</x:v>
      </x:c>
      <x:c r="H371" s="153" t="n">
        <x:v>43101</x:v>
      </x:c>
      <x:c r="I371" s="153" t="n">
        <x:v>43190</x:v>
      </x:c>
      <x:c r="J371" t="str">
        <x:v>observed</x:v>
      </x:c>
      <x:c r="K371" t="str">
        <x:v>STATCAN_JVWS_14100444</x:v>
      </x:c>
      <x:c r="L371" t="str">
        <x:v>TR_STATCAN_JVWS_AB_NOC_1_0_0</x:v>
      </x:c>
      <x:c r="M371" t="str">
        <x:v>status:D</x:v>
      </x:c>
      <x:c r="N371" t="str">
        <x:v>https://www150.statcan.gc.ca/t1/tbl1/en/tv.action?pid=1410044401</x:v>
      </x:c>
      <x:c r="O371" t="str">
        <x:v>PASS</x:v>
      </x:c>
    </x:row>
    <x:row r="372">
      <x:c r="A372" t="str">
        <x:v>OBS_JVWS_C5748D6D4A901D0EFAA3</x:v>
      </x:c>
      <x:c r="B372" t="str">
        <x:v>72402</x:v>
      </x:c>
      <x:c r="C372" t="str">
        <x:v>Heating, refrigeration and air conditioning mechanics</x:v>
      </x:c>
      <x:c r="D372" t="str">
        <x:v>trade_hvac</x:v>
      </x:c>
      <x:c r="E372" t="str">
        <x:v>Job vacancies</x:v>
      </x:c>
      <x:c r="F372" s="145"/>
      <x:c r="G372" t="str">
        <x:v>Number</x:v>
      </x:c>
      <x:c r="H372" s="153" t="n">
        <x:v>43101</x:v>
      </x:c>
      <x:c r="I372" s="153" t="n">
        <x:v>43190</x:v>
      </x:c>
      <x:c r="J372" t="str">
        <x:v>observed</x:v>
      </x:c>
      <x:c r="K372" t="str">
        <x:v>STATCAN_JVWS_14100444</x:v>
      </x:c>
      <x:c r="L372" t="str">
        <x:v>TR_STATCAN_JVWS_AB_NOC_1_0_0</x:v>
      </x:c>
      <x:c r="M372" t="str">
        <x:v>status:F|value_missing_or_suppressed</x:v>
      </x:c>
      <x:c r="N372" t="str">
        <x:v>https://www150.statcan.gc.ca/t1/tbl1/en/tv.action?pid=1410044401</x:v>
      </x:c>
      <x:c r="O372" t="str">
        <x:v>PASS</x:v>
      </x:c>
    </x:row>
    <x:row r="373">
      <x:c r="A373" t="str">
        <x:v>OBS_JVWS_69A0D8B5DD848C50F0B9</x:v>
      </x:c>
      <x:c r="B373" t="str">
        <x:v>72202</x:v>
      </x:c>
      <x:c r="C373" t="str">
        <x:v>Power system electricians</x:v>
      </x:c>
      <x:c r="D373" t="str">
        <x:v>trade_power_line</x:v>
      </x:c>
      <x:c r="E373" t="str">
        <x:v>Average offered hourly wage</x:v>
      </x:c>
      <x:c r="F373" s="145"/>
      <x:c r="G373" t="str">
        <x:v>Dollars</x:v>
      </x:c>
      <x:c r="H373" s="153" t="n">
        <x:v>43101</x:v>
      </x:c>
      <x:c r="I373" s="153" t="n">
        <x:v>43190</x:v>
      </x:c>
      <x:c r="J373" t="str">
        <x:v>observed</x:v>
      </x:c>
      <x:c r="K373" t="str">
        <x:v>STATCAN_JVWS_14100444</x:v>
      </x:c>
      <x:c r="L373" t="str">
        <x:v>TR_STATCAN_JVWS_AB_NOC_1_0_0</x:v>
      </x:c>
      <x:c r="M373" t="str">
        <x:v>status:..|value_missing_or_suppressed</x:v>
      </x:c>
      <x:c r="N373" t="str">
        <x:v>https://www150.statcan.gc.ca/t1/tbl1/en/tv.action?pid=1410044401</x:v>
      </x:c>
      <x:c r="O373" t="str">
        <x:v>PASS</x:v>
      </x:c>
    </x:row>
    <x:row r="374">
      <x:c r="A374" t="str">
        <x:v>OBS_JVWS_6BDB1B25FB00717569C6</x:v>
      </x:c>
      <x:c r="B374" t="str">
        <x:v>72202</x:v>
      </x:c>
      <x:c r="C374" t="str">
        <x:v>Power system electricians</x:v>
      </x:c>
      <x:c r="D374" t="str">
        <x:v>trade_power_line</x:v>
      </x:c>
      <x:c r="E374" t="str">
        <x:v>Job vacancies</x:v>
      </x:c>
      <x:c r="F374" s="145"/>
      <x:c r="G374" t="str">
        <x:v>Number</x:v>
      </x:c>
      <x:c r="H374" s="153" t="n">
        <x:v>43101</x:v>
      </x:c>
      <x:c r="I374" s="153" t="n">
        <x:v>43190</x:v>
      </x:c>
      <x:c r="J374" t="str">
        <x:v>observed</x:v>
      </x:c>
      <x:c r="K374" t="str">
        <x:v>STATCAN_JVWS_14100444</x:v>
      </x:c>
      <x:c r="L374" t="str">
        <x:v>TR_STATCAN_JVWS_AB_NOC_1_0_0</x:v>
      </x:c>
      <x:c r="M374" t="str">
        <x:v>status:..|value_missing_or_suppressed</x:v>
      </x:c>
      <x:c r="N374" t="str">
        <x:v>https://www150.statcan.gc.ca/t1/tbl1/en/tv.action?pid=1410044401</x:v>
      </x:c>
      <x:c r="O374" t="str">
        <x:v>PASS</x:v>
      </x:c>
    </x:row>
    <x:row r="375">
      <x:c r="A375" t="str">
        <x:v>OBS_JVWS_AEC963E3AE8176FFF9B5</x:v>
      </x:c>
      <x:c r="B375" t="str">
        <x:v>72203</x:v>
      </x:c>
      <x:c r="C375" t="str">
        <x:v>Electrical power line and cable workers</x:v>
      </x:c>
      <x:c r="D375" t="str">
        <x:v>trade_power_line</x:v>
      </x:c>
      <x:c r="E375" t="str">
        <x:v>Average offered hourly wage</x:v>
      </x:c>
      <x:c r="F375" s="145"/>
      <x:c r="G375" t="str">
        <x:v>Dollars</x:v>
      </x:c>
      <x:c r="H375" s="153" t="n">
        <x:v>43101</x:v>
      </x:c>
      <x:c r="I375" s="153" t="n">
        <x:v>43190</x:v>
      </x:c>
      <x:c r="J375" t="str">
        <x:v>observed</x:v>
      </x:c>
      <x:c r="K375" t="str">
        <x:v>STATCAN_JVWS_14100444</x:v>
      </x:c>
      <x:c r="L375" t="str">
        <x:v>TR_STATCAN_JVWS_AB_NOC_1_0_0</x:v>
      </x:c>
      <x:c r="M375" t="str">
        <x:v>status:F|value_missing_or_suppressed</x:v>
      </x:c>
      <x:c r="N375" t="str">
        <x:v>https://www150.statcan.gc.ca/t1/tbl1/en/tv.action?pid=1410044401</x:v>
      </x:c>
      <x:c r="O375" t="str">
        <x:v>PASS</x:v>
      </x:c>
    </x:row>
    <x:row r="376">
      <x:c r="A376" t="str">
        <x:v>OBS_JVWS_78F3373BC5DF7A425C99</x:v>
      </x:c>
      <x:c r="B376" t="str">
        <x:v>72203</x:v>
      </x:c>
      <x:c r="C376" t="str">
        <x:v>Electrical power line and cable workers</x:v>
      </x:c>
      <x:c r="D376" t="str">
        <x:v>trade_power_line</x:v>
      </x:c>
      <x:c r="E376" t="str">
        <x:v>Job vacancies</x:v>
      </x:c>
      <x:c r="F376" s="145"/>
      <x:c r="G376" t="str">
        <x:v>Number</x:v>
      </x:c>
      <x:c r="H376" s="153" t="n">
        <x:v>43101</x:v>
      </x:c>
      <x:c r="I376" s="153" t="n">
        <x:v>43190</x:v>
      </x:c>
      <x:c r="J376" t="str">
        <x:v>observed</x:v>
      </x:c>
      <x:c r="K376" t="str">
        <x:v>STATCAN_JVWS_14100444</x:v>
      </x:c>
      <x:c r="L376" t="str">
        <x:v>TR_STATCAN_JVWS_AB_NOC_1_0_0</x:v>
      </x:c>
      <x:c r="M376" t="str">
        <x:v>status:F|value_missing_or_suppressed</x:v>
      </x:c>
      <x:c r="N376" t="str">
        <x:v>https://www150.statcan.gc.ca/t1/tbl1/en/tv.action?pid=1410044401</x:v>
      </x:c>
      <x:c r="O376" t="str">
        <x:v>PASS</x:v>
      </x:c>
    </x:row>
    <x:row r="377">
      <x:c r="A377" t="str">
        <x:v>OBS_JVWS_B18A193632B54D0894F0</x:v>
      </x:c>
      <x:c r="B377" t="str">
        <x:v>73100</x:v>
      </x:c>
      <x:c r="C377" t="str">
        <x:v>Concrete finishers</x:v>
      </x:c>
      <x:c r="D377" t="str">
        <x:v>trade_concrete</x:v>
      </x:c>
      <x:c r="E377" t="str">
        <x:v>Average offered hourly wage</x:v>
      </x:c>
      <x:c r="F377" s="145" t="n">
        <x:v>24.95</x:v>
      </x:c>
      <x:c r="G377" t="str">
        <x:v>Dollars</x:v>
      </x:c>
      <x:c r="H377" s="153" t="n">
        <x:v>43009</x:v>
      </x:c>
      <x:c r="I377" s="153" t="n">
        <x:v>43100</x:v>
      </x:c>
      <x:c r="J377" t="str">
        <x:v>observed</x:v>
      </x:c>
      <x:c r="K377" t="str">
        <x:v>STATCAN_JVWS_14100444</x:v>
      </x:c>
      <x:c r="L377" t="str">
        <x:v>TR_STATCAN_JVWS_AB_NOC_1_0_0</x:v>
      </x:c>
      <x:c r="M377" t="str">
        <x:v>status:C</x:v>
      </x:c>
      <x:c r="N377" t="str">
        <x:v>https://www150.statcan.gc.ca/t1/tbl1/en/tv.action?pid=1410044401</x:v>
      </x:c>
      <x:c r="O377" t="str">
        <x:v>PASS</x:v>
      </x:c>
    </x:row>
    <x:row r="378">
      <x:c r="A378" t="str">
        <x:v>OBS_JVWS_8149FEFB63F986B98178</x:v>
      </x:c>
      <x:c r="B378" t="str">
        <x:v>73100</x:v>
      </x:c>
      <x:c r="C378" t="str">
        <x:v>Concrete finishers</x:v>
      </x:c>
      <x:c r="D378" t="str">
        <x:v>trade_concrete</x:v>
      </x:c>
      <x:c r="E378" t="str">
        <x:v>Job vacancies</x:v>
      </x:c>
      <x:c r="F378" s="145"/>
      <x:c r="G378" t="str">
        <x:v>Number</x:v>
      </x:c>
      <x:c r="H378" s="153" t="n">
        <x:v>43009</x:v>
      </x:c>
      <x:c r="I378" s="153" t="n">
        <x:v>43100</x:v>
      </x:c>
      <x:c r="J378" t="str">
        <x:v>observed</x:v>
      </x:c>
      <x:c r="K378" t="str">
        <x:v>STATCAN_JVWS_14100444</x:v>
      </x:c>
      <x:c r="L378" t="str">
        <x:v>TR_STATCAN_JVWS_AB_NOC_1_0_0</x:v>
      </x:c>
      <x:c r="M378" t="str">
        <x:v>status:F|value_missing_or_suppressed</x:v>
      </x:c>
      <x:c r="N378" t="str">
        <x:v>https://www150.statcan.gc.ca/t1/tbl1/en/tv.action?pid=1410044401</x:v>
      </x:c>
      <x:c r="O378" t="str">
        <x:v>PASS</x:v>
      </x:c>
    </x:row>
    <x:row r="379">
      <x:c r="A379" t="str">
        <x:v>OBS_JVWS_ED2FE0D523F4617D60A2</x:v>
      </x:c>
      <x:c r="B379" t="str">
        <x:v>72200</x:v>
      </x:c>
      <x:c r="C379" t="str">
        <x:v>Electricians (except industrial and power system)</x:v>
      </x:c>
      <x:c r="D379" t="str">
        <x:v>trade_electricians</x:v>
      </x:c>
      <x:c r="E379" t="str">
        <x:v>Average offered hourly wage</x:v>
      </x:c>
      <x:c r="F379" s="145" t="n">
        <x:v>25.4</x:v>
      </x:c>
      <x:c r="G379" t="str">
        <x:v>Dollars</x:v>
      </x:c>
      <x:c r="H379" s="153" t="n">
        <x:v>43009</x:v>
      </x:c>
      <x:c r="I379" s="153" t="n">
        <x:v>43100</x:v>
      </x:c>
      <x:c r="J379" t="str">
        <x:v>observed</x:v>
      </x:c>
      <x:c r="K379" t="str">
        <x:v>STATCAN_JVWS_14100444</x:v>
      </x:c>
      <x:c r="L379" t="str">
        <x:v>TR_STATCAN_JVWS_AB_NOC_1_0_0</x:v>
      </x:c>
      <x:c r="M379" t="str">
        <x:v>status:B</x:v>
      </x:c>
      <x:c r="N379" t="str">
        <x:v>https://www150.statcan.gc.ca/t1/tbl1/en/tv.action?pid=1410044401</x:v>
      </x:c>
      <x:c r="O379" t="str">
        <x:v>PASS</x:v>
      </x:c>
    </x:row>
    <x:row r="380">
      <x:c r="A380" t="str">
        <x:v>OBS_JVWS_8B9B8DE1CFEB049AA578</x:v>
      </x:c>
      <x:c r="B380" t="str">
        <x:v>72200</x:v>
      </x:c>
      <x:c r="C380" t="str">
        <x:v>Electricians (except industrial and power system)</x:v>
      </x:c>
      <x:c r="D380" t="str">
        <x:v>trade_electricians</x:v>
      </x:c>
      <x:c r="E380" t="str">
        <x:v>Job vacancies</x:v>
      </x:c>
      <x:c r="F380" s="145"/>
      <x:c r="G380" t="str">
        <x:v>Number</x:v>
      </x:c>
      <x:c r="H380" s="153" t="n">
        <x:v>43009</x:v>
      </x:c>
      <x:c r="I380" s="153" t="n">
        <x:v>43100</x:v>
      </x:c>
      <x:c r="J380" t="str">
        <x:v>observed</x:v>
      </x:c>
      <x:c r="K380" t="str">
        <x:v>STATCAN_JVWS_14100444</x:v>
      </x:c>
      <x:c r="L380" t="str">
        <x:v>TR_STATCAN_JVWS_AB_NOC_1_0_0</x:v>
      </x:c>
      <x:c r="M380" t="str">
        <x:v>status:F|value_missing_or_suppressed</x:v>
      </x:c>
      <x:c r="N380" t="str">
        <x:v>https://www150.statcan.gc.ca/t1/tbl1/en/tv.action?pid=1410044401</x:v>
      </x:c>
      <x:c r="O380" t="str">
        <x:v>PASS</x:v>
      </x:c>
    </x:row>
    <x:row r="381">
      <x:c r="A381" t="str">
        <x:v>OBS_JVWS_33DC7960AE30CB898221</x:v>
      </x:c>
      <x:c r="B381" t="str">
        <x:v>72201</x:v>
      </x:c>
      <x:c r="C381" t="str">
        <x:v>Industrial electricians</x:v>
      </x:c>
      <x:c r="D381" t="str">
        <x:v>trade_electricians</x:v>
      </x:c>
      <x:c r="E381" t="str">
        <x:v>Average offered hourly wage</x:v>
      </x:c>
      <x:c r="F381" s="145" t="n">
        <x:v>36.7</x:v>
      </x:c>
      <x:c r="G381" t="str">
        <x:v>Dollars</x:v>
      </x:c>
      <x:c r="H381" s="153" t="n">
        <x:v>43009</x:v>
      </x:c>
      <x:c r="I381" s="153" t="n">
        <x:v>43100</x:v>
      </x:c>
      <x:c r="J381" t="str">
        <x:v>observed</x:v>
      </x:c>
      <x:c r="K381" t="str">
        <x:v>STATCAN_JVWS_14100444</x:v>
      </x:c>
      <x:c r="L381" t="str">
        <x:v>TR_STATCAN_JVWS_AB_NOC_1_0_0</x:v>
      </x:c>
      <x:c r="M381" t="str">
        <x:v>status:A</x:v>
      </x:c>
      <x:c r="N381" t="str">
        <x:v>https://www150.statcan.gc.ca/t1/tbl1/en/tv.action?pid=1410044401</x:v>
      </x:c>
      <x:c r="O381" t="str">
        <x:v>PASS</x:v>
      </x:c>
    </x:row>
    <x:row r="382">
      <x:c r="A382" t="str">
        <x:v>OBS_JVWS_74878857A4241C1404B9</x:v>
      </x:c>
      <x:c r="B382" t="str">
        <x:v>72201</x:v>
      </x:c>
      <x:c r="C382" t="str">
        <x:v>Industrial electricians</x:v>
      </x:c>
      <x:c r="D382" t="str">
        <x:v>trade_electricians</x:v>
      </x:c>
      <x:c r="E382" t="str">
        <x:v>Job vacancies</x:v>
      </x:c>
      <x:c r="F382" s="145" t="n">
        <x:v>70</x:v>
      </x:c>
      <x:c r="G382" t="str">
        <x:v>Number</x:v>
      </x:c>
      <x:c r="H382" s="153" t="n">
        <x:v>43009</x:v>
      </x:c>
      <x:c r="I382" s="153" t="n">
        <x:v>43100</x:v>
      </x:c>
      <x:c r="J382" t="str">
        <x:v>observed</x:v>
      </x:c>
      <x:c r="K382" t="str">
        <x:v>STATCAN_JVWS_14100444</x:v>
      </x:c>
      <x:c r="L382" t="str">
        <x:v>TR_STATCAN_JVWS_AB_NOC_1_0_0</x:v>
      </x:c>
      <x:c r="M382" t="str">
        <x:v>status:D</x:v>
      </x:c>
      <x:c r="N382" t="str">
        <x:v>https://www150.statcan.gc.ca/t1/tbl1/en/tv.action?pid=1410044401</x:v>
      </x:c>
      <x:c r="O382" t="str">
        <x:v>PASS</x:v>
      </x:c>
    </x:row>
    <x:row r="383">
      <x:c r="A383" t="str">
        <x:v>OBS_JVWS_A6E5AE5CC5945F2B0495</x:v>
      </x:c>
      <x:c r="B383" t="str">
        <x:v>72402</x:v>
      </x:c>
      <x:c r="C383" t="str">
        <x:v>Heating, refrigeration and air conditioning mechanics</x:v>
      </x:c>
      <x:c r="D383" t="str">
        <x:v>trade_hvac</x:v>
      </x:c>
      <x:c r="E383" t="str">
        <x:v>Average offered hourly wage</x:v>
      </x:c>
      <x:c r="F383" s="145" t="n">
        <x:v>36.9</x:v>
      </x:c>
      <x:c r="G383" t="str">
        <x:v>Dollars</x:v>
      </x:c>
      <x:c r="H383" s="153" t="n">
        <x:v>43009</x:v>
      </x:c>
      <x:c r="I383" s="153" t="n">
        <x:v>43100</x:v>
      </x:c>
      <x:c r="J383" t="str">
        <x:v>observed</x:v>
      </x:c>
      <x:c r="K383" t="str">
        <x:v>STATCAN_JVWS_14100444</x:v>
      </x:c>
      <x:c r="L383" t="str">
        <x:v>TR_STATCAN_JVWS_AB_NOC_1_0_0</x:v>
      </x:c>
      <x:c r="M383" t="str">
        <x:v>status:C</x:v>
      </x:c>
      <x:c r="N383" t="str">
        <x:v>https://www150.statcan.gc.ca/t1/tbl1/en/tv.action?pid=1410044401</x:v>
      </x:c>
      <x:c r="O383" t="str">
        <x:v>PASS</x:v>
      </x:c>
    </x:row>
    <x:row r="384">
      <x:c r="A384" t="str">
        <x:v>OBS_JVWS_79A1D53A5543620FE77F</x:v>
      </x:c>
      <x:c r="B384" t="str">
        <x:v>72402</x:v>
      </x:c>
      <x:c r="C384" t="str">
        <x:v>Heating, refrigeration and air conditioning mechanics</x:v>
      </x:c>
      <x:c r="D384" t="str">
        <x:v>trade_hvac</x:v>
      </x:c>
      <x:c r="E384" t="str">
        <x:v>Job vacancies</x:v>
      </x:c>
      <x:c r="F384" s="145" t="n">
        <x:v>115</x:v>
      </x:c>
      <x:c r="G384" t="str">
        <x:v>Number</x:v>
      </x:c>
      <x:c r="H384" s="153" t="n">
        <x:v>43009</x:v>
      </x:c>
      <x:c r="I384" s="153" t="n">
        <x:v>43100</x:v>
      </x:c>
      <x:c r="J384" t="str">
        <x:v>observed</x:v>
      </x:c>
      <x:c r="K384" t="str">
        <x:v>STATCAN_JVWS_14100444</x:v>
      </x:c>
      <x:c r="L384" t="str">
        <x:v>TR_STATCAN_JVWS_AB_NOC_1_0_0</x:v>
      </x:c>
      <x:c r="M384" t="str">
        <x:v>status:E</x:v>
      </x:c>
      <x:c r="N384" t="str">
        <x:v>https://www150.statcan.gc.ca/t1/tbl1/en/tv.action?pid=1410044401</x:v>
      </x:c>
      <x:c r="O384" t="str">
        <x:v>PASS</x:v>
      </x:c>
    </x:row>
    <x:row r="385">
      <x:c r="A385" t="str">
        <x:v>OBS_JVWS_875E86189ED84DEBA7F9</x:v>
      </x:c>
      <x:c r="B385" t="str">
        <x:v>72202</x:v>
      </x:c>
      <x:c r="C385" t="str">
        <x:v>Power system electricians</x:v>
      </x:c>
      <x:c r="D385" t="str">
        <x:v>trade_power_line</x:v>
      </x:c>
      <x:c r="E385" t="str">
        <x:v>Average offered hourly wage</x:v>
      </x:c>
      <x:c r="F385" s="145"/>
      <x:c r="G385" t="str">
        <x:v>Dollars</x:v>
      </x:c>
      <x:c r="H385" s="153" t="n">
        <x:v>43009</x:v>
      </x:c>
      <x:c r="I385" s="153" t="n">
        <x:v>43100</x:v>
      </x:c>
      <x:c r="J385" t="str">
        <x:v>observed</x:v>
      </x:c>
      <x:c r="K385" t="str">
        <x:v>STATCAN_JVWS_14100444</x:v>
      </x:c>
      <x:c r="L385" t="str">
        <x:v>TR_STATCAN_JVWS_AB_NOC_1_0_0</x:v>
      </x:c>
      <x:c r="M385" t="str">
        <x:v>status:F|value_missing_or_suppressed</x:v>
      </x:c>
      <x:c r="N385" t="str">
        <x:v>https://www150.statcan.gc.ca/t1/tbl1/en/tv.action?pid=1410044401</x:v>
      </x:c>
      <x:c r="O385" t="str">
        <x:v>PASS</x:v>
      </x:c>
    </x:row>
    <x:row r="386">
      <x:c r="A386" t="str">
        <x:v>OBS_JVWS_D0E8A49FF6C0D7AF80E0</x:v>
      </x:c>
      <x:c r="B386" t="str">
        <x:v>72202</x:v>
      </x:c>
      <x:c r="C386" t="str">
        <x:v>Power system electricians</x:v>
      </x:c>
      <x:c r="D386" t="str">
        <x:v>trade_power_line</x:v>
      </x:c>
      <x:c r="E386" t="str">
        <x:v>Job vacancies</x:v>
      </x:c>
      <x:c r="F386" s="145"/>
      <x:c r="G386" t="str">
        <x:v>Number</x:v>
      </x:c>
      <x:c r="H386" s="153" t="n">
        <x:v>43009</x:v>
      </x:c>
      <x:c r="I386" s="153" t="n">
        <x:v>43100</x:v>
      </x:c>
      <x:c r="J386" t="str">
        <x:v>observed</x:v>
      </x:c>
      <x:c r="K386" t="str">
        <x:v>STATCAN_JVWS_14100444</x:v>
      </x:c>
      <x:c r="L386" t="str">
        <x:v>TR_STATCAN_JVWS_AB_NOC_1_0_0</x:v>
      </x:c>
      <x:c r="M386" t="str">
        <x:v>status:F|value_missing_or_suppressed</x:v>
      </x:c>
      <x:c r="N386" t="str">
        <x:v>https://www150.statcan.gc.ca/t1/tbl1/en/tv.action?pid=1410044401</x:v>
      </x:c>
      <x:c r="O386" t="str">
        <x:v>PASS</x:v>
      </x:c>
    </x:row>
    <x:row r="387">
      <x:c r="A387" t="str">
        <x:v>OBS_JVWS_702FC13928AEC925DB38</x:v>
      </x:c>
      <x:c r="B387" t="str">
        <x:v>72203</x:v>
      </x:c>
      <x:c r="C387" t="str">
        <x:v>Electrical power line and cable workers</x:v>
      </x:c>
      <x:c r="D387" t="str">
        <x:v>trade_power_line</x:v>
      </x:c>
      <x:c r="E387" t="str">
        <x:v>Average offered hourly wage</x:v>
      </x:c>
      <x:c r="F387" s="145"/>
      <x:c r="G387" t="str">
        <x:v>Dollars</x:v>
      </x:c>
      <x:c r="H387" s="153" t="n">
        <x:v>43009</x:v>
      </x:c>
      <x:c r="I387" s="153" t="n">
        <x:v>43100</x:v>
      </x:c>
      <x:c r="J387" t="str">
        <x:v>observed</x:v>
      </x:c>
      <x:c r="K387" t="str">
        <x:v>STATCAN_JVWS_14100444</x:v>
      </x:c>
      <x:c r="L387" t="str">
        <x:v>TR_STATCAN_JVWS_AB_NOC_1_0_0</x:v>
      </x:c>
      <x:c r="M387" t="str">
        <x:v>status:F|value_missing_or_suppressed</x:v>
      </x:c>
      <x:c r="N387" t="str">
        <x:v>https://www150.statcan.gc.ca/t1/tbl1/en/tv.action?pid=1410044401</x:v>
      </x:c>
      <x:c r="O387" t="str">
        <x:v>PASS</x:v>
      </x:c>
    </x:row>
    <x:row r="388">
      <x:c r="A388" t="str">
        <x:v>OBS_JVWS_C5EC94CCDB1994448F21</x:v>
      </x:c>
      <x:c r="B388" t="str">
        <x:v>72203</x:v>
      </x:c>
      <x:c r="C388" t="str">
        <x:v>Electrical power line and cable workers</x:v>
      </x:c>
      <x:c r="D388" t="str">
        <x:v>trade_power_line</x:v>
      </x:c>
      <x:c r="E388" t="str">
        <x:v>Job vacancies</x:v>
      </x:c>
      <x:c r="F388" s="145"/>
      <x:c r="G388" t="str">
        <x:v>Number</x:v>
      </x:c>
      <x:c r="H388" s="153" t="n">
        <x:v>43009</x:v>
      </x:c>
      <x:c r="I388" s="153" t="n">
        <x:v>43100</x:v>
      </x:c>
      <x:c r="J388" t="str">
        <x:v>observed</x:v>
      </x:c>
      <x:c r="K388" t="str">
        <x:v>STATCAN_JVWS_14100444</x:v>
      </x:c>
      <x:c r="L388" t="str">
        <x:v>TR_STATCAN_JVWS_AB_NOC_1_0_0</x:v>
      </x:c>
      <x:c r="M388" t="str">
        <x:v>status:F|value_missing_or_suppressed</x:v>
      </x:c>
      <x:c r="N388" t="str">
        <x:v>https://www150.statcan.gc.ca/t1/tbl1/en/tv.action?pid=1410044401</x:v>
      </x:c>
      <x:c r="O388" t="str">
        <x:v>PASS</x:v>
      </x:c>
    </x:row>
    <x:row r="389">
      <x:c r="A389" t="str">
        <x:v>OBS_JVWS_066AE3D2094787E7D464</x:v>
      </x:c>
      <x:c r="B389" t="str">
        <x:v>73100</x:v>
      </x:c>
      <x:c r="C389" t="str">
        <x:v>Concrete finishers</x:v>
      </x:c>
      <x:c r="D389" t="str">
        <x:v>trade_concrete</x:v>
      </x:c>
      <x:c r="E389" t="str">
        <x:v>Average offered hourly wage</x:v>
      </x:c>
      <x:c r="F389" s="145" t="n">
        <x:v>29.6</x:v>
      </x:c>
      <x:c r="G389" t="str">
        <x:v>Dollars</x:v>
      </x:c>
      <x:c r="H389" s="153" t="n">
        <x:v>42917</x:v>
      </x:c>
      <x:c r="I389" s="153" t="n">
        <x:v>43008</x:v>
      </x:c>
      <x:c r="J389" t="str">
        <x:v>observed</x:v>
      </x:c>
      <x:c r="K389" t="str">
        <x:v>STATCAN_JVWS_14100444</x:v>
      </x:c>
      <x:c r="L389" t="str">
        <x:v>TR_STATCAN_JVWS_AB_NOC_1_0_0</x:v>
      </x:c>
      <x:c r="M389" t="str">
        <x:v>status:B</x:v>
      </x:c>
      <x:c r="N389" t="str">
        <x:v>https://www150.statcan.gc.ca/t1/tbl1/en/tv.action?pid=1410044401</x:v>
      </x:c>
      <x:c r="O389" t="str">
        <x:v>PASS</x:v>
      </x:c>
    </x:row>
    <x:row r="390">
      <x:c r="A390" t="str">
        <x:v>OBS_JVWS_FC37447ABC34EA454C37</x:v>
      </x:c>
      <x:c r="B390" t="str">
        <x:v>73100</x:v>
      </x:c>
      <x:c r="C390" t="str">
        <x:v>Concrete finishers</x:v>
      </x:c>
      <x:c r="D390" t="str">
        <x:v>trade_concrete</x:v>
      </x:c>
      <x:c r="E390" t="str">
        <x:v>Job vacancies</x:v>
      </x:c>
      <x:c r="F390" s="145"/>
      <x:c r="G390" t="str">
        <x:v>Number</x:v>
      </x:c>
      <x:c r="H390" s="153" t="n">
        <x:v>42917</x:v>
      </x:c>
      <x:c r="I390" s="153" t="n">
        <x:v>43008</x:v>
      </x:c>
      <x:c r="J390" t="str">
        <x:v>observed</x:v>
      </x:c>
      <x:c r="K390" t="str">
        <x:v>STATCAN_JVWS_14100444</x:v>
      </x:c>
      <x:c r="L390" t="str">
        <x:v>TR_STATCAN_JVWS_AB_NOC_1_0_0</x:v>
      </x:c>
      <x:c r="M390" t="str">
        <x:v>status:F|value_missing_or_suppressed</x:v>
      </x:c>
      <x:c r="N390" t="str">
        <x:v>https://www150.statcan.gc.ca/t1/tbl1/en/tv.action?pid=1410044401</x:v>
      </x:c>
      <x:c r="O390" t="str">
        <x:v>PASS</x:v>
      </x:c>
    </x:row>
    <x:row r="391">
      <x:c r="A391" t="str">
        <x:v>OBS_JVWS_2B75899C4D5B3EEE7E2E</x:v>
      </x:c>
      <x:c r="B391" t="str">
        <x:v>72200</x:v>
      </x:c>
      <x:c r="C391" t="str">
        <x:v>Electricians (except industrial and power system)</x:v>
      </x:c>
      <x:c r="D391" t="str">
        <x:v>trade_electricians</x:v>
      </x:c>
      <x:c r="E391" t="str">
        <x:v>Average offered hourly wage</x:v>
      </x:c>
      <x:c r="F391" s="145" t="n">
        <x:v>29.8</x:v>
      </x:c>
      <x:c r="G391" t="str">
        <x:v>Dollars</x:v>
      </x:c>
      <x:c r="H391" s="153" t="n">
        <x:v>42917</x:v>
      </x:c>
      <x:c r="I391" s="153" t="n">
        <x:v>43008</x:v>
      </x:c>
      <x:c r="J391" t="str">
        <x:v>observed</x:v>
      </x:c>
      <x:c r="K391" t="str">
        <x:v>STATCAN_JVWS_14100444</x:v>
      </x:c>
      <x:c r="L391" t="str">
        <x:v>TR_STATCAN_JVWS_AB_NOC_1_0_0</x:v>
      </x:c>
      <x:c r="M391" t="str">
        <x:v>status:B</x:v>
      </x:c>
      <x:c r="N391" t="str">
        <x:v>https://www150.statcan.gc.ca/t1/tbl1/en/tv.action?pid=1410044401</x:v>
      </x:c>
      <x:c r="O391" t="str">
        <x:v>PASS</x:v>
      </x:c>
    </x:row>
    <x:row r="392">
      <x:c r="A392" t="str">
        <x:v>OBS_JVWS_8E32B08079F14CC04AE6</x:v>
      </x:c>
      <x:c r="B392" t="str">
        <x:v>72200</x:v>
      </x:c>
      <x:c r="C392" t="str">
        <x:v>Electricians (except industrial and power system)</x:v>
      </x:c>
      <x:c r="D392" t="str">
        <x:v>trade_electricians</x:v>
      </x:c>
      <x:c r="E392" t="str">
        <x:v>Job vacancies</x:v>
      </x:c>
      <x:c r="F392" s="145" t="n">
        <x:v>465</x:v>
      </x:c>
      <x:c r="G392" t="str">
        <x:v>Number</x:v>
      </x:c>
      <x:c r="H392" s="153" t="n">
        <x:v>42917</x:v>
      </x:c>
      <x:c r="I392" s="153" t="n">
        <x:v>43008</x:v>
      </x:c>
      <x:c r="J392" t="str">
        <x:v>observed</x:v>
      </x:c>
      <x:c r="K392" t="str">
        <x:v>STATCAN_JVWS_14100444</x:v>
      </x:c>
      <x:c r="L392" t="str">
        <x:v>TR_STATCAN_JVWS_AB_NOC_1_0_0</x:v>
      </x:c>
      <x:c r="M392" t="str">
        <x:v>status:E</x:v>
      </x:c>
      <x:c r="N392" t="str">
        <x:v>https://www150.statcan.gc.ca/t1/tbl1/en/tv.action?pid=1410044401</x:v>
      </x:c>
      <x:c r="O392" t="str">
        <x:v>PASS</x:v>
      </x:c>
    </x:row>
    <x:row r="393">
      <x:c r="A393" t="str">
        <x:v>OBS_JVWS_F5A9DEF2F3141A5CC86E</x:v>
      </x:c>
      <x:c r="B393" t="str">
        <x:v>72201</x:v>
      </x:c>
      <x:c r="C393" t="str">
        <x:v>Industrial electricians</x:v>
      </x:c>
      <x:c r="D393" t="str">
        <x:v>trade_electricians</x:v>
      </x:c>
      <x:c r="E393" t="str">
        <x:v>Average offered hourly wage</x:v>
      </x:c>
      <x:c r="F393" s="145" t="n">
        <x:v>28.9</x:v>
      </x:c>
      <x:c r="G393" t="str">
        <x:v>Dollars</x:v>
      </x:c>
      <x:c r="H393" s="153" t="n">
        <x:v>42917</x:v>
      </x:c>
      <x:c r="I393" s="153" t="n">
        <x:v>43008</x:v>
      </x:c>
      <x:c r="J393" t="str">
        <x:v>observed</x:v>
      </x:c>
      <x:c r="K393" t="str">
        <x:v>STATCAN_JVWS_14100444</x:v>
      </x:c>
      <x:c r="L393" t="str">
        <x:v>TR_STATCAN_JVWS_AB_NOC_1_0_0</x:v>
      </x:c>
      <x:c r="M393" t="str">
        <x:v>status:E</x:v>
      </x:c>
      <x:c r="N393" t="str">
        <x:v>https://www150.statcan.gc.ca/t1/tbl1/en/tv.action?pid=1410044401</x:v>
      </x:c>
      <x:c r="O393" t="str">
        <x:v>PASS</x:v>
      </x:c>
    </x:row>
    <x:row r="394">
      <x:c r="A394" t="str">
        <x:v>OBS_JVWS_93E229F949EC03747883</x:v>
      </x:c>
      <x:c r="B394" t="str">
        <x:v>72201</x:v>
      </x:c>
      <x:c r="C394" t="str">
        <x:v>Industrial electricians</x:v>
      </x:c>
      <x:c r="D394" t="str">
        <x:v>trade_electricians</x:v>
      </x:c>
      <x:c r="E394" t="str">
        <x:v>Job vacancies</x:v>
      </x:c>
      <x:c r="F394" s="145"/>
      <x:c r="G394" t="str">
        <x:v>Number</x:v>
      </x:c>
      <x:c r="H394" s="153" t="n">
        <x:v>42917</x:v>
      </x:c>
      <x:c r="I394" s="153" t="n">
        <x:v>43008</x:v>
      </x:c>
      <x:c r="J394" t="str">
        <x:v>observed</x:v>
      </x:c>
      <x:c r="K394" t="str">
        <x:v>STATCAN_JVWS_14100444</x:v>
      </x:c>
      <x:c r="L394" t="str">
        <x:v>TR_STATCAN_JVWS_AB_NOC_1_0_0</x:v>
      </x:c>
      <x:c r="M394" t="str">
        <x:v>status:F|value_missing_or_suppressed</x:v>
      </x:c>
      <x:c r="N394" t="str">
        <x:v>https://www150.statcan.gc.ca/t1/tbl1/en/tv.action?pid=1410044401</x:v>
      </x:c>
      <x:c r="O394" t="str">
        <x:v>PASS</x:v>
      </x:c>
    </x:row>
    <x:row r="395">
      <x:c r="A395" t="str">
        <x:v>OBS_JVWS_376A07BEDE3C38F271D7</x:v>
      </x:c>
      <x:c r="B395" t="str">
        <x:v>72402</x:v>
      </x:c>
      <x:c r="C395" t="str">
        <x:v>Heating, refrigeration and air conditioning mechanics</x:v>
      </x:c>
      <x:c r="D395" t="str">
        <x:v>trade_hvac</x:v>
      </x:c>
      <x:c r="E395" t="str">
        <x:v>Average offered hourly wage</x:v>
      </x:c>
      <x:c r="F395" s="145" t="n">
        <x:v>37.8</x:v>
      </x:c>
      <x:c r="G395" t="str">
        <x:v>Dollars</x:v>
      </x:c>
      <x:c r="H395" s="153" t="n">
        <x:v>42917</x:v>
      </x:c>
      <x:c r="I395" s="153" t="n">
        <x:v>43008</x:v>
      </x:c>
      <x:c r="J395" t="str">
        <x:v>observed</x:v>
      </x:c>
      <x:c r="K395" t="str">
        <x:v>STATCAN_JVWS_14100444</x:v>
      </x:c>
      <x:c r="L395" t="str">
        <x:v>TR_STATCAN_JVWS_AB_NOC_1_0_0</x:v>
      </x:c>
      <x:c r="M395" t="str">
        <x:v>status:B</x:v>
      </x:c>
      <x:c r="N395" t="str">
        <x:v>https://www150.statcan.gc.ca/t1/tbl1/en/tv.action?pid=1410044401</x:v>
      </x:c>
      <x:c r="O395" t="str">
        <x:v>PASS</x:v>
      </x:c>
    </x:row>
    <x:row r="396">
      <x:c r="A396" t="str">
        <x:v>OBS_JVWS_96F011F6F1CEBA7E99F3</x:v>
      </x:c>
      <x:c r="B396" t="str">
        <x:v>72402</x:v>
      </x:c>
      <x:c r="C396" t="str">
        <x:v>Heating, refrigeration and air conditioning mechanics</x:v>
      </x:c>
      <x:c r="D396" t="str">
        <x:v>trade_hvac</x:v>
      </x:c>
      <x:c r="E396" t="str">
        <x:v>Job vacancies</x:v>
      </x:c>
      <x:c r="F396" s="145"/>
      <x:c r="G396" t="str">
        <x:v>Number</x:v>
      </x:c>
      <x:c r="H396" s="153" t="n">
        <x:v>42917</x:v>
      </x:c>
      <x:c r="I396" s="153" t="n">
        <x:v>43008</x:v>
      </x:c>
      <x:c r="J396" t="str">
        <x:v>observed</x:v>
      </x:c>
      <x:c r="K396" t="str">
        <x:v>STATCAN_JVWS_14100444</x:v>
      </x:c>
      <x:c r="L396" t="str">
        <x:v>TR_STATCAN_JVWS_AB_NOC_1_0_0</x:v>
      </x:c>
      <x:c r="M396" t="str">
        <x:v>status:F|value_missing_or_suppressed</x:v>
      </x:c>
      <x:c r="N396" t="str">
        <x:v>https://www150.statcan.gc.ca/t1/tbl1/en/tv.action?pid=1410044401</x:v>
      </x:c>
      <x:c r="O396" t="str">
        <x:v>PASS</x:v>
      </x:c>
    </x:row>
    <x:row r="397">
      <x:c r="A397" t="str">
        <x:v>OBS_JVWS_70C2C6BD9A4AA5DA4987</x:v>
      </x:c>
      <x:c r="B397" t="str">
        <x:v>72202</x:v>
      </x:c>
      <x:c r="C397" t="str">
        <x:v>Power system electricians</x:v>
      </x:c>
      <x:c r="D397" t="str">
        <x:v>trade_power_line</x:v>
      </x:c>
      <x:c r="E397" t="str">
        <x:v>Average offered hourly wage</x:v>
      </x:c>
      <x:c r="F397" s="145"/>
      <x:c r="G397" t="str">
        <x:v>Dollars</x:v>
      </x:c>
      <x:c r="H397" s="153" t="n">
        <x:v>42917</x:v>
      </x:c>
      <x:c r="I397" s="153" t="n">
        <x:v>43008</x:v>
      </x:c>
      <x:c r="J397" t="str">
        <x:v>observed</x:v>
      </x:c>
      <x:c r="K397" t="str">
        <x:v>STATCAN_JVWS_14100444</x:v>
      </x:c>
      <x:c r="L397" t="str">
        <x:v>TR_STATCAN_JVWS_AB_NOC_1_0_0</x:v>
      </x:c>
      <x:c r="M397" t="str">
        <x:v>status:..|value_missing_or_suppressed</x:v>
      </x:c>
      <x:c r="N397" t="str">
        <x:v>https://www150.statcan.gc.ca/t1/tbl1/en/tv.action?pid=1410044401</x:v>
      </x:c>
      <x:c r="O397" t="str">
        <x:v>PASS</x:v>
      </x:c>
    </x:row>
    <x:row r="398">
      <x:c r="A398" t="str">
        <x:v>OBS_JVWS_764EA58D349F86187B3A</x:v>
      </x:c>
      <x:c r="B398" t="str">
        <x:v>72202</x:v>
      </x:c>
      <x:c r="C398" t="str">
        <x:v>Power system electricians</x:v>
      </x:c>
      <x:c r="D398" t="str">
        <x:v>trade_power_line</x:v>
      </x:c>
      <x:c r="E398" t="str">
        <x:v>Job vacancies</x:v>
      </x:c>
      <x:c r="F398" s="145"/>
      <x:c r="G398" t="str">
        <x:v>Number</x:v>
      </x:c>
      <x:c r="H398" s="153" t="n">
        <x:v>42917</x:v>
      </x:c>
      <x:c r="I398" s="153" t="n">
        <x:v>43008</x:v>
      </x:c>
      <x:c r="J398" t="str">
        <x:v>observed</x:v>
      </x:c>
      <x:c r="K398" t="str">
        <x:v>STATCAN_JVWS_14100444</x:v>
      </x:c>
      <x:c r="L398" t="str">
        <x:v>TR_STATCAN_JVWS_AB_NOC_1_0_0</x:v>
      </x:c>
      <x:c r="M398" t="str">
        <x:v>status:..|value_missing_or_suppressed</x:v>
      </x:c>
      <x:c r="N398" t="str">
        <x:v>https://www150.statcan.gc.ca/t1/tbl1/en/tv.action?pid=1410044401</x:v>
      </x:c>
      <x:c r="O398" t="str">
        <x:v>PASS</x:v>
      </x:c>
    </x:row>
    <x:row r="399">
      <x:c r="A399" t="str">
        <x:v>OBS_JVWS_06F1D51A6326381B5713</x:v>
      </x:c>
      <x:c r="B399" t="str">
        <x:v>72203</x:v>
      </x:c>
      <x:c r="C399" t="str">
        <x:v>Electrical power line and cable workers</x:v>
      </x:c>
      <x:c r="D399" t="str">
        <x:v>trade_power_line</x:v>
      </x:c>
      <x:c r="E399" t="str">
        <x:v>Average offered hourly wage</x:v>
      </x:c>
      <x:c r="F399" s="145"/>
      <x:c r="G399" t="str">
        <x:v>Dollars</x:v>
      </x:c>
      <x:c r="H399" s="153" t="n">
        <x:v>42917</x:v>
      </x:c>
      <x:c r="I399" s="153" t="n">
        <x:v>43008</x:v>
      </x:c>
      <x:c r="J399" t="str">
        <x:v>observed</x:v>
      </x:c>
      <x:c r="K399" t="str">
        <x:v>STATCAN_JVWS_14100444</x:v>
      </x:c>
      <x:c r="L399" t="str">
        <x:v>TR_STATCAN_JVWS_AB_NOC_1_0_0</x:v>
      </x:c>
      <x:c r="M399" t="str">
        <x:v>status:F|value_missing_or_suppressed</x:v>
      </x:c>
      <x:c r="N399" t="str">
        <x:v>https://www150.statcan.gc.ca/t1/tbl1/en/tv.action?pid=1410044401</x:v>
      </x:c>
      <x:c r="O399" t="str">
        <x:v>PASS</x:v>
      </x:c>
    </x:row>
    <x:row r="400">
      <x:c r="A400" t="str">
        <x:v>OBS_JVWS_1969016681A233DD13F5</x:v>
      </x:c>
      <x:c r="B400" t="str">
        <x:v>72203</x:v>
      </x:c>
      <x:c r="C400" t="str">
        <x:v>Electrical power line and cable workers</x:v>
      </x:c>
      <x:c r="D400" t="str">
        <x:v>trade_power_line</x:v>
      </x:c>
      <x:c r="E400" t="str">
        <x:v>Job vacancies</x:v>
      </x:c>
      <x:c r="F400" s="145"/>
      <x:c r="G400" t="str">
        <x:v>Number</x:v>
      </x:c>
      <x:c r="H400" s="153" t="n">
        <x:v>42917</x:v>
      </x:c>
      <x:c r="I400" s="153" t="n">
        <x:v>43008</x:v>
      </x:c>
      <x:c r="J400" t="str">
        <x:v>observed</x:v>
      </x:c>
      <x:c r="K400" t="str">
        <x:v>STATCAN_JVWS_14100444</x:v>
      </x:c>
      <x:c r="L400" t="str">
        <x:v>TR_STATCAN_JVWS_AB_NOC_1_0_0</x:v>
      </x:c>
      <x:c r="M400" t="str">
        <x:v>status:F|value_missing_or_suppressed</x:v>
      </x:c>
      <x:c r="N400" t="str">
        <x:v>https://www150.statcan.gc.ca/t1/tbl1/en/tv.action?pid=1410044401</x:v>
      </x:c>
      <x:c r="O400" t="str">
        <x:v>PASS</x:v>
      </x:c>
    </x:row>
    <x:row r="401">
      <x:c r="A401" t="str">
        <x:v>OBS_JVWS_2C9F7EF83DD6F744E937</x:v>
      </x:c>
      <x:c r="B401" t="str">
        <x:v>73100</x:v>
      </x:c>
      <x:c r="C401" t="str">
        <x:v>Concrete finishers</x:v>
      </x:c>
      <x:c r="D401" t="str">
        <x:v>trade_concrete</x:v>
      </x:c>
      <x:c r="E401" t="str">
        <x:v>Average offered hourly wage</x:v>
      </x:c>
      <x:c r="F401" s="145" t="n">
        <x:v>24.95</x:v>
      </x:c>
      <x:c r="G401" t="str">
        <x:v>Dollars</x:v>
      </x:c>
      <x:c r="H401" s="153" t="n">
        <x:v>42826</x:v>
      </x:c>
      <x:c r="I401" s="153" t="n">
        <x:v>42916</x:v>
      </x:c>
      <x:c r="J401" t="str">
        <x:v>observed</x:v>
      </x:c>
      <x:c r="K401" t="str">
        <x:v>STATCAN_JVWS_14100444</x:v>
      </x:c>
      <x:c r="L401" t="str">
        <x:v>TR_STATCAN_JVWS_AB_NOC_1_0_0</x:v>
      </x:c>
      <x:c r="M401" t="str">
        <x:v>status:B</x:v>
      </x:c>
      <x:c r="N401" t="str">
        <x:v>https://www150.statcan.gc.ca/t1/tbl1/en/tv.action?pid=1410044401</x:v>
      </x:c>
      <x:c r="O401" t="str">
        <x:v>PASS</x:v>
      </x:c>
    </x:row>
    <x:row r="402">
      <x:c r="A402" t="str">
        <x:v>OBS_JVWS_0585465B89842E85C1F6</x:v>
      </x:c>
      <x:c r="B402" t="str">
        <x:v>73100</x:v>
      </x:c>
      <x:c r="C402" t="str">
        <x:v>Concrete finishers</x:v>
      </x:c>
      <x:c r="D402" t="str">
        <x:v>trade_concrete</x:v>
      </x:c>
      <x:c r="E402" t="str">
        <x:v>Job vacancies</x:v>
      </x:c>
      <x:c r="F402" s="145"/>
      <x:c r="G402" t="str">
        <x:v>Number</x:v>
      </x:c>
      <x:c r="H402" s="153" t="n">
        <x:v>42826</x:v>
      </x:c>
      <x:c r="I402" s="153" t="n">
        <x:v>42916</x:v>
      </x:c>
      <x:c r="J402" t="str">
        <x:v>observed</x:v>
      </x:c>
      <x:c r="K402" t="str">
        <x:v>STATCAN_JVWS_14100444</x:v>
      </x:c>
      <x:c r="L402" t="str">
        <x:v>TR_STATCAN_JVWS_AB_NOC_1_0_0</x:v>
      </x:c>
      <x:c r="M402" t="str">
        <x:v>status:F|value_missing_or_suppressed</x:v>
      </x:c>
      <x:c r="N402" t="str">
        <x:v>https://www150.statcan.gc.ca/t1/tbl1/en/tv.action?pid=1410044401</x:v>
      </x:c>
      <x:c r="O402" t="str">
        <x:v>PASS</x:v>
      </x:c>
    </x:row>
    <x:row r="403">
      <x:c r="A403" t="str">
        <x:v>OBS_JVWS_31787AE71771F2CA10D2</x:v>
      </x:c>
      <x:c r="B403" t="str">
        <x:v>72200</x:v>
      </x:c>
      <x:c r="C403" t="str">
        <x:v>Electricians (except industrial and power system)</x:v>
      </x:c>
      <x:c r="D403" t="str">
        <x:v>trade_electricians</x:v>
      </x:c>
      <x:c r="E403" t="str">
        <x:v>Average offered hourly wage</x:v>
      </x:c>
      <x:c r="F403" s="145" t="n">
        <x:v>29.05</x:v>
      </x:c>
      <x:c r="G403" t="str">
        <x:v>Dollars</x:v>
      </x:c>
      <x:c r="H403" s="153" t="n">
        <x:v>42826</x:v>
      </x:c>
      <x:c r="I403" s="153" t="n">
        <x:v>42916</x:v>
      </x:c>
      <x:c r="J403" t="str">
        <x:v>observed</x:v>
      </x:c>
      <x:c r="K403" t="str">
        <x:v>STATCAN_JVWS_14100444</x:v>
      </x:c>
      <x:c r="L403" t="str">
        <x:v>TR_STATCAN_JVWS_AB_NOC_1_0_0</x:v>
      </x:c>
      <x:c r="M403" t="str">
        <x:v>status:C</x:v>
      </x:c>
      <x:c r="N403" t="str">
        <x:v>https://www150.statcan.gc.ca/t1/tbl1/en/tv.action?pid=1410044401</x:v>
      </x:c>
      <x:c r="O403" t="str">
        <x:v>PASS</x:v>
      </x:c>
    </x:row>
    <x:row r="404">
      <x:c r="A404" t="str">
        <x:v>OBS_JVWS_FC0CB0632A628864FB54</x:v>
      </x:c>
      <x:c r="B404" t="str">
        <x:v>72200</x:v>
      </x:c>
      <x:c r="C404" t="str">
        <x:v>Electricians (except industrial and power system)</x:v>
      </x:c>
      <x:c r="D404" t="str">
        <x:v>trade_electricians</x:v>
      </x:c>
      <x:c r="E404" t="str">
        <x:v>Job vacancies</x:v>
      </x:c>
      <x:c r="F404" s="145"/>
      <x:c r="G404" t="str">
        <x:v>Number</x:v>
      </x:c>
      <x:c r="H404" s="153" t="n">
        <x:v>42826</x:v>
      </x:c>
      <x:c r="I404" s="153" t="n">
        <x:v>42916</x:v>
      </x:c>
      <x:c r="J404" t="str">
        <x:v>observed</x:v>
      </x:c>
      <x:c r="K404" t="str">
        <x:v>STATCAN_JVWS_14100444</x:v>
      </x:c>
      <x:c r="L404" t="str">
        <x:v>TR_STATCAN_JVWS_AB_NOC_1_0_0</x:v>
      </x:c>
      <x:c r="M404" t="str">
        <x:v>status:F|value_missing_or_suppressed</x:v>
      </x:c>
      <x:c r="N404" t="str">
        <x:v>https://www150.statcan.gc.ca/t1/tbl1/en/tv.action?pid=1410044401</x:v>
      </x:c>
      <x:c r="O404" t="str">
        <x:v>PASS</x:v>
      </x:c>
    </x:row>
    <x:row r="405">
      <x:c r="A405" t="str">
        <x:v>OBS_JVWS_4BBDAA877B86D3A8D16B</x:v>
      </x:c>
      <x:c r="B405" t="str">
        <x:v>72201</x:v>
      </x:c>
      <x:c r="C405" t="str">
        <x:v>Industrial electricians</x:v>
      </x:c>
      <x:c r="D405" t="str">
        <x:v>trade_electricians</x:v>
      </x:c>
      <x:c r="E405" t="str">
        <x:v>Average offered hourly wage</x:v>
      </x:c>
      <x:c r="F405" s="145" t="n">
        <x:v>31.45</x:v>
      </x:c>
      <x:c r="G405" t="str">
        <x:v>Dollars</x:v>
      </x:c>
      <x:c r="H405" s="153" t="n">
        <x:v>42826</x:v>
      </x:c>
      <x:c r="I405" s="153" t="n">
        <x:v>42916</x:v>
      </x:c>
      <x:c r="J405" t="str">
        <x:v>observed</x:v>
      </x:c>
      <x:c r="K405" t="str">
        <x:v>STATCAN_JVWS_14100444</x:v>
      </x:c>
      <x:c r="L405" t="str">
        <x:v>TR_STATCAN_JVWS_AB_NOC_1_0_0</x:v>
      </x:c>
      <x:c r="M405" t="str">
        <x:v>status:B</x:v>
      </x:c>
      <x:c r="N405" t="str">
        <x:v>https://www150.statcan.gc.ca/t1/tbl1/en/tv.action?pid=1410044401</x:v>
      </x:c>
      <x:c r="O405" t="str">
        <x:v>PASS</x:v>
      </x:c>
    </x:row>
    <x:row r="406">
      <x:c r="A406" t="str">
        <x:v>OBS_JVWS_04868727813B2EB3FCF3</x:v>
      </x:c>
      <x:c r="B406" t="str">
        <x:v>72201</x:v>
      </x:c>
      <x:c r="C406" t="str">
        <x:v>Industrial electricians</x:v>
      </x:c>
      <x:c r="D406" t="str">
        <x:v>trade_electricians</x:v>
      </x:c>
      <x:c r="E406" t="str">
        <x:v>Job vacancies</x:v>
      </x:c>
      <x:c r="F406" s="145" t="n">
        <x:v>50</x:v>
      </x:c>
      <x:c r="G406" t="str">
        <x:v>Number</x:v>
      </x:c>
      <x:c r="H406" s="153" t="n">
        <x:v>42826</x:v>
      </x:c>
      <x:c r="I406" s="153" t="n">
        <x:v>42916</x:v>
      </x:c>
      <x:c r="J406" t="str">
        <x:v>observed</x:v>
      </x:c>
      <x:c r="K406" t="str">
        <x:v>STATCAN_JVWS_14100444</x:v>
      </x:c>
      <x:c r="L406" t="str">
        <x:v>TR_STATCAN_JVWS_AB_NOC_1_0_0</x:v>
      </x:c>
      <x:c r="M406" t="str">
        <x:v>status:D</x:v>
      </x:c>
      <x:c r="N406" t="str">
        <x:v>https://www150.statcan.gc.ca/t1/tbl1/en/tv.action?pid=1410044401</x:v>
      </x:c>
      <x:c r="O406" t="str">
        <x:v>PASS</x:v>
      </x:c>
    </x:row>
    <x:row r="407">
      <x:c r="A407" t="str">
        <x:v>OBS_JVWS_980BD33BA4E5B39CEEBE</x:v>
      </x:c>
      <x:c r="B407" t="str">
        <x:v>72402</x:v>
      </x:c>
      <x:c r="C407" t="str">
        <x:v>Heating, refrigeration and air conditioning mechanics</x:v>
      </x:c>
      <x:c r="D407" t="str">
        <x:v>trade_hvac</x:v>
      </x:c>
      <x:c r="E407" t="str">
        <x:v>Average offered hourly wage</x:v>
      </x:c>
      <x:c r="F407" s="145" t="n">
        <x:v>32.7</x:v>
      </x:c>
      <x:c r="G407" t="str">
        <x:v>Dollars</x:v>
      </x:c>
      <x:c r="H407" s="153" t="n">
        <x:v>42826</x:v>
      </x:c>
      <x:c r="I407" s="153" t="n">
        <x:v>42916</x:v>
      </x:c>
      <x:c r="J407" t="str">
        <x:v>observed</x:v>
      </x:c>
      <x:c r="K407" t="str">
        <x:v>STATCAN_JVWS_14100444</x:v>
      </x:c>
      <x:c r="L407" t="str">
        <x:v>TR_STATCAN_JVWS_AB_NOC_1_0_0</x:v>
      </x:c>
      <x:c r="M407" t="str">
        <x:v>status:C</x:v>
      </x:c>
      <x:c r="N407" t="str">
        <x:v>https://www150.statcan.gc.ca/t1/tbl1/en/tv.action?pid=1410044401</x:v>
      </x:c>
      <x:c r="O407" t="str">
        <x:v>PASS</x:v>
      </x:c>
    </x:row>
    <x:row r="408">
      <x:c r="A408" t="str">
        <x:v>OBS_JVWS_BA0C141AFDE68CB5F6AF</x:v>
      </x:c>
      <x:c r="B408" t="str">
        <x:v>72402</x:v>
      </x:c>
      <x:c r="C408" t="str">
        <x:v>Heating, refrigeration and air conditioning mechanics</x:v>
      </x:c>
      <x:c r="D408" t="str">
        <x:v>trade_hvac</x:v>
      </x:c>
      <x:c r="E408" t="str">
        <x:v>Job vacancies</x:v>
      </x:c>
      <x:c r="F408" s="145"/>
      <x:c r="G408" t="str">
        <x:v>Number</x:v>
      </x:c>
      <x:c r="H408" s="153" t="n">
        <x:v>42826</x:v>
      </x:c>
      <x:c r="I408" s="153" t="n">
        <x:v>42916</x:v>
      </x:c>
      <x:c r="J408" t="str">
        <x:v>observed</x:v>
      </x:c>
      <x:c r="K408" t="str">
        <x:v>STATCAN_JVWS_14100444</x:v>
      </x:c>
      <x:c r="L408" t="str">
        <x:v>TR_STATCAN_JVWS_AB_NOC_1_0_0</x:v>
      </x:c>
      <x:c r="M408" t="str">
        <x:v>status:F|value_missing_or_suppressed</x:v>
      </x:c>
      <x:c r="N408" t="str">
        <x:v>https://www150.statcan.gc.ca/t1/tbl1/en/tv.action?pid=1410044401</x:v>
      </x:c>
      <x:c r="O408" t="str">
        <x:v>PASS</x:v>
      </x:c>
    </x:row>
    <x:row r="409">
      <x:c r="A409" t="str">
        <x:v>OBS_JVWS_9E4E5B1F6BE6227EC7C4</x:v>
      </x:c>
      <x:c r="B409" t="str">
        <x:v>72202</x:v>
      </x:c>
      <x:c r="C409" t="str">
        <x:v>Power system electricians</x:v>
      </x:c>
      <x:c r="D409" t="str">
        <x:v>trade_power_line</x:v>
      </x:c>
      <x:c r="E409" t="str">
        <x:v>Average offered hourly wage</x:v>
      </x:c>
      <x:c r="F409" s="145"/>
      <x:c r="G409" t="str">
        <x:v>Dollars</x:v>
      </x:c>
      <x:c r="H409" s="153" t="n">
        <x:v>42826</x:v>
      </x:c>
      <x:c r="I409" s="153" t="n">
        <x:v>42916</x:v>
      </x:c>
      <x:c r="J409" t="str">
        <x:v>observed</x:v>
      </x:c>
      <x:c r="K409" t="str">
        <x:v>STATCAN_JVWS_14100444</x:v>
      </x:c>
      <x:c r="L409" t="str">
        <x:v>TR_STATCAN_JVWS_AB_NOC_1_0_0</x:v>
      </x:c>
      <x:c r="M409" t="str">
        <x:v>status:F|value_missing_or_suppressed</x:v>
      </x:c>
      <x:c r="N409" t="str">
        <x:v>https://www150.statcan.gc.ca/t1/tbl1/en/tv.action?pid=1410044401</x:v>
      </x:c>
      <x:c r="O409" t="str">
        <x:v>PASS</x:v>
      </x:c>
    </x:row>
    <x:row r="410">
      <x:c r="A410" t="str">
        <x:v>OBS_JVWS_951A70DAF498E6AA3A28</x:v>
      </x:c>
      <x:c r="B410" t="str">
        <x:v>72202</x:v>
      </x:c>
      <x:c r="C410" t="str">
        <x:v>Power system electricians</x:v>
      </x:c>
      <x:c r="D410" t="str">
        <x:v>trade_power_line</x:v>
      </x:c>
      <x:c r="E410" t="str">
        <x:v>Job vacancies</x:v>
      </x:c>
      <x:c r="F410" s="145"/>
      <x:c r="G410" t="str">
        <x:v>Number</x:v>
      </x:c>
      <x:c r="H410" s="153" t="n">
        <x:v>42826</x:v>
      </x:c>
      <x:c r="I410" s="153" t="n">
        <x:v>42916</x:v>
      </x:c>
      <x:c r="J410" t="str">
        <x:v>observed</x:v>
      </x:c>
      <x:c r="K410" t="str">
        <x:v>STATCAN_JVWS_14100444</x:v>
      </x:c>
      <x:c r="L410" t="str">
        <x:v>TR_STATCAN_JVWS_AB_NOC_1_0_0</x:v>
      </x:c>
      <x:c r="M410" t="str">
        <x:v>status:F|value_missing_or_suppressed</x:v>
      </x:c>
      <x:c r="N410" t="str">
        <x:v>https://www150.statcan.gc.ca/t1/tbl1/en/tv.action?pid=1410044401</x:v>
      </x:c>
      <x:c r="O410" t="str">
        <x:v>PASS</x:v>
      </x:c>
    </x:row>
    <x:row r="411">
      <x:c r="A411" t="str">
        <x:v>OBS_JVWS_83DE83B7BA35FADB91E9</x:v>
      </x:c>
      <x:c r="B411" t="str">
        <x:v>72203</x:v>
      </x:c>
      <x:c r="C411" t="str">
        <x:v>Electrical power line and cable workers</x:v>
      </x:c>
      <x:c r="D411" t="str">
        <x:v>trade_power_line</x:v>
      </x:c>
      <x:c r="E411" t="str">
        <x:v>Average offered hourly wage</x:v>
      </x:c>
      <x:c r="F411" s="145"/>
      <x:c r="G411" t="str">
        <x:v>Dollars</x:v>
      </x:c>
      <x:c r="H411" s="153" t="n">
        <x:v>42826</x:v>
      </x:c>
      <x:c r="I411" s="153" t="n">
        <x:v>42916</x:v>
      </x:c>
      <x:c r="J411" t="str">
        <x:v>observed</x:v>
      </x:c>
      <x:c r="K411" t="str">
        <x:v>STATCAN_JVWS_14100444</x:v>
      </x:c>
      <x:c r="L411" t="str">
        <x:v>TR_STATCAN_JVWS_AB_NOC_1_0_0</x:v>
      </x:c>
      <x:c r="M411" t="str">
        <x:v>status:F|value_missing_or_suppressed</x:v>
      </x:c>
      <x:c r="N411" t="str">
        <x:v>https://www150.statcan.gc.ca/t1/tbl1/en/tv.action?pid=1410044401</x:v>
      </x:c>
      <x:c r="O411" t="str">
        <x:v>PASS</x:v>
      </x:c>
    </x:row>
    <x:row r="412">
      <x:c r="A412" t="str">
        <x:v>OBS_JVWS_D444A424E16CA4B61E4A</x:v>
      </x:c>
      <x:c r="B412" t="str">
        <x:v>72203</x:v>
      </x:c>
      <x:c r="C412" t="str">
        <x:v>Electrical power line and cable workers</x:v>
      </x:c>
      <x:c r="D412" t="str">
        <x:v>trade_power_line</x:v>
      </x:c>
      <x:c r="E412" t="str">
        <x:v>Job vacancies</x:v>
      </x:c>
      <x:c r="F412" s="145"/>
      <x:c r="G412" t="str">
        <x:v>Number</x:v>
      </x:c>
      <x:c r="H412" s="153" t="n">
        <x:v>42826</x:v>
      </x:c>
      <x:c r="I412" s="153" t="n">
        <x:v>42916</x:v>
      </x:c>
      <x:c r="J412" t="str">
        <x:v>observed</x:v>
      </x:c>
      <x:c r="K412" t="str">
        <x:v>STATCAN_JVWS_14100444</x:v>
      </x:c>
      <x:c r="L412" t="str">
        <x:v>TR_STATCAN_JVWS_AB_NOC_1_0_0</x:v>
      </x:c>
      <x:c r="M412" t="str">
        <x:v>status:F|value_missing_or_suppressed</x:v>
      </x:c>
      <x:c r="N412" t="str">
        <x:v>https://www150.statcan.gc.ca/t1/tbl1/en/tv.action?pid=1410044401</x:v>
      </x:c>
      <x:c r="O412" t="str">
        <x:v>PASS</x:v>
      </x:c>
    </x:row>
    <x:row r="413">
      <x:c r="A413" t="str">
        <x:v>OBS_JVWS_89AD0F2F4F0E805CFA9E</x:v>
      </x:c>
      <x:c r="B413" t="str">
        <x:v>73100</x:v>
      </x:c>
      <x:c r="C413" t="str">
        <x:v>Concrete finishers</x:v>
      </x:c>
      <x:c r="D413" t="str">
        <x:v>trade_concrete</x:v>
      </x:c>
      <x:c r="E413" t="str">
        <x:v>Average offered hourly wage</x:v>
      </x:c>
      <x:c r="F413" s="145" t="n">
        <x:v>25.2</x:v>
      </x:c>
      <x:c r="G413" t="str">
        <x:v>Dollars</x:v>
      </x:c>
      <x:c r="H413" s="153" t="n">
        <x:v>42736</x:v>
      </x:c>
      <x:c r="I413" s="153" t="n">
        <x:v>42825</x:v>
      </x:c>
      <x:c r="J413" t="str">
        <x:v>observed</x:v>
      </x:c>
      <x:c r="K413" t="str">
        <x:v>STATCAN_JVWS_14100444</x:v>
      </x:c>
      <x:c r="L413" t="str">
        <x:v>TR_STATCAN_JVWS_AB_NOC_1_0_0</x:v>
      </x:c>
      <x:c r="M413" t="str">
        <x:v>status:B</x:v>
      </x:c>
      <x:c r="N413" t="str">
        <x:v>https://www150.statcan.gc.ca/t1/tbl1/en/tv.action?pid=1410044401</x:v>
      </x:c>
      <x:c r="O413" t="str">
        <x:v>PASS</x:v>
      </x:c>
    </x:row>
    <x:row r="414">
      <x:c r="A414" t="str">
        <x:v>OBS_JVWS_F4A7F2D835199EA746B6</x:v>
      </x:c>
      <x:c r="B414" t="str">
        <x:v>73100</x:v>
      </x:c>
      <x:c r="C414" t="str">
        <x:v>Concrete finishers</x:v>
      </x:c>
      <x:c r="D414" t="str">
        <x:v>trade_concrete</x:v>
      </x:c>
      <x:c r="E414" t="str">
        <x:v>Job vacancies</x:v>
      </x:c>
      <x:c r="F414" s="145"/>
      <x:c r="G414" t="str">
        <x:v>Number</x:v>
      </x:c>
      <x:c r="H414" s="153" t="n">
        <x:v>42736</x:v>
      </x:c>
      <x:c r="I414" s="153" t="n">
        <x:v>42825</x:v>
      </x:c>
      <x:c r="J414" t="str">
        <x:v>observed</x:v>
      </x:c>
      <x:c r="K414" t="str">
        <x:v>STATCAN_JVWS_14100444</x:v>
      </x:c>
      <x:c r="L414" t="str">
        <x:v>TR_STATCAN_JVWS_AB_NOC_1_0_0</x:v>
      </x:c>
      <x:c r="M414" t="str">
        <x:v>status:F|value_missing_or_suppressed</x:v>
      </x:c>
      <x:c r="N414" t="str">
        <x:v>https://www150.statcan.gc.ca/t1/tbl1/en/tv.action?pid=1410044401</x:v>
      </x:c>
      <x:c r="O414" t="str">
        <x:v>PASS</x:v>
      </x:c>
    </x:row>
    <x:row r="415">
      <x:c r="A415" t="str">
        <x:v>OBS_JVWS_2036E408F068C190A72D</x:v>
      </x:c>
      <x:c r="B415" t="str">
        <x:v>72200</x:v>
      </x:c>
      <x:c r="C415" t="str">
        <x:v>Electricians (except industrial and power system)</x:v>
      </x:c>
      <x:c r="D415" t="str">
        <x:v>trade_electricians</x:v>
      </x:c>
      <x:c r="E415" t="str">
        <x:v>Average offered hourly wage</x:v>
      </x:c>
      <x:c r="F415" s="145" t="n">
        <x:v>26.3</x:v>
      </x:c>
      <x:c r="G415" t="str">
        <x:v>Dollars</x:v>
      </x:c>
      <x:c r="H415" s="153" t="n">
        <x:v>42736</x:v>
      </x:c>
      <x:c r="I415" s="153" t="n">
        <x:v>42825</x:v>
      </x:c>
      <x:c r="J415" t="str">
        <x:v>observed</x:v>
      </x:c>
      <x:c r="K415" t="str">
        <x:v>STATCAN_JVWS_14100444</x:v>
      </x:c>
      <x:c r="L415" t="str">
        <x:v>TR_STATCAN_JVWS_AB_NOC_1_0_0</x:v>
      </x:c>
      <x:c r="M415" t="str">
        <x:v>status:E</x:v>
      </x:c>
      <x:c r="N415" t="str">
        <x:v>https://www150.statcan.gc.ca/t1/tbl1/en/tv.action?pid=1410044401</x:v>
      </x:c>
      <x:c r="O415" t="str">
        <x:v>PASS</x:v>
      </x:c>
    </x:row>
    <x:row r="416">
      <x:c r="A416" t="str">
        <x:v>OBS_JVWS_5F7752B3982F145E18F9</x:v>
      </x:c>
      <x:c r="B416" t="str">
        <x:v>72200</x:v>
      </x:c>
      <x:c r="C416" t="str">
        <x:v>Electricians (except industrial and power system)</x:v>
      </x:c>
      <x:c r="D416" t="str">
        <x:v>trade_electricians</x:v>
      </x:c>
      <x:c r="E416" t="str">
        <x:v>Job vacancies</x:v>
      </x:c>
      <x:c r="F416" s="145"/>
      <x:c r="G416" t="str">
        <x:v>Number</x:v>
      </x:c>
      <x:c r="H416" s="153" t="n">
        <x:v>42736</x:v>
      </x:c>
      <x:c r="I416" s="153" t="n">
        <x:v>42825</x:v>
      </x:c>
      <x:c r="J416" t="str">
        <x:v>observed</x:v>
      </x:c>
      <x:c r="K416" t="str">
        <x:v>STATCAN_JVWS_14100444</x:v>
      </x:c>
      <x:c r="L416" t="str">
        <x:v>TR_STATCAN_JVWS_AB_NOC_1_0_0</x:v>
      </x:c>
      <x:c r="M416" t="str">
        <x:v>status:F|value_missing_or_suppressed</x:v>
      </x:c>
      <x:c r="N416" t="str">
        <x:v>https://www150.statcan.gc.ca/t1/tbl1/en/tv.action?pid=1410044401</x:v>
      </x:c>
      <x:c r="O416" t="str">
        <x:v>PASS</x:v>
      </x:c>
    </x:row>
    <x:row r="417">
      <x:c r="A417" t="str">
        <x:v>OBS_JVWS_F56D250214A52A88E43F</x:v>
      </x:c>
      <x:c r="B417" t="str">
        <x:v>72201</x:v>
      </x:c>
      <x:c r="C417" t="str">
        <x:v>Industrial electricians</x:v>
      </x:c>
      <x:c r="D417" t="str">
        <x:v>trade_electricians</x:v>
      </x:c>
      <x:c r="E417" t="str">
        <x:v>Average offered hourly wage</x:v>
      </x:c>
      <x:c r="F417" s="145" t="n">
        <x:v>25.95</x:v>
      </x:c>
      <x:c r="G417" t="str">
        <x:v>Dollars</x:v>
      </x:c>
      <x:c r="H417" s="153" t="n">
        <x:v>42736</x:v>
      </x:c>
      <x:c r="I417" s="153" t="n">
        <x:v>42825</x:v>
      </x:c>
      <x:c r="J417" t="str">
        <x:v>observed</x:v>
      </x:c>
      <x:c r="K417" t="str">
        <x:v>STATCAN_JVWS_14100444</x:v>
      </x:c>
      <x:c r="L417" t="str">
        <x:v>TR_STATCAN_JVWS_AB_NOC_1_0_0</x:v>
      </x:c>
      <x:c r="M417" t="str">
        <x:v>status:D</x:v>
      </x:c>
      <x:c r="N417" t="str">
        <x:v>https://www150.statcan.gc.ca/t1/tbl1/en/tv.action?pid=1410044401</x:v>
      </x:c>
      <x:c r="O417" t="str">
        <x:v>PASS</x:v>
      </x:c>
    </x:row>
    <x:row r="418">
      <x:c r="A418" t="str">
        <x:v>OBS_JVWS_0E185C74E4D02F517B1A</x:v>
      </x:c>
      <x:c r="B418" t="str">
        <x:v>72201</x:v>
      </x:c>
      <x:c r="C418" t="str">
        <x:v>Industrial electricians</x:v>
      </x:c>
      <x:c r="D418" t="str">
        <x:v>trade_electricians</x:v>
      </x:c>
      <x:c r="E418" t="str">
        <x:v>Job vacancies</x:v>
      </x:c>
      <x:c r="F418" s="145"/>
      <x:c r="G418" t="str">
        <x:v>Number</x:v>
      </x:c>
      <x:c r="H418" s="153" t="n">
        <x:v>42736</x:v>
      </x:c>
      <x:c r="I418" s="153" t="n">
        <x:v>42825</x:v>
      </x:c>
      <x:c r="J418" t="str">
        <x:v>observed</x:v>
      </x:c>
      <x:c r="K418" t="str">
        <x:v>STATCAN_JVWS_14100444</x:v>
      </x:c>
      <x:c r="L418" t="str">
        <x:v>TR_STATCAN_JVWS_AB_NOC_1_0_0</x:v>
      </x:c>
      <x:c r="M418" t="str">
        <x:v>status:F|value_missing_or_suppressed</x:v>
      </x:c>
      <x:c r="N418" t="str">
        <x:v>https://www150.statcan.gc.ca/t1/tbl1/en/tv.action?pid=1410044401</x:v>
      </x:c>
      <x:c r="O418" t="str">
        <x:v>PASS</x:v>
      </x:c>
    </x:row>
    <x:row r="419">
      <x:c r="A419" t="str">
        <x:v>OBS_JVWS_BBBBF04D0675E5409536</x:v>
      </x:c>
      <x:c r="B419" t="str">
        <x:v>72402</x:v>
      </x:c>
      <x:c r="C419" t="str">
        <x:v>Heating, refrigeration and air conditioning mechanics</x:v>
      </x:c>
      <x:c r="D419" t="str">
        <x:v>trade_hvac</x:v>
      </x:c>
      <x:c r="E419" t="str">
        <x:v>Average offered hourly wage</x:v>
      </x:c>
      <x:c r="F419" s="145" t="n">
        <x:v>30.85</x:v>
      </x:c>
      <x:c r="G419" t="str">
        <x:v>Dollars</x:v>
      </x:c>
      <x:c r="H419" s="153" t="n">
        <x:v>42736</x:v>
      </x:c>
      <x:c r="I419" s="153" t="n">
        <x:v>42825</x:v>
      </x:c>
      <x:c r="J419" t="str">
        <x:v>observed</x:v>
      </x:c>
      <x:c r="K419" t="str">
        <x:v>STATCAN_JVWS_14100444</x:v>
      </x:c>
      <x:c r="L419" t="str">
        <x:v>TR_STATCAN_JVWS_AB_NOC_1_0_0</x:v>
      </x:c>
      <x:c r="M419" t="str">
        <x:v>status:D</x:v>
      </x:c>
      <x:c r="N419" t="str">
        <x:v>https://www150.statcan.gc.ca/t1/tbl1/en/tv.action?pid=1410044401</x:v>
      </x:c>
      <x:c r="O419" t="str">
        <x:v>PASS</x:v>
      </x:c>
    </x:row>
    <x:row r="420">
      <x:c r="A420" t="str">
        <x:v>OBS_JVWS_5F8ADEBB33999A841B38</x:v>
      </x:c>
      <x:c r="B420" t="str">
        <x:v>72402</x:v>
      </x:c>
      <x:c r="C420" t="str">
        <x:v>Heating, refrigeration and air conditioning mechanics</x:v>
      </x:c>
      <x:c r="D420" t="str">
        <x:v>trade_hvac</x:v>
      </x:c>
      <x:c r="E420" t="str">
        <x:v>Job vacancies</x:v>
      </x:c>
      <x:c r="F420" s="145"/>
      <x:c r="G420" t="str">
        <x:v>Number</x:v>
      </x:c>
      <x:c r="H420" s="153" t="n">
        <x:v>42736</x:v>
      </x:c>
      <x:c r="I420" s="153" t="n">
        <x:v>42825</x:v>
      </x:c>
      <x:c r="J420" t="str">
        <x:v>observed</x:v>
      </x:c>
      <x:c r="K420" t="str">
        <x:v>STATCAN_JVWS_14100444</x:v>
      </x:c>
      <x:c r="L420" t="str">
        <x:v>TR_STATCAN_JVWS_AB_NOC_1_0_0</x:v>
      </x:c>
      <x:c r="M420" t="str">
        <x:v>status:F|value_missing_or_suppressed</x:v>
      </x:c>
      <x:c r="N420" t="str">
        <x:v>https://www150.statcan.gc.ca/t1/tbl1/en/tv.action?pid=1410044401</x:v>
      </x:c>
      <x:c r="O420" t="str">
        <x:v>PASS</x:v>
      </x:c>
    </x:row>
    <x:row r="421">
      <x:c r="A421" t="str">
        <x:v>OBS_JVWS_280F69B2C4952ABB0EBF</x:v>
      </x:c>
      <x:c r="B421" t="str">
        <x:v>72202</x:v>
      </x:c>
      <x:c r="C421" t="str">
        <x:v>Power system electricians</x:v>
      </x:c>
      <x:c r="D421" t="str">
        <x:v>trade_power_line</x:v>
      </x:c>
      <x:c r="E421" t="str">
        <x:v>Average offered hourly wage</x:v>
      </x:c>
      <x:c r="F421" s="145"/>
      <x:c r="G421" t="str">
        <x:v>Dollars</x:v>
      </x:c>
      <x:c r="H421" s="153" t="n">
        <x:v>42736</x:v>
      </x:c>
      <x:c r="I421" s="153" t="n">
        <x:v>42825</x:v>
      </x:c>
      <x:c r="J421" t="str">
        <x:v>observed</x:v>
      </x:c>
      <x:c r="K421" t="str">
        <x:v>STATCAN_JVWS_14100444</x:v>
      </x:c>
      <x:c r="L421" t="str">
        <x:v>TR_STATCAN_JVWS_AB_NOC_1_0_0</x:v>
      </x:c>
      <x:c r="M421" t="str">
        <x:v>status:..|value_missing_or_suppressed</x:v>
      </x:c>
      <x:c r="N421" t="str">
        <x:v>https://www150.statcan.gc.ca/t1/tbl1/en/tv.action?pid=1410044401</x:v>
      </x:c>
      <x:c r="O421" t="str">
        <x:v>PASS</x:v>
      </x:c>
    </x:row>
    <x:row r="422">
      <x:c r="A422" t="str">
        <x:v>OBS_JVWS_97734CA4DAFD70F49889</x:v>
      </x:c>
      <x:c r="B422" t="str">
        <x:v>72202</x:v>
      </x:c>
      <x:c r="C422" t="str">
        <x:v>Power system electricians</x:v>
      </x:c>
      <x:c r="D422" t="str">
        <x:v>trade_power_line</x:v>
      </x:c>
      <x:c r="E422" t="str">
        <x:v>Job vacancies</x:v>
      </x:c>
      <x:c r="F422" s="145"/>
      <x:c r="G422" t="str">
        <x:v>Number</x:v>
      </x:c>
      <x:c r="H422" s="153" t="n">
        <x:v>42736</x:v>
      </x:c>
      <x:c r="I422" s="153" t="n">
        <x:v>42825</x:v>
      </x:c>
      <x:c r="J422" t="str">
        <x:v>observed</x:v>
      </x:c>
      <x:c r="K422" t="str">
        <x:v>STATCAN_JVWS_14100444</x:v>
      </x:c>
      <x:c r="L422" t="str">
        <x:v>TR_STATCAN_JVWS_AB_NOC_1_0_0</x:v>
      </x:c>
      <x:c r="M422" t="str">
        <x:v>status:..|value_missing_or_suppressed</x:v>
      </x:c>
      <x:c r="N422" t="str">
        <x:v>https://www150.statcan.gc.ca/t1/tbl1/en/tv.action?pid=1410044401</x:v>
      </x:c>
      <x:c r="O422" t="str">
        <x:v>PASS</x:v>
      </x:c>
    </x:row>
    <x:row r="423">
      <x:c r="A423" t="str">
        <x:v>OBS_JVWS_19C2265A32BFEE7AA971</x:v>
      </x:c>
      <x:c r="B423" t="str">
        <x:v>72203</x:v>
      </x:c>
      <x:c r="C423" t="str">
        <x:v>Electrical power line and cable workers</x:v>
      </x:c>
      <x:c r="D423" t="str">
        <x:v>trade_power_line</x:v>
      </x:c>
      <x:c r="E423" t="str">
        <x:v>Average offered hourly wage</x:v>
      </x:c>
      <x:c r="F423" s="145"/>
      <x:c r="G423" t="str">
        <x:v>Dollars</x:v>
      </x:c>
      <x:c r="H423" s="153" t="n">
        <x:v>42736</x:v>
      </x:c>
      <x:c r="I423" s="153" t="n">
        <x:v>42825</x:v>
      </x:c>
      <x:c r="J423" t="str">
        <x:v>observed</x:v>
      </x:c>
      <x:c r="K423" t="str">
        <x:v>STATCAN_JVWS_14100444</x:v>
      </x:c>
      <x:c r="L423" t="str">
        <x:v>TR_STATCAN_JVWS_AB_NOC_1_0_0</x:v>
      </x:c>
      <x:c r="M423" t="str">
        <x:v>status:F|value_missing_or_suppressed</x:v>
      </x:c>
      <x:c r="N423" t="str">
        <x:v>https://www150.statcan.gc.ca/t1/tbl1/en/tv.action?pid=1410044401</x:v>
      </x:c>
      <x:c r="O423" t="str">
        <x:v>PASS</x:v>
      </x:c>
    </x:row>
    <x:row r="424">
      <x:c r="A424" t="str">
        <x:v>OBS_JVWS_9CF5B9BBE6A7DA1B233F</x:v>
      </x:c>
      <x:c r="B424" t="str">
        <x:v>72203</x:v>
      </x:c>
      <x:c r="C424" t="str">
        <x:v>Electrical power line and cable workers</x:v>
      </x:c>
      <x:c r="D424" t="str">
        <x:v>trade_power_line</x:v>
      </x:c>
      <x:c r="E424" t="str">
        <x:v>Job vacancies</x:v>
      </x:c>
      <x:c r="F424" s="145"/>
      <x:c r="G424" t="str">
        <x:v>Number</x:v>
      </x:c>
      <x:c r="H424" s="153" t="n">
        <x:v>42736</x:v>
      </x:c>
      <x:c r="I424" s="153" t="n">
        <x:v>42825</x:v>
      </x:c>
      <x:c r="J424" t="str">
        <x:v>observed</x:v>
      </x:c>
      <x:c r="K424" t="str">
        <x:v>STATCAN_JVWS_14100444</x:v>
      </x:c>
      <x:c r="L424" t="str">
        <x:v>TR_STATCAN_JVWS_AB_NOC_1_0_0</x:v>
      </x:c>
      <x:c r="M424" t="str">
        <x:v>status:F|value_missing_or_suppressed</x:v>
      </x:c>
      <x:c r="N424" t="str">
        <x:v>https://www150.statcan.gc.ca/t1/tbl1/en/tv.action?pid=1410044401</x:v>
      </x:c>
      <x:c r="O424" t="str">
        <x:v>PASS</x:v>
      </x:c>
    </x:row>
    <x:row r="425">
      <x:c r="A425" t="str">
        <x:v>OBS_JVWS_0B359DCCE0BB0DFDB800</x:v>
      </x:c>
      <x:c r="B425" t="str">
        <x:v>73100</x:v>
      </x:c>
      <x:c r="C425" t="str">
        <x:v>Concrete finishers</x:v>
      </x:c>
      <x:c r="D425" t="str">
        <x:v>trade_concrete</x:v>
      </x:c>
      <x:c r="E425" t="str">
        <x:v>Average offered hourly wage</x:v>
      </x:c>
      <x:c r="F425" s="145"/>
      <x:c r="G425" t="str">
        <x:v>Dollars</x:v>
      </x:c>
      <x:c r="H425" s="153" t="n">
        <x:v>42644</x:v>
      </x:c>
      <x:c r="I425" s="153" t="n">
        <x:v>42735</x:v>
      </x:c>
      <x:c r="J425" t="str">
        <x:v>observed</x:v>
      </x:c>
      <x:c r="K425" t="str">
        <x:v>STATCAN_JVWS_14100444</x:v>
      </x:c>
      <x:c r="L425" t="str">
        <x:v>TR_STATCAN_JVWS_AB_NOC_1_0_0</x:v>
      </x:c>
      <x:c r="M425" t="str">
        <x:v>status:F|value_missing_or_suppressed</x:v>
      </x:c>
      <x:c r="N425" t="str">
        <x:v>https://www150.statcan.gc.ca/t1/tbl1/en/tv.action?pid=1410044401</x:v>
      </x:c>
      <x:c r="O425" t="str">
        <x:v>PASS</x:v>
      </x:c>
    </x:row>
    <x:row r="426">
      <x:c r="A426" t="str">
        <x:v>OBS_JVWS_07E8DB64628C338FA664</x:v>
      </x:c>
      <x:c r="B426" t="str">
        <x:v>73100</x:v>
      </x:c>
      <x:c r="C426" t="str">
        <x:v>Concrete finishers</x:v>
      </x:c>
      <x:c r="D426" t="str">
        <x:v>trade_concrete</x:v>
      </x:c>
      <x:c r="E426" t="str">
        <x:v>Job vacancies</x:v>
      </x:c>
      <x:c r="F426" s="145"/>
      <x:c r="G426" t="str">
        <x:v>Number</x:v>
      </x:c>
      <x:c r="H426" s="153" t="n">
        <x:v>42644</x:v>
      </x:c>
      <x:c r="I426" s="153" t="n">
        <x:v>42735</x:v>
      </x:c>
      <x:c r="J426" t="str">
        <x:v>observed</x:v>
      </x:c>
      <x:c r="K426" t="str">
        <x:v>STATCAN_JVWS_14100444</x:v>
      </x:c>
      <x:c r="L426" t="str">
        <x:v>TR_STATCAN_JVWS_AB_NOC_1_0_0</x:v>
      </x:c>
      <x:c r="M426" t="str">
        <x:v>status:F|value_missing_or_suppressed</x:v>
      </x:c>
      <x:c r="N426" t="str">
        <x:v>https://www150.statcan.gc.ca/t1/tbl1/en/tv.action?pid=1410044401</x:v>
      </x:c>
      <x:c r="O426" t="str">
        <x:v>PASS</x:v>
      </x:c>
    </x:row>
    <x:row r="427">
      <x:c r="A427" t="str">
        <x:v>OBS_JVWS_10B2C0F8C19F4B47B0D3</x:v>
      </x:c>
      <x:c r="B427" t="str">
        <x:v>72200</x:v>
      </x:c>
      <x:c r="C427" t="str">
        <x:v>Electricians (except industrial and power system)</x:v>
      </x:c>
      <x:c r="D427" t="str">
        <x:v>trade_electricians</x:v>
      </x:c>
      <x:c r="E427" t="str">
        <x:v>Average offered hourly wage</x:v>
      </x:c>
      <x:c r="F427" s="145" t="n">
        <x:v>21.15</x:v>
      </x:c>
      <x:c r="G427" t="str">
        <x:v>Dollars</x:v>
      </x:c>
      <x:c r="H427" s="153" t="n">
        <x:v>42644</x:v>
      </x:c>
      <x:c r="I427" s="153" t="n">
        <x:v>42735</x:v>
      </x:c>
      <x:c r="J427" t="str">
        <x:v>observed</x:v>
      </x:c>
      <x:c r="K427" t="str">
        <x:v>STATCAN_JVWS_14100444</x:v>
      </x:c>
      <x:c r="L427" t="str">
        <x:v>TR_STATCAN_JVWS_AB_NOC_1_0_0</x:v>
      </x:c>
      <x:c r="M427" t="str">
        <x:v>status:C</x:v>
      </x:c>
      <x:c r="N427" t="str">
        <x:v>https://www150.statcan.gc.ca/t1/tbl1/en/tv.action?pid=1410044401</x:v>
      </x:c>
      <x:c r="O427" t="str">
        <x:v>PASS</x:v>
      </x:c>
    </x:row>
    <x:row r="428">
      <x:c r="A428" t="str">
        <x:v>OBS_JVWS_11C7FD478867AD46F532</x:v>
      </x:c>
      <x:c r="B428" t="str">
        <x:v>72200</x:v>
      </x:c>
      <x:c r="C428" t="str">
        <x:v>Electricians (except industrial and power system)</x:v>
      </x:c>
      <x:c r="D428" t="str">
        <x:v>trade_electricians</x:v>
      </x:c>
      <x:c r="E428" t="str">
        <x:v>Job vacancies</x:v>
      </x:c>
      <x:c r="F428" s="145"/>
      <x:c r="G428" t="str">
        <x:v>Number</x:v>
      </x:c>
      <x:c r="H428" s="153" t="n">
        <x:v>42644</x:v>
      </x:c>
      <x:c r="I428" s="153" t="n">
        <x:v>42735</x:v>
      </x:c>
      <x:c r="J428" t="str">
        <x:v>observed</x:v>
      </x:c>
      <x:c r="K428" t="str">
        <x:v>STATCAN_JVWS_14100444</x:v>
      </x:c>
      <x:c r="L428" t="str">
        <x:v>TR_STATCAN_JVWS_AB_NOC_1_0_0</x:v>
      </x:c>
      <x:c r="M428" t="str">
        <x:v>status:F|value_missing_or_suppressed</x:v>
      </x:c>
      <x:c r="N428" t="str">
        <x:v>https://www150.statcan.gc.ca/t1/tbl1/en/tv.action?pid=1410044401</x:v>
      </x:c>
      <x:c r="O428" t="str">
        <x:v>PASS</x:v>
      </x:c>
    </x:row>
    <x:row r="429">
      <x:c r="A429" t="str">
        <x:v>OBS_JVWS_75CA53930C957F95B2A7</x:v>
      </x:c>
      <x:c r="B429" t="str">
        <x:v>72201</x:v>
      </x:c>
      <x:c r="C429" t="str">
        <x:v>Industrial electricians</x:v>
      </x:c>
      <x:c r="D429" t="str">
        <x:v>trade_electricians</x:v>
      </x:c>
      <x:c r="E429" t="str">
        <x:v>Average offered hourly wage</x:v>
      </x:c>
      <x:c r="F429" s="145"/>
      <x:c r="G429" t="str">
        <x:v>Dollars</x:v>
      </x:c>
      <x:c r="H429" s="153" t="n">
        <x:v>42644</x:v>
      </x:c>
      <x:c r="I429" s="153" t="n">
        <x:v>42735</x:v>
      </x:c>
      <x:c r="J429" t="str">
        <x:v>observed</x:v>
      </x:c>
      <x:c r="K429" t="str">
        <x:v>STATCAN_JVWS_14100444</x:v>
      </x:c>
      <x:c r="L429" t="str">
        <x:v>TR_STATCAN_JVWS_AB_NOC_1_0_0</x:v>
      </x:c>
      <x:c r="M429" t="str">
        <x:v>status:x|value_missing_or_suppressed</x:v>
      </x:c>
      <x:c r="N429" t="str">
        <x:v>https://www150.statcan.gc.ca/t1/tbl1/en/tv.action?pid=1410044401</x:v>
      </x:c>
      <x:c r="O429" t="str">
        <x:v>PASS</x:v>
      </x:c>
    </x:row>
    <x:row r="430">
      <x:c r="A430" t="str">
        <x:v>OBS_JVWS_CC450E27D7F86F9C6FF8</x:v>
      </x:c>
      <x:c r="B430" t="str">
        <x:v>72201</x:v>
      </x:c>
      <x:c r="C430" t="str">
        <x:v>Industrial electricians</x:v>
      </x:c>
      <x:c r="D430" t="str">
        <x:v>trade_electricians</x:v>
      </x:c>
      <x:c r="E430" t="str">
        <x:v>Job vacancies</x:v>
      </x:c>
      <x:c r="F430" s="145"/>
      <x:c r="G430" t="str">
        <x:v>Number</x:v>
      </x:c>
      <x:c r="H430" s="153" t="n">
        <x:v>42644</x:v>
      </x:c>
      <x:c r="I430" s="153" t="n">
        <x:v>42735</x:v>
      </x:c>
      <x:c r="J430" t="str">
        <x:v>observed</x:v>
      </x:c>
      <x:c r="K430" t="str">
        <x:v>STATCAN_JVWS_14100444</x:v>
      </x:c>
      <x:c r="L430" t="str">
        <x:v>TR_STATCAN_JVWS_AB_NOC_1_0_0</x:v>
      </x:c>
      <x:c r="M430" t="str">
        <x:v>status:x|value_missing_or_suppressed</x:v>
      </x:c>
      <x:c r="N430" t="str">
        <x:v>https://www150.statcan.gc.ca/t1/tbl1/en/tv.action?pid=1410044401</x:v>
      </x:c>
      <x:c r="O430" t="str">
        <x:v>PASS</x:v>
      </x:c>
    </x:row>
    <x:row r="431">
      <x:c r="A431" t="str">
        <x:v>OBS_JVWS_82A440C29B466A2BC6DD</x:v>
      </x:c>
      <x:c r="B431" t="str">
        <x:v>72402</x:v>
      </x:c>
      <x:c r="C431" t="str">
        <x:v>Heating, refrigeration and air conditioning mechanics</x:v>
      </x:c>
      <x:c r="D431" t="str">
        <x:v>trade_hvac</x:v>
      </x:c>
      <x:c r="E431" t="str">
        <x:v>Average offered hourly wage</x:v>
      </x:c>
      <x:c r="F431" s="145" t="n">
        <x:v>35.15</x:v>
      </x:c>
      <x:c r="G431" t="str">
        <x:v>Dollars</x:v>
      </x:c>
      <x:c r="H431" s="153" t="n">
        <x:v>42644</x:v>
      </x:c>
      <x:c r="I431" s="153" t="n">
        <x:v>42735</x:v>
      </x:c>
      <x:c r="J431" t="str">
        <x:v>observed</x:v>
      </x:c>
      <x:c r="K431" t="str">
        <x:v>STATCAN_JVWS_14100444</x:v>
      </x:c>
      <x:c r="L431" t="str">
        <x:v>TR_STATCAN_JVWS_AB_NOC_1_0_0</x:v>
      </x:c>
      <x:c r="M431" t="str">
        <x:v>status:B</x:v>
      </x:c>
      <x:c r="N431" t="str">
        <x:v>https://www150.statcan.gc.ca/t1/tbl1/en/tv.action?pid=1410044401</x:v>
      </x:c>
      <x:c r="O431" t="str">
        <x:v>PASS</x:v>
      </x:c>
    </x:row>
    <x:row r="432">
      <x:c r="A432" t="str">
        <x:v>OBS_JVWS_23530312212E3FA7046E</x:v>
      </x:c>
      <x:c r="B432" t="str">
        <x:v>72402</x:v>
      </x:c>
      <x:c r="C432" t="str">
        <x:v>Heating, refrigeration and air conditioning mechanics</x:v>
      </x:c>
      <x:c r="D432" t="str">
        <x:v>trade_hvac</x:v>
      </x:c>
      <x:c r="E432" t="str">
        <x:v>Job vacancies</x:v>
      </x:c>
      <x:c r="F432" s="145"/>
      <x:c r="G432" t="str">
        <x:v>Number</x:v>
      </x:c>
      <x:c r="H432" s="153" t="n">
        <x:v>42644</x:v>
      </x:c>
      <x:c r="I432" s="153" t="n">
        <x:v>42735</x:v>
      </x:c>
      <x:c r="J432" t="str">
        <x:v>observed</x:v>
      </x:c>
      <x:c r="K432" t="str">
        <x:v>STATCAN_JVWS_14100444</x:v>
      </x:c>
      <x:c r="L432" t="str">
        <x:v>TR_STATCAN_JVWS_AB_NOC_1_0_0</x:v>
      </x:c>
      <x:c r="M432" t="str">
        <x:v>status:F|value_missing_or_suppressed</x:v>
      </x:c>
      <x:c r="N432" t="str">
        <x:v>https://www150.statcan.gc.ca/t1/tbl1/en/tv.action?pid=1410044401</x:v>
      </x:c>
      <x:c r="O432" t="str">
        <x:v>PASS</x:v>
      </x:c>
    </x:row>
    <x:row r="433">
      <x:c r="A433" t="str">
        <x:v>OBS_JVWS_E0E6285EE03251BC374B</x:v>
      </x:c>
      <x:c r="B433" t="str">
        <x:v>72202</x:v>
      </x:c>
      <x:c r="C433" t="str">
        <x:v>Power system electricians</x:v>
      </x:c>
      <x:c r="D433" t="str">
        <x:v>trade_power_line</x:v>
      </x:c>
      <x:c r="E433" t="str">
        <x:v>Average offered hourly wage</x:v>
      </x:c>
      <x:c r="F433" s="145"/>
      <x:c r="G433" t="str">
        <x:v>Dollars</x:v>
      </x:c>
      <x:c r="H433" s="153" t="n">
        <x:v>42644</x:v>
      </x:c>
      <x:c r="I433" s="153" t="n">
        <x:v>42735</x:v>
      </x:c>
      <x:c r="J433" t="str">
        <x:v>observed</x:v>
      </x:c>
      <x:c r="K433" t="str">
        <x:v>STATCAN_JVWS_14100444</x:v>
      </x:c>
      <x:c r="L433" t="str">
        <x:v>TR_STATCAN_JVWS_AB_NOC_1_0_0</x:v>
      </x:c>
      <x:c r="M433" t="str">
        <x:v>status:F|value_missing_or_suppressed</x:v>
      </x:c>
      <x:c r="N433" t="str">
        <x:v>https://www150.statcan.gc.ca/t1/tbl1/en/tv.action?pid=1410044401</x:v>
      </x:c>
      <x:c r="O433" t="str">
        <x:v>PASS</x:v>
      </x:c>
    </x:row>
    <x:row r="434">
      <x:c r="A434" t="str">
        <x:v>OBS_JVWS_D59696112034584A4A88</x:v>
      </x:c>
      <x:c r="B434" t="str">
        <x:v>72202</x:v>
      </x:c>
      <x:c r="C434" t="str">
        <x:v>Power system electricians</x:v>
      </x:c>
      <x:c r="D434" t="str">
        <x:v>trade_power_line</x:v>
      </x:c>
      <x:c r="E434" t="str">
        <x:v>Job vacancies</x:v>
      </x:c>
      <x:c r="F434" s="145"/>
      <x:c r="G434" t="str">
        <x:v>Number</x:v>
      </x:c>
      <x:c r="H434" s="153" t="n">
        <x:v>42644</x:v>
      </x:c>
      <x:c r="I434" s="153" t="n">
        <x:v>42735</x:v>
      </x:c>
      <x:c r="J434" t="str">
        <x:v>observed</x:v>
      </x:c>
      <x:c r="K434" t="str">
        <x:v>STATCAN_JVWS_14100444</x:v>
      </x:c>
      <x:c r="L434" t="str">
        <x:v>TR_STATCAN_JVWS_AB_NOC_1_0_0</x:v>
      </x:c>
      <x:c r="M434" t="str">
        <x:v>status:F|value_missing_or_suppressed</x:v>
      </x:c>
      <x:c r="N434" t="str">
        <x:v>https://www150.statcan.gc.ca/t1/tbl1/en/tv.action?pid=1410044401</x:v>
      </x:c>
      <x:c r="O434" t="str">
        <x:v>PASS</x:v>
      </x:c>
    </x:row>
    <x:row r="435">
      <x:c r="A435" t="str">
        <x:v>OBS_JVWS_AE859FB15A8850B95370</x:v>
      </x:c>
      <x:c r="B435" t="str">
        <x:v>72203</x:v>
      </x:c>
      <x:c r="C435" t="str">
        <x:v>Electrical power line and cable workers</x:v>
      </x:c>
      <x:c r="D435" t="str">
        <x:v>trade_power_line</x:v>
      </x:c>
      <x:c r="E435" t="str">
        <x:v>Average offered hourly wage</x:v>
      </x:c>
      <x:c r="F435" s="145"/>
      <x:c r="G435" t="str">
        <x:v>Dollars</x:v>
      </x:c>
      <x:c r="H435" s="153" t="n">
        <x:v>42644</x:v>
      </x:c>
      <x:c r="I435" s="153" t="n">
        <x:v>42735</x:v>
      </x:c>
      <x:c r="J435" t="str">
        <x:v>observed</x:v>
      </x:c>
      <x:c r="K435" t="str">
        <x:v>STATCAN_JVWS_14100444</x:v>
      </x:c>
      <x:c r="L435" t="str">
        <x:v>TR_STATCAN_JVWS_AB_NOC_1_0_0</x:v>
      </x:c>
      <x:c r="M435" t="str">
        <x:v>status:x|value_missing_or_suppressed</x:v>
      </x:c>
      <x:c r="N435" t="str">
        <x:v>https://www150.statcan.gc.ca/t1/tbl1/en/tv.action?pid=1410044401</x:v>
      </x:c>
      <x:c r="O435" t="str">
        <x:v>PASS</x:v>
      </x:c>
    </x:row>
    <x:row r="436">
      <x:c r="A436" t="str">
        <x:v>OBS_JVWS_C9535BAAAF66F462FAB4</x:v>
      </x:c>
      <x:c r="B436" t="str">
        <x:v>72203</x:v>
      </x:c>
      <x:c r="C436" t="str">
        <x:v>Electrical power line and cable workers</x:v>
      </x:c>
      <x:c r="D436" t="str">
        <x:v>trade_power_line</x:v>
      </x:c>
      <x:c r="E436" t="str">
        <x:v>Job vacancies</x:v>
      </x:c>
      <x:c r="F436" s="145"/>
      <x:c r="G436" t="str">
        <x:v>Number</x:v>
      </x:c>
      <x:c r="H436" s="153" t="n">
        <x:v>42644</x:v>
      </x:c>
      <x:c r="I436" s="153" t="n">
        <x:v>42735</x:v>
      </x:c>
      <x:c r="J436" t="str">
        <x:v>observed</x:v>
      </x:c>
      <x:c r="K436" t="str">
        <x:v>STATCAN_JVWS_14100444</x:v>
      </x:c>
      <x:c r="L436" t="str">
        <x:v>TR_STATCAN_JVWS_AB_NOC_1_0_0</x:v>
      </x:c>
      <x:c r="M436" t="str">
        <x:v>status:x|value_missing_or_suppressed</x:v>
      </x:c>
      <x:c r="N436" t="str">
        <x:v>https://www150.statcan.gc.ca/t1/tbl1/en/tv.action?pid=1410044401</x:v>
      </x:c>
      <x:c r="O436" t="str">
        <x:v>PASS</x:v>
      </x:c>
    </x:row>
    <x:row r="437">
      <x:c r="A437" t="str">
        <x:v>OBS_JVWS_6DACA405436DD62CC8E3</x:v>
      </x:c>
      <x:c r="B437" t="str">
        <x:v>73100</x:v>
      </x:c>
      <x:c r="C437" t="str">
        <x:v>Concrete finishers</x:v>
      </x:c>
      <x:c r="D437" t="str">
        <x:v>trade_concrete</x:v>
      </x:c>
      <x:c r="E437" t="str">
        <x:v>Average offered hourly wage</x:v>
      </x:c>
      <x:c r="F437" s="145"/>
      <x:c r="G437" t="str">
        <x:v>Dollars</x:v>
      </x:c>
      <x:c r="H437" s="153" t="n">
        <x:v>42552</x:v>
      </x:c>
      <x:c r="I437" s="153" t="n">
        <x:v>42643</x:v>
      </x:c>
      <x:c r="J437" t="str">
        <x:v>observed</x:v>
      </x:c>
      <x:c r="K437" t="str">
        <x:v>STATCAN_JVWS_14100444</x:v>
      </x:c>
      <x:c r="L437" t="str">
        <x:v>TR_STATCAN_JVWS_AB_NOC_1_0_0</x:v>
      </x:c>
      <x:c r="M437" t="str">
        <x:v>status:F|value_missing_or_suppressed</x:v>
      </x:c>
      <x:c r="N437" t="str">
        <x:v>https://www150.statcan.gc.ca/t1/tbl1/en/tv.action?pid=1410044401</x:v>
      </x:c>
      <x:c r="O437" t="str">
        <x:v>PASS</x:v>
      </x:c>
    </x:row>
    <x:row r="438">
      <x:c r="A438" t="str">
        <x:v>OBS_JVWS_155EBA3D89809272E980</x:v>
      </x:c>
      <x:c r="B438" t="str">
        <x:v>73100</x:v>
      </x:c>
      <x:c r="C438" t="str">
        <x:v>Concrete finishers</x:v>
      </x:c>
      <x:c r="D438" t="str">
        <x:v>trade_concrete</x:v>
      </x:c>
      <x:c r="E438" t="str">
        <x:v>Job vacancies</x:v>
      </x:c>
      <x:c r="F438" s="145"/>
      <x:c r="G438" t="str">
        <x:v>Number</x:v>
      </x:c>
      <x:c r="H438" s="153" t="n">
        <x:v>42552</x:v>
      </x:c>
      <x:c r="I438" s="153" t="n">
        <x:v>42643</x:v>
      </x:c>
      <x:c r="J438" t="str">
        <x:v>observed</x:v>
      </x:c>
      <x:c r="K438" t="str">
        <x:v>STATCAN_JVWS_14100444</x:v>
      </x:c>
      <x:c r="L438" t="str">
        <x:v>TR_STATCAN_JVWS_AB_NOC_1_0_0</x:v>
      </x:c>
      <x:c r="M438" t="str">
        <x:v>status:F|value_missing_or_suppressed</x:v>
      </x:c>
      <x:c r="N438" t="str">
        <x:v>https://www150.statcan.gc.ca/t1/tbl1/en/tv.action?pid=1410044401</x:v>
      </x:c>
      <x:c r="O438" t="str">
        <x:v>PASS</x:v>
      </x:c>
    </x:row>
    <x:row r="439">
      <x:c r="A439" t="str">
        <x:v>OBS_JVWS_7B20344CBD246A0D1E71</x:v>
      </x:c>
      <x:c r="B439" t="str">
        <x:v>72200</x:v>
      </x:c>
      <x:c r="C439" t="str">
        <x:v>Electricians (except industrial and power system)</x:v>
      </x:c>
      <x:c r="D439" t="str">
        <x:v>trade_electricians</x:v>
      </x:c>
      <x:c r="E439" t="str">
        <x:v>Average offered hourly wage</x:v>
      </x:c>
      <x:c r="F439" s="145" t="n">
        <x:v>19.65</x:v>
      </x:c>
      <x:c r="G439" t="str">
        <x:v>Dollars</x:v>
      </x:c>
      <x:c r="H439" s="153" t="n">
        <x:v>42552</x:v>
      </x:c>
      <x:c r="I439" s="153" t="n">
        <x:v>42643</x:v>
      </x:c>
      <x:c r="J439" t="str">
        <x:v>observed</x:v>
      </x:c>
      <x:c r="K439" t="str">
        <x:v>STATCAN_JVWS_14100444</x:v>
      </x:c>
      <x:c r="L439" t="str">
        <x:v>TR_STATCAN_JVWS_AB_NOC_1_0_0</x:v>
      </x:c>
      <x:c r="M439" t="str">
        <x:v>status:C</x:v>
      </x:c>
      <x:c r="N439" t="str">
        <x:v>https://www150.statcan.gc.ca/t1/tbl1/en/tv.action?pid=1410044401</x:v>
      </x:c>
      <x:c r="O439" t="str">
        <x:v>PASS</x:v>
      </x:c>
    </x:row>
    <x:row r="440">
      <x:c r="A440" t="str">
        <x:v>OBS_JVWS_BFD8D5888AA4D02F6DB0</x:v>
      </x:c>
      <x:c r="B440" t="str">
        <x:v>72200</x:v>
      </x:c>
      <x:c r="C440" t="str">
        <x:v>Electricians (except industrial and power system)</x:v>
      </x:c>
      <x:c r="D440" t="str">
        <x:v>trade_electricians</x:v>
      </x:c>
      <x:c r="E440" t="str">
        <x:v>Job vacancies</x:v>
      </x:c>
      <x:c r="F440" s="145"/>
      <x:c r="G440" t="str">
        <x:v>Number</x:v>
      </x:c>
      <x:c r="H440" s="153" t="n">
        <x:v>42552</x:v>
      </x:c>
      <x:c r="I440" s="153" t="n">
        <x:v>42643</x:v>
      </x:c>
      <x:c r="J440" t="str">
        <x:v>observed</x:v>
      </x:c>
      <x:c r="K440" t="str">
        <x:v>STATCAN_JVWS_14100444</x:v>
      </x:c>
      <x:c r="L440" t="str">
        <x:v>TR_STATCAN_JVWS_AB_NOC_1_0_0</x:v>
      </x:c>
      <x:c r="M440" t="str">
        <x:v>status:F|value_missing_or_suppressed</x:v>
      </x:c>
      <x:c r="N440" t="str">
        <x:v>https://www150.statcan.gc.ca/t1/tbl1/en/tv.action?pid=1410044401</x:v>
      </x:c>
      <x:c r="O440" t="str">
        <x:v>PASS</x:v>
      </x:c>
    </x:row>
    <x:row r="441">
      <x:c r="A441" t="str">
        <x:v>OBS_JVWS_FC09FFB946E3BE1B9F16</x:v>
      </x:c>
      <x:c r="B441" t="str">
        <x:v>72201</x:v>
      </x:c>
      <x:c r="C441" t="str">
        <x:v>Industrial electricians</x:v>
      </x:c>
      <x:c r="D441" t="str">
        <x:v>trade_electricians</x:v>
      </x:c>
      <x:c r="E441" t="str">
        <x:v>Average offered hourly wage</x:v>
      </x:c>
      <x:c r="F441" s="145" t="n">
        <x:v>27.85</x:v>
      </x:c>
      <x:c r="G441" t="str">
        <x:v>Dollars</x:v>
      </x:c>
      <x:c r="H441" s="153" t="n">
        <x:v>42552</x:v>
      </x:c>
      <x:c r="I441" s="153" t="n">
        <x:v>42643</x:v>
      </x:c>
      <x:c r="J441" t="str">
        <x:v>observed</x:v>
      </x:c>
      <x:c r="K441" t="str">
        <x:v>STATCAN_JVWS_14100444</x:v>
      </x:c>
      <x:c r="L441" t="str">
        <x:v>TR_STATCAN_JVWS_AB_NOC_1_0_0</x:v>
      </x:c>
      <x:c r="M441" t="str">
        <x:v>status:B</x:v>
      </x:c>
      <x:c r="N441" t="str">
        <x:v>https://www150.statcan.gc.ca/t1/tbl1/en/tv.action?pid=1410044401</x:v>
      </x:c>
      <x:c r="O441" t="str">
        <x:v>PASS</x:v>
      </x:c>
    </x:row>
    <x:row r="442">
      <x:c r="A442" t="str">
        <x:v>OBS_JVWS_E93FBBC46373FD9F0673</x:v>
      </x:c>
      <x:c r="B442" t="str">
        <x:v>72201</x:v>
      </x:c>
      <x:c r="C442" t="str">
        <x:v>Industrial electricians</x:v>
      </x:c>
      <x:c r="D442" t="str">
        <x:v>trade_electricians</x:v>
      </x:c>
      <x:c r="E442" t="str">
        <x:v>Job vacancies</x:v>
      </x:c>
      <x:c r="F442" s="145"/>
      <x:c r="G442" t="str">
        <x:v>Number</x:v>
      </x:c>
      <x:c r="H442" s="153" t="n">
        <x:v>42552</x:v>
      </x:c>
      <x:c r="I442" s="153" t="n">
        <x:v>42643</x:v>
      </x:c>
      <x:c r="J442" t="str">
        <x:v>observed</x:v>
      </x:c>
      <x:c r="K442" t="str">
        <x:v>STATCAN_JVWS_14100444</x:v>
      </x:c>
      <x:c r="L442" t="str">
        <x:v>TR_STATCAN_JVWS_AB_NOC_1_0_0</x:v>
      </x:c>
      <x:c r="M442" t="str">
        <x:v>status:F|value_missing_or_suppressed</x:v>
      </x:c>
      <x:c r="N442" t="str">
        <x:v>https://www150.statcan.gc.ca/t1/tbl1/en/tv.action?pid=1410044401</x:v>
      </x:c>
      <x:c r="O442" t="str">
        <x:v>PASS</x:v>
      </x:c>
    </x:row>
    <x:row r="443">
      <x:c r="A443" t="str">
        <x:v>OBS_JVWS_40E1C5C67E7AEF4ADFF9</x:v>
      </x:c>
      <x:c r="B443" t="str">
        <x:v>72402</x:v>
      </x:c>
      <x:c r="C443" t="str">
        <x:v>Heating, refrigeration and air conditioning mechanics</x:v>
      </x:c>
      <x:c r="D443" t="str">
        <x:v>trade_hvac</x:v>
      </x:c>
      <x:c r="E443" t="str">
        <x:v>Average offered hourly wage</x:v>
      </x:c>
      <x:c r="F443" s="145" t="n">
        <x:v>41.95</x:v>
      </x:c>
      <x:c r="G443" t="str">
        <x:v>Dollars</x:v>
      </x:c>
      <x:c r="H443" s="153" t="n">
        <x:v>42552</x:v>
      </x:c>
      <x:c r="I443" s="153" t="n">
        <x:v>42643</x:v>
      </x:c>
      <x:c r="J443" t="str">
        <x:v>observed</x:v>
      </x:c>
      <x:c r="K443" t="str">
        <x:v>STATCAN_JVWS_14100444</x:v>
      </x:c>
      <x:c r="L443" t="str">
        <x:v>TR_STATCAN_JVWS_AB_NOC_1_0_0</x:v>
      </x:c>
      <x:c r="M443" t="str">
        <x:v>status:A</x:v>
      </x:c>
      <x:c r="N443" t="str">
        <x:v>https://www150.statcan.gc.ca/t1/tbl1/en/tv.action?pid=1410044401</x:v>
      </x:c>
      <x:c r="O443" t="str">
        <x:v>PASS</x:v>
      </x:c>
    </x:row>
    <x:row r="444">
      <x:c r="A444" t="str">
        <x:v>OBS_JVWS_7DF37EECCD6CB32FDC74</x:v>
      </x:c>
      <x:c r="B444" t="str">
        <x:v>72402</x:v>
      </x:c>
      <x:c r="C444" t="str">
        <x:v>Heating, refrigeration and air conditioning mechanics</x:v>
      </x:c>
      <x:c r="D444" t="str">
        <x:v>trade_hvac</x:v>
      </x:c>
      <x:c r="E444" t="str">
        <x:v>Job vacancies</x:v>
      </x:c>
      <x:c r="F444" s="145"/>
      <x:c r="G444" t="str">
        <x:v>Number</x:v>
      </x:c>
      <x:c r="H444" s="153" t="n">
        <x:v>42552</x:v>
      </x:c>
      <x:c r="I444" s="153" t="n">
        <x:v>42643</x:v>
      </x:c>
      <x:c r="J444" t="str">
        <x:v>observed</x:v>
      </x:c>
      <x:c r="K444" t="str">
        <x:v>STATCAN_JVWS_14100444</x:v>
      </x:c>
      <x:c r="L444" t="str">
        <x:v>TR_STATCAN_JVWS_AB_NOC_1_0_0</x:v>
      </x:c>
      <x:c r="M444" t="str">
        <x:v>status:F|value_missing_or_suppressed</x:v>
      </x:c>
      <x:c r="N444" t="str">
        <x:v>https://www150.statcan.gc.ca/t1/tbl1/en/tv.action?pid=1410044401</x:v>
      </x:c>
      <x:c r="O444" t="str">
        <x:v>PASS</x:v>
      </x:c>
    </x:row>
    <x:row r="445">
      <x:c r="A445" t="str">
        <x:v>OBS_JVWS_3762F5E98D316FC65821</x:v>
      </x:c>
      <x:c r="B445" t="str">
        <x:v>72202</x:v>
      </x:c>
      <x:c r="C445" t="str">
        <x:v>Power system electricians</x:v>
      </x:c>
      <x:c r="D445" t="str">
        <x:v>trade_power_line</x:v>
      </x:c>
      <x:c r="E445" t="str">
        <x:v>Average offered hourly wage</x:v>
      </x:c>
      <x:c r="F445" s="145"/>
      <x:c r="G445" t="str">
        <x:v>Dollars</x:v>
      </x:c>
      <x:c r="H445" s="153" t="n">
        <x:v>42552</x:v>
      </x:c>
      <x:c r="I445" s="153" t="n">
        <x:v>42643</x:v>
      </x:c>
      <x:c r="J445" t="str">
        <x:v>observed</x:v>
      </x:c>
      <x:c r="K445" t="str">
        <x:v>STATCAN_JVWS_14100444</x:v>
      </x:c>
      <x:c r="L445" t="str">
        <x:v>TR_STATCAN_JVWS_AB_NOC_1_0_0</x:v>
      </x:c>
      <x:c r="M445" t="str">
        <x:v>status:..|value_missing_or_suppressed</x:v>
      </x:c>
      <x:c r="N445" t="str">
        <x:v>https://www150.statcan.gc.ca/t1/tbl1/en/tv.action?pid=1410044401</x:v>
      </x:c>
      <x:c r="O445" t="str">
        <x:v>PASS</x:v>
      </x:c>
    </x:row>
    <x:row r="446">
      <x:c r="A446" t="str">
        <x:v>OBS_JVWS_B17C59983B3A97491AFA</x:v>
      </x:c>
      <x:c r="B446" t="str">
        <x:v>72202</x:v>
      </x:c>
      <x:c r="C446" t="str">
        <x:v>Power system electricians</x:v>
      </x:c>
      <x:c r="D446" t="str">
        <x:v>trade_power_line</x:v>
      </x:c>
      <x:c r="E446" t="str">
        <x:v>Job vacancies</x:v>
      </x:c>
      <x:c r="F446" s="145"/>
      <x:c r="G446" t="str">
        <x:v>Number</x:v>
      </x:c>
      <x:c r="H446" s="153" t="n">
        <x:v>42552</x:v>
      </x:c>
      <x:c r="I446" s="153" t="n">
        <x:v>42643</x:v>
      </x:c>
      <x:c r="J446" t="str">
        <x:v>observed</x:v>
      </x:c>
      <x:c r="K446" t="str">
        <x:v>STATCAN_JVWS_14100444</x:v>
      </x:c>
      <x:c r="L446" t="str">
        <x:v>TR_STATCAN_JVWS_AB_NOC_1_0_0</x:v>
      </x:c>
      <x:c r="M446" t="str">
        <x:v>status:..|value_missing_or_suppressed</x:v>
      </x:c>
      <x:c r="N446" t="str">
        <x:v>https://www150.statcan.gc.ca/t1/tbl1/en/tv.action?pid=1410044401</x:v>
      </x:c>
      <x:c r="O446" t="str">
        <x:v>PASS</x:v>
      </x:c>
    </x:row>
    <x:row r="447">
      <x:c r="A447" t="str">
        <x:v>OBS_JVWS_0BC6F18F977F5FAFC489</x:v>
      </x:c>
      <x:c r="B447" t="str">
        <x:v>72203</x:v>
      </x:c>
      <x:c r="C447" t="str">
        <x:v>Electrical power line and cable workers</x:v>
      </x:c>
      <x:c r="D447" t="str">
        <x:v>trade_power_line</x:v>
      </x:c>
      <x:c r="E447" t="str">
        <x:v>Average offered hourly wage</x:v>
      </x:c>
      <x:c r="F447" s="145"/>
      <x:c r="G447" t="str">
        <x:v>Dollars</x:v>
      </x:c>
      <x:c r="H447" s="153" t="n">
        <x:v>42552</x:v>
      </x:c>
      <x:c r="I447" s="153" t="n">
        <x:v>42643</x:v>
      </x:c>
      <x:c r="J447" t="str">
        <x:v>observed</x:v>
      </x:c>
      <x:c r="K447" t="str">
        <x:v>STATCAN_JVWS_14100444</x:v>
      </x:c>
      <x:c r="L447" t="str">
        <x:v>TR_STATCAN_JVWS_AB_NOC_1_0_0</x:v>
      </x:c>
      <x:c r="M447" t="str">
        <x:v>status:F|value_missing_or_suppressed</x:v>
      </x:c>
      <x:c r="N447" t="str">
        <x:v>https://www150.statcan.gc.ca/t1/tbl1/en/tv.action?pid=1410044401</x:v>
      </x:c>
      <x:c r="O447" t="str">
        <x:v>PASS</x:v>
      </x:c>
    </x:row>
    <x:row r="448">
      <x:c r="A448" t="str">
        <x:v>OBS_JVWS_DC13F856946CB8CD367B</x:v>
      </x:c>
      <x:c r="B448" t="str">
        <x:v>72203</x:v>
      </x:c>
      <x:c r="C448" t="str">
        <x:v>Electrical power line and cable workers</x:v>
      </x:c>
      <x:c r="D448" t="str">
        <x:v>trade_power_line</x:v>
      </x:c>
      <x:c r="E448" t="str">
        <x:v>Job vacancies</x:v>
      </x:c>
      <x:c r="F448" s="145"/>
      <x:c r="G448" t="str">
        <x:v>Number</x:v>
      </x:c>
      <x:c r="H448" s="153" t="n">
        <x:v>42552</x:v>
      </x:c>
      <x:c r="I448" s="153" t="n">
        <x:v>42643</x:v>
      </x:c>
      <x:c r="J448" t="str">
        <x:v>observed</x:v>
      </x:c>
      <x:c r="K448" t="str">
        <x:v>STATCAN_JVWS_14100444</x:v>
      </x:c>
      <x:c r="L448" t="str">
        <x:v>TR_STATCAN_JVWS_AB_NOC_1_0_0</x:v>
      </x:c>
      <x:c r="M448" t="str">
        <x:v>status:F|value_missing_or_suppressed</x:v>
      </x:c>
      <x:c r="N448" t="str">
        <x:v>https://www150.statcan.gc.ca/t1/tbl1/en/tv.action?pid=1410044401</x:v>
      </x:c>
      <x:c r="O448" t="str">
        <x:v>PASS</x:v>
      </x:c>
    </x:row>
    <x:row r="449">
      <x:c r="A449" t="str">
        <x:v>OBS_JVWS_1E1456985DBE2D47D157</x:v>
      </x:c>
      <x:c r="B449" t="str">
        <x:v>73100</x:v>
      </x:c>
      <x:c r="C449" t="str">
        <x:v>Concrete finishers</x:v>
      </x:c>
      <x:c r="D449" t="str">
        <x:v>trade_concrete</x:v>
      </x:c>
      <x:c r="E449" t="str">
        <x:v>Average offered hourly wage</x:v>
      </x:c>
      <x:c r="F449" s="145" t="n">
        <x:v>27.2</x:v>
      </x:c>
      <x:c r="G449" t="str">
        <x:v>Dollars</x:v>
      </x:c>
      <x:c r="H449" s="153" t="n">
        <x:v>42461</x:v>
      </x:c>
      <x:c r="I449" s="153" t="n">
        <x:v>42551</x:v>
      </x:c>
      <x:c r="J449" t="str">
        <x:v>observed</x:v>
      </x:c>
      <x:c r="K449" t="str">
        <x:v>STATCAN_JVWS_14100444</x:v>
      </x:c>
      <x:c r="L449" t="str">
        <x:v>TR_STATCAN_JVWS_AB_NOC_1_0_0</x:v>
      </x:c>
      <x:c r="M449" t="str">
        <x:v>status:C</x:v>
      </x:c>
      <x:c r="N449" t="str">
        <x:v>https://www150.statcan.gc.ca/t1/tbl1/en/tv.action?pid=1410044401</x:v>
      </x:c>
      <x:c r="O449" t="str">
        <x:v>PASS</x:v>
      </x:c>
    </x:row>
    <x:row r="450">
      <x:c r="A450" t="str">
        <x:v>OBS_JVWS_854DA3EE6A1395CC547A</x:v>
      </x:c>
      <x:c r="B450" t="str">
        <x:v>73100</x:v>
      </x:c>
      <x:c r="C450" t="str">
        <x:v>Concrete finishers</x:v>
      </x:c>
      <x:c r="D450" t="str">
        <x:v>trade_concrete</x:v>
      </x:c>
      <x:c r="E450" t="str">
        <x:v>Job vacancies</x:v>
      </x:c>
      <x:c r="F450" s="145"/>
      <x:c r="G450" t="str">
        <x:v>Number</x:v>
      </x:c>
      <x:c r="H450" s="153" t="n">
        <x:v>42461</x:v>
      </x:c>
      <x:c r="I450" s="153" t="n">
        <x:v>42551</x:v>
      </x:c>
      <x:c r="J450" t="str">
        <x:v>observed</x:v>
      </x:c>
      <x:c r="K450" t="str">
        <x:v>STATCAN_JVWS_14100444</x:v>
      </x:c>
      <x:c r="L450" t="str">
        <x:v>TR_STATCAN_JVWS_AB_NOC_1_0_0</x:v>
      </x:c>
      <x:c r="M450" t="str">
        <x:v>status:F|value_missing_or_suppressed</x:v>
      </x:c>
      <x:c r="N450" t="str">
        <x:v>https://www150.statcan.gc.ca/t1/tbl1/en/tv.action?pid=1410044401</x:v>
      </x:c>
      <x:c r="O450" t="str">
        <x:v>PASS</x:v>
      </x:c>
    </x:row>
    <x:row r="451">
      <x:c r="A451" t="str">
        <x:v>OBS_JVWS_583BD4D41C65E18F5EB8</x:v>
      </x:c>
      <x:c r="B451" t="str">
        <x:v>72200</x:v>
      </x:c>
      <x:c r="C451" t="str">
        <x:v>Electricians (except industrial and power system)</x:v>
      </x:c>
      <x:c r="D451" t="str">
        <x:v>trade_electricians</x:v>
      </x:c>
      <x:c r="E451" t="str">
        <x:v>Average offered hourly wage</x:v>
      </x:c>
      <x:c r="F451" s="145" t="n">
        <x:v>34.25</x:v>
      </x:c>
      <x:c r="G451" t="str">
        <x:v>Dollars</x:v>
      </x:c>
      <x:c r="H451" s="153" t="n">
        <x:v>42461</x:v>
      </x:c>
      <x:c r="I451" s="153" t="n">
        <x:v>42551</x:v>
      </x:c>
      <x:c r="J451" t="str">
        <x:v>observed</x:v>
      </x:c>
      <x:c r="K451" t="str">
        <x:v>STATCAN_JVWS_14100444</x:v>
      </x:c>
      <x:c r="L451" t="str">
        <x:v>TR_STATCAN_JVWS_AB_NOC_1_0_0</x:v>
      </x:c>
      <x:c r="M451" t="str">
        <x:v>status:B</x:v>
      </x:c>
      <x:c r="N451" t="str">
        <x:v>https://www150.statcan.gc.ca/t1/tbl1/en/tv.action?pid=1410044401</x:v>
      </x:c>
      <x:c r="O451" t="str">
        <x:v>PASS</x:v>
      </x:c>
    </x:row>
    <x:row r="452">
      <x:c r="A452" t="str">
        <x:v>OBS_JVWS_295272FAFC6457874849</x:v>
      </x:c>
      <x:c r="B452" t="str">
        <x:v>72200</x:v>
      </x:c>
      <x:c r="C452" t="str">
        <x:v>Electricians (except industrial and power system)</x:v>
      </x:c>
      <x:c r="D452" t="str">
        <x:v>trade_electricians</x:v>
      </x:c>
      <x:c r="E452" t="str">
        <x:v>Job vacancies</x:v>
      </x:c>
      <x:c r="F452" s="145"/>
      <x:c r="G452" t="str">
        <x:v>Number</x:v>
      </x:c>
      <x:c r="H452" s="153" t="n">
        <x:v>42461</x:v>
      </x:c>
      <x:c r="I452" s="153" t="n">
        <x:v>42551</x:v>
      </x:c>
      <x:c r="J452" t="str">
        <x:v>observed</x:v>
      </x:c>
      <x:c r="K452" t="str">
        <x:v>STATCAN_JVWS_14100444</x:v>
      </x:c>
      <x:c r="L452" t="str">
        <x:v>TR_STATCAN_JVWS_AB_NOC_1_0_0</x:v>
      </x:c>
      <x:c r="M452" t="str">
        <x:v>status:F|value_missing_or_suppressed</x:v>
      </x:c>
      <x:c r="N452" t="str">
        <x:v>https://www150.statcan.gc.ca/t1/tbl1/en/tv.action?pid=1410044401</x:v>
      </x:c>
      <x:c r="O452" t="str">
        <x:v>PASS</x:v>
      </x:c>
    </x:row>
    <x:row r="453">
      <x:c r="A453" t="str">
        <x:v>OBS_JVWS_1334D4D857AD10976E11</x:v>
      </x:c>
      <x:c r="B453" t="str">
        <x:v>72201</x:v>
      </x:c>
      <x:c r="C453" t="str">
        <x:v>Industrial electricians</x:v>
      </x:c>
      <x:c r="D453" t="str">
        <x:v>trade_electricians</x:v>
      </x:c>
      <x:c r="E453" t="str">
        <x:v>Average offered hourly wage</x:v>
      </x:c>
      <x:c r="F453" s="145" t="n">
        <x:v>40.1</x:v>
      </x:c>
      <x:c r="G453" t="str">
        <x:v>Dollars</x:v>
      </x:c>
      <x:c r="H453" s="153" t="n">
        <x:v>42461</x:v>
      </x:c>
      <x:c r="I453" s="153" t="n">
        <x:v>42551</x:v>
      </x:c>
      <x:c r="J453" t="str">
        <x:v>observed</x:v>
      </x:c>
      <x:c r="K453" t="str">
        <x:v>STATCAN_JVWS_14100444</x:v>
      </x:c>
      <x:c r="L453" t="str">
        <x:v>TR_STATCAN_JVWS_AB_NOC_1_0_0</x:v>
      </x:c>
      <x:c r="M453" t="str">
        <x:v>status:A</x:v>
      </x:c>
      <x:c r="N453" t="str">
        <x:v>https://www150.statcan.gc.ca/t1/tbl1/en/tv.action?pid=1410044401</x:v>
      </x:c>
      <x:c r="O453" t="str">
        <x:v>PASS</x:v>
      </x:c>
    </x:row>
    <x:row r="454">
      <x:c r="A454" t="str">
        <x:v>OBS_JVWS_10C47347483F89BD0818</x:v>
      </x:c>
      <x:c r="B454" t="str">
        <x:v>72201</x:v>
      </x:c>
      <x:c r="C454" t="str">
        <x:v>Industrial electricians</x:v>
      </x:c>
      <x:c r="D454" t="str">
        <x:v>trade_electricians</x:v>
      </x:c>
      <x:c r="E454" t="str">
        <x:v>Job vacancies</x:v>
      </x:c>
      <x:c r="F454" s="145" t="n">
        <x:v>20</x:v>
      </x:c>
      <x:c r="G454" t="str">
        <x:v>Number</x:v>
      </x:c>
      <x:c r="H454" s="153" t="n">
        <x:v>42461</x:v>
      </x:c>
      <x:c r="I454" s="153" t="n">
        <x:v>42551</x:v>
      </x:c>
      <x:c r="J454" t="str">
        <x:v>observed</x:v>
      </x:c>
      <x:c r="K454" t="str">
        <x:v>STATCAN_JVWS_14100444</x:v>
      </x:c>
      <x:c r="L454" t="str">
        <x:v>TR_STATCAN_JVWS_AB_NOC_1_0_0</x:v>
      </x:c>
      <x:c r="M454" t="str">
        <x:v>status:D</x:v>
      </x:c>
      <x:c r="N454" t="str">
        <x:v>https://www150.statcan.gc.ca/t1/tbl1/en/tv.action?pid=1410044401</x:v>
      </x:c>
      <x:c r="O454" t="str">
        <x:v>PASS</x:v>
      </x:c>
    </x:row>
    <x:row r="455">
      <x:c r="A455" t="str">
        <x:v>OBS_JVWS_5AA13068524B4D570746</x:v>
      </x:c>
      <x:c r="B455" t="str">
        <x:v>72402</x:v>
      </x:c>
      <x:c r="C455" t="str">
        <x:v>Heating, refrigeration and air conditioning mechanics</x:v>
      </x:c>
      <x:c r="D455" t="str">
        <x:v>trade_hvac</x:v>
      </x:c>
      <x:c r="E455" t="str">
        <x:v>Average offered hourly wage</x:v>
      </x:c>
      <x:c r="F455" s="145" t="n">
        <x:v>36.4</x:v>
      </x:c>
      <x:c r="G455" t="str">
        <x:v>Dollars</x:v>
      </x:c>
      <x:c r="H455" s="153" t="n">
        <x:v>42461</x:v>
      </x:c>
      <x:c r="I455" s="153" t="n">
        <x:v>42551</x:v>
      </x:c>
      <x:c r="J455" t="str">
        <x:v>observed</x:v>
      </x:c>
      <x:c r="K455" t="str">
        <x:v>STATCAN_JVWS_14100444</x:v>
      </x:c>
      <x:c r="L455" t="str">
        <x:v>TR_STATCAN_JVWS_AB_NOC_1_0_0</x:v>
      </x:c>
      <x:c r="M455" t="str">
        <x:v>status:C</x:v>
      </x:c>
      <x:c r="N455" t="str">
        <x:v>https://www150.statcan.gc.ca/t1/tbl1/en/tv.action?pid=1410044401</x:v>
      </x:c>
      <x:c r="O455" t="str">
        <x:v>PASS</x:v>
      </x:c>
    </x:row>
    <x:row r="456">
      <x:c r="A456" t="str">
        <x:v>OBS_JVWS_9FF8F06C57183C48888E</x:v>
      </x:c>
      <x:c r="B456" t="str">
        <x:v>72402</x:v>
      </x:c>
      <x:c r="C456" t="str">
        <x:v>Heating, refrigeration and air conditioning mechanics</x:v>
      </x:c>
      <x:c r="D456" t="str">
        <x:v>trade_hvac</x:v>
      </x:c>
      <x:c r="E456" t="str">
        <x:v>Job vacancies</x:v>
      </x:c>
      <x:c r="F456" s="145"/>
      <x:c r="G456" t="str">
        <x:v>Number</x:v>
      </x:c>
      <x:c r="H456" s="153" t="n">
        <x:v>42461</x:v>
      </x:c>
      <x:c r="I456" s="153" t="n">
        <x:v>42551</x:v>
      </x:c>
      <x:c r="J456" t="str">
        <x:v>observed</x:v>
      </x:c>
      <x:c r="K456" t="str">
        <x:v>STATCAN_JVWS_14100444</x:v>
      </x:c>
      <x:c r="L456" t="str">
        <x:v>TR_STATCAN_JVWS_AB_NOC_1_0_0</x:v>
      </x:c>
      <x:c r="M456" t="str">
        <x:v>status:F|value_missing_or_suppressed</x:v>
      </x:c>
      <x:c r="N456" t="str">
        <x:v>https://www150.statcan.gc.ca/t1/tbl1/en/tv.action?pid=1410044401</x:v>
      </x:c>
      <x:c r="O456" t="str">
        <x:v>PASS</x:v>
      </x:c>
    </x:row>
    <x:row r="457">
      <x:c r="A457" t="str">
        <x:v>OBS_JVWS_FB3DB8AD8558A09DB83D</x:v>
      </x:c>
      <x:c r="B457" t="str">
        <x:v>72202</x:v>
      </x:c>
      <x:c r="C457" t="str">
        <x:v>Power system electricians</x:v>
      </x:c>
      <x:c r="D457" t="str">
        <x:v>trade_power_line</x:v>
      </x:c>
      <x:c r="E457" t="str">
        <x:v>Average offered hourly wage</x:v>
      </x:c>
      <x:c r="F457" s="145"/>
      <x:c r="G457" t="str">
        <x:v>Dollars</x:v>
      </x:c>
      <x:c r="H457" s="153" t="n">
        <x:v>42461</x:v>
      </x:c>
      <x:c r="I457" s="153" t="n">
        <x:v>42551</x:v>
      </x:c>
      <x:c r="J457" t="str">
        <x:v>observed</x:v>
      </x:c>
      <x:c r="K457" t="str">
        <x:v>STATCAN_JVWS_14100444</x:v>
      </x:c>
      <x:c r="L457" t="str">
        <x:v>TR_STATCAN_JVWS_AB_NOC_1_0_0</x:v>
      </x:c>
      <x:c r="M457" t="str">
        <x:v>status:..|value_missing_or_suppressed</x:v>
      </x:c>
      <x:c r="N457" t="str">
        <x:v>https://www150.statcan.gc.ca/t1/tbl1/en/tv.action?pid=1410044401</x:v>
      </x:c>
      <x:c r="O457" t="str">
        <x:v>PASS</x:v>
      </x:c>
    </x:row>
    <x:row r="458">
      <x:c r="A458" t="str">
        <x:v>OBS_JVWS_6A79F76819E05F5A7950</x:v>
      </x:c>
      <x:c r="B458" t="str">
        <x:v>72202</x:v>
      </x:c>
      <x:c r="C458" t="str">
        <x:v>Power system electricians</x:v>
      </x:c>
      <x:c r="D458" t="str">
        <x:v>trade_power_line</x:v>
      </x:c>
      <x:c r="E458" t="str">
        <x:v>Job vacancies</x:v>
      </x:c>
      <x:c r="F458" s="145"/>
      <x:c r="G458" t="str">
        <x:v>Number</x:v>
      </x:c>
      <x:c r="H458" s="153" t="n">
        <x:v>42461</x:v>
      </x:c>
      <x:c r="I458" s="153" t="n">
        <x:v>42551</x:v>
      </x:c>
      <x:c r="J458" t="str">
        <x:v>observed</x:v>
      </x:c>
      <x:c r="K458" t="str">
        <x:v>STATCAN_JVWS_14100444</x:v>
      </x:c>
      <x:c r="L458" t="str">
        <x:v>TR_STATCAN_JVWS_AB_NOC_1_0_0</x:v>
      </x:c>
      <x:c r="M458" t="str">
        <x:v>status:..|value_missing_or_suppressed</x:v>
      </x:c>
      <x:c r="N458" t="str">
        <x:v>https://www150.statcan.gc.ca/t1/tbl1/en/tv.action?pid=1410044401</x:v>
      </x:c>
      <x:c r="O458" t="str">
        <x:v>PASS</x:v>
      </x:c>
    </x:row>
    <x:row r="459">
      <x:c r="A459" t="str">
        <x:v>OBS_JVWS_9213447539D03D2CA14B</x:v>
      </x:c>
      <x:c r="B459" t="str">
        <x:v>72203</x:v>
      </x:c>
      <x:c r="C459" t="str">
        <x:v>Electrical power line and cable workers</x:v>
      </x:c>
      <x:c r="D459" t="str">
        <x:v>trade_power_line</x:v>
      </x:c>
      <x:c r="E459" t="str">
        <x:v>Average offered hourly wage</x:v>
      </x:c>
      <x:c r="F459" s="145"/>
      <x:c r="G459" t="str">
        <x:v>Dollars</x:v>
      </x:c>
      <x:c r="H459" s="153" t="n">
        <x:v>42461</x:v>
      </x:c>
      <x:c r="I459" s="153" t="n">
        <x:v>42551</x:v>
      </x:c>
      <x:c r="J459" t="str">
        <x:v>observed</x:v>
      </x:c>
      <x:c r="K459" t="str">
        <x:v>STATCAN_JVWS_14100444</x:v>
      </x:c>
      <x:c r="L459" t="str">
        <x:v>TR_STATCAN_JVWS_AB_NOC_1_0_0</x:v>
      </x:c>
      <x:c r="M459" t="str">
        <x:v>status:F|value_missing_or_suppressed</x:v>
      </x:c>
      <x:c r="N459" t="str">
        <x:v>https://www150.statcan.gc.ca/t1/tbl1/en/tv.action?pid=1410044401</x:v>
      </x:c>
      <x:c r="O459" t="str">
        <x:v>PASS</x:v>
      </x:c>
    </x:row>
    <x:row r="460">
      <x:c r="A460" t="str">
        <x:v>OBS_JVWS_BE825FC21A26769AB4EA</x:v>
      </x:c>
      <x:c r="B460" t="str">
        <x:v>72203</x:v>
      </x:c>
      <x:c r="C460" t="str">
        <x:v>Electrical power line and cable workers</x:v>
      </x:c>
      <x:c r="D460" t="str">
        <x:v>trade_power_line</x:v>
      </x:c>
      <x:c r="E460" t="str">
        <x:v>Job vacancies</x:v>
      </x:c>
      <x:c r="F460" s="145"/>
      <x:c r="G460" t="str">
        <x:v>Number</x:v>
      </x:c>
      <x:c r="H460" s="153" t="n">
        <x:v>42461</x:v>
      </x:c>
      <x:c r="I460" s="153" t="n">
        <x:v>42551</x:v>
      </x:c>
      <x:c r="J460" t="str">
        <x:v>observed</x:v>
      </x:c>
      <x:c r="K460" t="str">
        <x:v>STATCAN_JVWS_14100444</x:v>
      </x:c>
      <x:c r="L460" t="str">
        <x:v>TR_STATCAN_JVWS_AB_NOC_1_0_0</x:v>
      </x:c>
      <x:c r="M460" t="str">
        <x:v>status:F|value_missing_or_suppressed</x:v>
      </x:c>
      <x:c r="N460" t="str">
        <x:v>https://www150.statcan.gc.ca/t1/tbl1/en/tv.action?pid=1410044401</x:v>
      </x:c>
      <x:c r="O460" t="str">
        <x:v>PASS</x:v>
      </x:c>
    </x:row>
    <x:row r="461">
      <x:c r="A461" t="str">
        <x:v>OBS_JVWS_78EC852AD16B1872B7EF</x:v>
      </x:c>
      <x:c r="B461" t="str">
        <x:v>73100</x:v>
      </x:c>
      <x:c r="C461" t="str">
        <x:v>Concrete finishers</x:v>
      </x:c>
      <x:c r="D461" t="str">
        <x:v>trade_concrete</x:v>
      </x:c>
      <x:c r="E461" t="str">
        <x:v>Average offered hourly wage</x:v>
      </x:c>
      <x:c r="F461" s="145"/>
      <x:c r="G461" t="str">
        <x:v>Dollars</x:v>
      </x:c>
      <x:c r="H461" s="153" t="n">
        <x:v>42370</x:v>
      </x:c>
      <x:c r="I461" s="153" t="n">
        <x:v>42460</x:v>
      </x:c>
      <x:c r="J461" t="str">
        <x:v>observed</x:v>
      </x:c>
      <x:c r="K461" t="str">
        <x:v>STATCAN_JVWS_14100444</x:v>
      </x:c>
      <x:c r="L461" t="str">
        <x:v>TR_STATCAN_JVWS_AB_NOC_1_0_0</x:v>
      </x:c>
      <x:c r="M461" t="str">
        <x:v>status:F|value_missing_or_suppressed</x:v>
      </x:c>
      <x:c r="N461" t="str">
        <x:v>https://www150.statcan.gc.ca/t1/tbl1/en/tv.action?pid=1410044401</x:v>
      </x:c>
      <x:c r="O461" t="str">
        <x:v>PASS</x:v>
      </x:c>
    </x:row>
    <x:row r="462">
      <x:c r="A462" t="str">
        <x:v>OBS_JVWS_53777AABF409A11C5069</x:v>
      </x:c>
      <x:c r="B462" t="str">
        <x:v>73100</x:v>
      </x:c>
      <x:c r="C462" t="str">
        <x:v>Concrete finishers</x:v>
      </x:c>
      <x:c r="D462" t="str">
        <x:v>trade_concrete</x:v>
      </x:c>
      <x:c r="E462" t="str">
        <x:v>Job vacancies</x:v>
      </x:c>
      <x:c r="F462" s="145"/>
      <x:c r="G462" t="str">
        <x:v>Number</x:v>
      </x:c>
      <x:c r="H462" s="153" t="n">
        <x:v>42370</x:v>
      </x:c>
      <x:c r="I462" s="153" t="n">
        <x:v>42460</x:v>
      </x:c>
      <x:c r="J462" t="str">
        <x:v>observed</x:v>
      </x:c>
      <x:c r="K462" t="str">
        <x:v>STATCAN_JVWS_14100444</x:v>
      </x:c>
      <x:c r="L462" t="str">
        <x:v>TR_STATCAN_JVWS_AB_NOC_1_0_0</x:v>
      </x:c>
      <x:c r="M462" t="str">
        <x:v>status:F|value_missing_or_suppressed</x:v>
      </x:c>
      <x:c r="N462" t="str">
        <x:v>https://www150.statcan.gc.ca/t1/tbl1/en/tv.action?pid=1410044401</x:v>
      </x:c>
      <x:c r="O462" t="str">
        <x:v>PASS</x:v>
      </x:c>
    </x:row>
    <x:row r="463">
      <x:c r="A463" t="str">
        <x:v>OBS_JVWS_5515ECEA78FF0BA5A76F</x:v>
      </x:c>
      <x:c r="B463" t="str">
        <x:v>72200</x:v>
      </x:c>
      <x:c r="C463" t="str">
        <x:v>Electricians (except industrial and power system)</x:v>
      </x:c>
      <x:c r="D463" t="str">
        <x:v>trade_electricians</x:v>
      </x:c>
      <x:c r="E463" t="str">
        <x:v>Average offered hourly wage</x:v>
      </x:c>
      <x:c r="F463" s="145" t="n">
        <x:v>24.7</x:v>
      </x:c>
      <x:c r="G463" t="str">
        <x:v>Dollars</x:v>
      </x:c>
      <x:c r="H463" s="153" t="n">
        <x:v>42370</x:v>
      </x:c>
      <x:c r="I463" s="153" t="n">
        <x:v>42460</x:v>
      </x:c>
      <x:c r="J463" t="str">
        <x:v>observed</x:v>
      </x:c>
      <x:c r="K463" t="str">
        <x:v>STATCAN_JVWS_14100444</x:v>
      </x:c>
      <x:c r="L463" t="str">
        <x:v>TR_STATCAN_JVWS_AB_NOC_1_0_0</x:v>
      </x:c>
      <x:c r="M463" t="str">
        <x:v>status:D</x:v>
      </x:c>
      <x:c r="N463" t="str">
        <x:v>https://www150.statcan.gc.ca/t1/tbl1/en/tv.action?pid=1410044401</x:v>
      </x:c>
      <x:c r="O463" t="str">
        <x:v>PASS</x:v>
      </x:c>
    </x:row>
    <x:row r="464">
      <x:c r="A464" t="str">
        <x:v>OBS_JVWS_7DB0158FE5030BFE49BD</x:v>
      </x:c>
      <x:c r="B464" t="str">
        <x:v>72200</x:v>
      </x:c>
      <x:c r="C464" t="str">
        <x:v>Electricians (except industrial and power system)</x:v>
      </x:c>
      <x:c r="D464" t="str">
        <x:v>trade_electricians</x:v>
      </x:c>
      <x:c r="E464" t="str">
        <x:v>Job vacancies</x:v>
      </x:c>
      <x:c r="F464" s="145"/>
      <x:c r="G464" t="str">
        <x:v>Number</x:v>
      </x:c>
      <x:c r="H464" s="153" t="n">
        <x:v>42370</x:v>
      </x:c>
      <x:c r="I464" s="153" t="n">
        <x:v>42460</x:v>
      </x:c>
      <x:c r="J464" t="str">
        <x:v>observed</x:v>
      </x:c>
      <x:c r="K464" t="str">
        <x:v>STATCAN_JVWS_14100444</x:v>
      </x:c>
      <x:c r="L464" t="str">
        <x:v>TR_STATCAN_JVWS_AB_NOC_1_0_0</x:v>
      </x:c>
      <x:c r="M464" t="str">
        <x:v>status:F|value_missing_or_suppressed</x:v>
      </x:c>
      <x:c r="N464" t="str">
        <x:v>https://www150.statcan.gc.ca/t1/tbl1/en/tv.action?pid=1410044401</x:v>
      </x:c>
      <x:c r="O464" t="str">
        <x:v>PASS</x:v>
      </x:c>
    </x:row>
    <x:row r="465">
      <x:c r="A465" t="str">
        <x:v>OBS_JVWS_AFFE65D9E4B8AAB6D8C0</x:v>
      </x:c>
      <x:c r="B465" t="str">
        <x:v>72201</x:v>
      </x:c>
      <x:c r="C465" t="str">
        <x:v>Industrial electricians</x:v>
      </x:c>
      <x:c r="D465" t="str">
        <x:v>trade_electricians</x:v>
      </x:c>
      <x:c r="E465" t="str">
        <x:v>Average offered hourly wage</x:v>
      </x:c>
      <x:c r="F465" s="145" t="n">
        <x:v>43.45</x:v>
      </x:c>
      <x:c r="G465" t="str">
        <x:v>Dollars</x:v>
      </x:c>
      <x:c r="H465" s="153" t="n">
        <x:v>42370</x:v>
      </x:c>
      <x:c r="I465" s="153" t="n">
        <x:v>42460</x:v>
      </x:c>
      <x:c r="J465" t="str">
        <x:v>observed</x:v>
      </x:c>
      <x:c r="K465" t="str">
        <x:v>STATCAN_JVWS_14100444</x:v>
      </x:c>
      <x:c r="L465" t="str">
        <x:v>TR_STATCAN_JVWS_AB_NOC_1_0_0</x:v>
      </x:c>
      <x:c r="M465" t="str">
        <x:v>status:A</x:v>
      </x:c>
      <x:c r="N465" t="str">
        <x:v>https://www150.statcan.gc.ca/t1/tbl1/en/tv.action?pid=1410044401</x:v>
      </x:c>
      <x:c r="O465" t="str">
        <x:v>PASS</x:v>
      </x:c>
    </x:row>
    <x:row r="466">
      <x:c r="A466" t="str">
        <x:v>OBS_JVWS_7ADE19B161ACA7EE0194</x:v>
      </x:c>
      <x:c r="B466" t="str">
        <x:v>72201</x:v>
      </x:c>
      <x:c r="C466" t="str">
        <x:v>Industrial electricians</x:v>
      </x:c>
      <x:c r="D466" t="str">
        <x:v>trade_electricians</x:v>
      </x:c>
      <x:c r="E466" t="str">
        <x:v>Job vacancies</x:v>
      </x:c>
      <x:c r="F466" s="145" t="n">
        <x:v>15</x:v>
      </x:c>
      <x:c r="G466" t="str">
        <x:v>Number</x:v>
      </x:c>
      <x:c r="H466" s="153" t="n">
        <x:v>42370</x:v>
      </x:c>
      <x:c r="I466" s="153" t="n">
        <x:v>42460</x:v>
      </x:c>
      <x:c r="J466" t="str">
        <x:v>observed</x:v>
      </x:c>
      <x:c r="K466" t="str">
        <x:v>STATCAN_JVWS_14100444</x:v>
      </x:c>
      <x:c r="L466" t="str">
        <x:v>TR_STATCAN_JVWS_AB_NOC_1_0_0</x:v>
      </x:c>
      <x:c r="M466" t="str">
        <x:v>status:E</x:v>
      </x:c>
      <x:c r="N466" t="str">
        <x:v>https://www150.statcan.gc.ca/t1/tbl1/en/tv.action?pid=1410044401</x:v>
      </x:c>
      <x:c r="O466" t="str">
        <x:v>PASS</x:v>
      </x:c>
    </x:row>
    <x:row r="467">
      <x:c r="A467" t="str">
        <x:v>OBS_JVWS_0C667569478008D6EC2A</x:v>
      </x:c>
      <x:c r="B467" t="str">
        <x:v>72402</x:v>
      </x:c>
      <x:c r="C467" t="str">
        <x:v>Heating, refrigeration and air conditioning mechanics</x:v>
      </x:c>
      <x:c r="D467" t="str">
        <x:v>trade_hvac</x:v>
      </x:c>
      <x:c r="E467" t="str">
        <x:v>Average offered hourly wage</x:v>
      </x:c>
      <x:c r="F467" s="145" t="n">
        <x:v>38.85</x:v>
      </x:c>
      <x:c r="G467" t="str">
        <x:v>Dollars</x:v>
      </x:c>
      <x:c r="H467" s="153" t="n">
        <x:v>42370</x:v>
      </x:c>
      <x:c r="I467" s="153" t="n">
        <x:v>42460</x:v>
      </x:c>
      <x:c r="J467" t="str">
        <x:v>observed</x:v>
      </x:c>
      <x:c r="K467" t="str">
        <x:v>STATCAN_JVWS_14100444</x:v>
      </x:c>
      <x:c r="L467" t="str">
        <x:v>TR_STATCAN_JVWS_AB_NOC_1_0_0</x:v>
      </x:c>
      <x:c r="M467" t="str">
        <x:v>status:B</x:v>
      </x:c>
      <x:c r="N467" t="str">
        <x:v>https://www150.statcan.gc.ca/t1/tbl1/en/tv.action?pid=1410044401</x:v>
      </x:c>
      <x:c r="O467" t="str">
        <x:v>PASS</x:v>
      </x:c>
    </x:row>
    <x:row r="468">
      <x:c r="A468" t="str">
        <x:v>OBS_JVWS_64B63D410B8FC6CCB1ED</x:v>
      </x:c>
      <x:c r="B468" t="str">
        <x:v>72402</x:v>
      </x:c>
      <x:c r="C468" t="str">
        <x:v>Heating, refrigeration and air conditioning mechanics</x:v>
      </x:c>
      <x:c r="D468" t="str">
        <x:v>trade_hvac</x:v>
      </x:c>
      <x:c r="E468" t="str">
        <x:v>Job vacancies</x:v>
      </x:c>
      <x:c r="F468" s="145"/>
      <x:c r="G468" t="str">
        <x:v>Number</x:v>
      </x:c>
      <x:c r="H468" s="153" t="n">
        <x:v>42370</x:v>
      </x:c>
      <x:c r="I468" s="153" t="n">
        <x:v>42460</x:v>
      </x:c>
      <x:c r="J468" t="str">
        <x:v>observed</x:v>
      </x:c>
      <x:c r="K468" t="str">
        <x:v>STATCAN_JVWS_14100444</x:v>
      </x:c>
      <x:c r="L468" t="str">
        <x:v>TR_STATCAN_JVWS_AB_NOC_1_0_0</x:v>
      </x:c>
      <x:c r="M468" t="str">
        <x:v>status:F|value_missing_or_suppressed</x:v>
      </x:c>
      <x:c r="N468" t="str">
        <x:v>https://www150.statcan.gc.ca/t1/tbl1/en/tv.action?pid=1410044401</x:v>
      </x:c>
      <x:c r="O468" t="str">
        <x:v>PASS</x:v>
      </x:c>
    </x:row>
    <x:row r="469">
      <x:c r="A469" t="str">
        <x:v>OBS_JVWS_68931156E17732EE8571</x:v>
      </x:c>
      <x:c r="B469" t="str">
        <x:v>72202</x:v>
      </x:c>
      <x:c r="C469" t="str">
        <x:v>Power system electricians</x:v>
      </x:c>
      <x:c r="D469" t="str">
        <x:v>trade_power_line</x:v>
      </x:c>
      <x:c r="E469" t="str">
        <x:v>Average offered hourly wage</x:v>
      </x:c>
      <x:c r="F469" s="145"/>
      <x:c r="G469" t="str">
        <x:v>Dollars</x:v>
      </x:c>
      <x:c r="H469" s="153" t="n">
        <x:v>42370</x:v>
      </x:c>
      <x:c r="I469" s="153" t="n">
        <x:v>42460</x:v>
      </x:c>
      <x:c r="J469" t="str">
        <x:v>observed</x:v>
      </x:c>
      <x:c r="K469" t="str">
        <x:v>STATCAN_JVWS_14100444</x:v>
      </x:c>
      <x:c r="L469" t="str">
        <x:v>TR_STATCAN_JVWS_AB_NOC_1_0_0</x:v>
      </x:c>
      <x:c r="M469" t="str">
        <x:v>status:F|value_missing_or_suppressed</x:v>
      </x:c>
      <x:c r="N469" t="str">
        <x:v>https://www150.statcan.gc.ca/t1/tbl1/en/tv.action?pid=1410044401</x:v>
      </x:c>
      <x:c r="O469" t="str">
        <x:v>PASS</x:v>
      </x:c>
    </x:row>
    <x:row r="470">
      <x:c r="A470" t="str">
        <x:v>OBS_JVWS_4646734CAB9BA5DBC639</x:v>
      </x:c>
      <x:c r="B470" t="str">
        <x:v>72202</x:v>
      </x:c>
      <x:c r="C470" t="str">
        <x:v>Power system electricians</x:v>
      </x:c>
      <x:c r="D470" t="str">
        <x:v>trade_power_line</x:v>
      </x:c>
      <x:c r="E470" t="str">
        <x:v>Job vacancies</x:v>
      </x:c>
      <x:c r="F470" s="145"/>
      <x:c r="G470" t="str">
        <x:v>Number</x:v>
      </x:c>
      <x:c r="H470" s="153" t="n">
        <x:v>42370</x:v>
      </x:c>
      <x:c r="I470" s="153" t="n">
        <x:v>42460</x:v>
      </x:c>
      <x:c r="J470" t="str">
        <x:v>observed</x:v>
      </x:c>
      <x:c r="K470" t="str">
        <x:v>STATCAN_JVWS_14100444</x:v>
      </x:c>
      <x:c r="L470" t="str">
        <x:v>TR_STATCAN_JVWS_AB_NOC_1_0_0</x:v>
      </x:c>
      <x:c r="M470" t="str">
        <x:v>status:F|value_missing_or_suppressed</x:v>
      </x:c>
      <x:c r="N470" t="str">
        <x:v>https://www150.statcan.gc.ca/t1/tbl1/en/tv.action?pid=1410044401</x:v>
      </x:c>
      <x:c r="O470" t="str">
        <x:v>PASS</x:v>
      </x:c>
    </x:row>
    <x:row r="471">
      <x:c r="A471" t="str">
        <x:v>OBS_JVWS_57C787A5574ECF085948</x:v>
      </x:c>
      <x:c r="B471" t="str">
        <x:v>72203</x:v>
      </x:c>
      <x:c r="C471" t="str">
        <x:v>Electrical power line and cable workers</x:v>
      </x:c>
      <x:c r="D471" t="str">
        <x:v>trade_power_line</x:v>
      </x:c>
      <x:c r="E471" t="str">
        <x:v>Average offered hourly wage</x:v>
      </x:c>
      <x:c r="F471" s="145" t="n">
        <x:v>27.8</x:v>
      </x:c>
      <x:c r="G471" t="str">
        <x:v>Dollars</x:v>
      </x:c>
      <x:c r="H471" s="153" t="n">
        <x:v>42370</x:v>
      </x:c>
      <x:c r="I471" s="153" t="n">
        <x:v>42460</x:v>
      </x:c>
      <x:c r="J471" t="str">
        <x:v>observed</x:v>
      </x:c>
      <x:c r="K471" t="str">
        <x:v>STATCAN_JVWS_14100444</x:v>
      </x:c>
      <x:c r="L471" t="str">
        <x:v>TR_STATCAN_JVWS_AB_NOC_1_0_0</x:v>
      </x:c>
      <x:c r="M471" t="str">
        <x:v>status:A</x:v>
      </x:c>
      <x:c r="N471" t="str">
        <x:v>https://www150.statcan.gc.ca/t1/tbl1/en/tv.action?pid=1410044401</x:v>
      </x:c>
      <x:c r="O471" t="str">
        <x:v>PASS</x:v>
      </x:c>
    </x:row>
    <x:row r="472">
      <x:c r="A472" t="str">
        <x:v>OBS_JVWS_DF140D0829A7A9B8F641</x:v>
      </x:c>
      <x:c r="B472" t="str">
        <x:v>72203</x:v>
      </x:c>
      <x:c r="C472" t="str">
        <x:v>Electrical power line and cable workers</x:v>
      </x:c>
      <x:c r="D472" t="str">
        <x:v>trade_power_line</x:v>
      </x:c>
      <x:c r="E472" t="str">
        <x:v>Job vacancies</x:v>
      </x:c>
      <x:c r="F472" s="145" t="n">
        <x:v>5</x:v>
      </x:c>
      <x:c r="G472" t="str">
        <x:v>Number</x:v>
      </x:c>
      <x:c r="H472" s="153" t="n">
        <x:v>42370</x:v>
      </x:c>
      <x:c r="I472" s="153" t="n">
        <x:v>42460</x:v>
      </x:c>
      <x:c r="J472" t="str">
        <x:v>observed</x:v>
      </x:c>
      <x:c r="K472" t="str">
        <x:v>STATCAN_JVWS_14100444</x:v>
      </x:c>
      <x:c r="L472" t="str">
        <x:v>TR_STATCAN_JVWS_AB_NOC_1_0_0</x:v>
      </x:c>
      <x:c r="M472" t="str">
        <x:v>status:D</x:v>
      </x:c>
      <x:c r="N472" t="str">
        <x:v>https://www150.statcan.gc.ca/t1/tbl1/en/tv.action?pid=1410044401</x:v>
      </x:c>
      <x:c r="O472" t="str">
        <x:v>PASS</x:v>
      </x:c>
    </x:row>
    <x:row r="473">
      <x:c r="A473" t="str">
        <x:v>OBS_JVWS_B4BCA55875A4A6486246</x:v>
      </x:c>
      <x:c r="B473" t="str">
        <x:v>73100</x:v>
      </x:c>
      <x:c r="C473" t="str">
        <x:v>Concrete finishers</x:v>
      </x:c>
      <x:c r="D473" t="str">
        <x:v>trade_concrete</x:v>
      </x:c>
      <x:c r="E473" t="str">
        <x:v>Average offered hourly wage</x:v>
      </x:c>
      <x:c r="F473" s="145" t="n">
        <x:v>27.65</x:v>
      </x:c>
      <x:c r="G473" t="str">
        <x:v>Dollars</x:v>
      </x:c>
      <x:c r="H473" s="153" t="n">
        <x:v>42278</x:v>
      </x:c>
      <x:c r="I473" s="153" t="n">
        <x:v>42369</x:v>
      </x:c>
      <x:c r="J473" t="str">
        <x:v>observed</x:v>
      </x:c>
      <x:c r="K473" t="str">
        <x:v>STATCAN_JVWS_14100444</x:v>
      </x:c>
      <x:c r="L473" t="str">
        <x:v>TR_STATCAN_JVWS_AB_NOC_1_0_0</x:v>
      </x:c>
      <x:c r="M473" t="str">
        <x:v>status:B</x:v>
      </x:c>
      <x:c r="N473" t="str">
        <x:v>https://www150.statcan.gc.ca/t1/tbl1/en/tv.action?pid=1410044401</x:v>
      </x:c>
      <x:c r="O473" t="str">
        <x:v>PASS</x:v>
      </x:c>
    </x:row>
    <x:row r="474">
      <x:c r="A474" t="str">
        <x:v>OBS_JVWS_7105D4481EFF2A48D295</x:v>
      </x:c>
      <x:c r="B474" t="str">
        <x:v>73100</x:v>
      </x:c>
      <x:c r="C474" t="str">
        <x:v>Concrete finishers</x:v>
      </x:c>
      <x:c r="D474" t="str">
        <x:v>trade_concrete</x:v>
      </x:c>
      <x:c r="E474" t="str">
        <x:v>Job vacancies</x:v>
      </x:c>
      <x:c r="F474" s="145"/>
      <x:c r="G474" t="str">
        <x:v>Number</x:v>
      </x:c>
      <x:c r="H474" s="153" t="n">
        <x:v>42278</x:v>
      </x:c>
      <x:c r="I474" s="153" t="n">
        <x:v>42369</x:v>
      </x:c>
      <x:c r="J474" t="str">
        <x:v>observed</x:v>
      </x:c>
      <x:c r="K474" t="str">
        <x:v>STATCAN_JVWS_14100444</x:v>
      </x:c>
      <x:c r="L474" t="str">
        <x:v>TR_STATCAN_JVWS_AB_NOC_1_0_0</x:v>
      </x:c>
      <x:c r="M474" t="str">
        <x:v>status:F|value_missing_or_suppressed</x:v>
      </x:c>
      <x:c r="N474" t="str">
        <x:v>https://www150.statcan.gc.ca/t1/tbl1/en/tv.action?pid=1410044401</x:v>
      </x:c>
      <x:c r="O474" t="str">
        <x:v>PASS</x:v>
      </x:c>
    </x:row>
    <x:row r="475">
      <x:c r="A475" t="str">
        <x:v>OBS_JVWS_80EA9AC1D6535BD4EBB8</x:v>
      </x:c>
      <x:c r="B475" t="str">
        <x:v>72200</x:v>
      </x:c>
      <x:c r="C475" t="str">
        <x:v>Electricians (except industrial and power system)</x:v>
      </x:c>
      <x:c r="D475" t="str">
        <x:v>trade_electricians</x:v>
      </x:c>
      <x:c r="E475" t="str">
        <x:v>Average offered hourly wage</x:v>
      </x:c>
      <x:c r="F475" s="145" t="n">
        <x:v>24.65</x:v>
      </x:c>
      <x:c r="G475" t="str">
        <x:v>Dollars</x:v>
      </x:c>
      <x:c r="H475" s="153" t="n">
        <x:v>42278</x:v>
      </x:c>
      <x:c r="I475" s="153" t="n">
        <x:v>42369</x:v>
      </x:c>
      <x:c r="J475" t="str">
        <x:v>observed</x:v>
      </x:c>
      <x:c r="K475" t="str">
        <x:v>STATCAN_JVWS_14100444</x:v>
      </x:c>
      <x:c r="L475" t="str">
        <x:v>TR_STATCAN_JVWS_AB_NOC_1_0_0</x:v>
      </x:c>
      <x:c r="M475" t="str">
        <x:v>status:B</x:v>
      </x:c>
      <x:c r="N475" t="str">
        <x:v>https://www150.statcan.gc.ca/t1/tbl1/en/tv.action?pid=1410044401</x:v>
      </x:c>
      <x:c r="O475" t="str">
        <x:v>PASS</x:v>
      </x:c>
    </x:row>
    <x:row r="476">
      <x:c r="A476" t="str">
        <x:v>OBS_JVWS_5E5213AB14F5310368D6</x:v>
      </x:c>
      <x:c r="B476" t="str">
        <x:v>72200</x:v>
      </x:c>
      <x:c r="C476" t="str">
        <x:v>Electricians (except industrial and power system)</x:v>
      </x:c>
      <x:c r="D476" t="str">
        <x:v>trade_electricians</x:v>
      </x:c>
      <x:c r="E476" t="str">
        <x:v>Job vacancies</x:v>
      </x:c>
      <x:c r="F476" s="145" t="n">
        <x:v>335</x:v>
      </x:c>
      <x:c r="G476" t="str">
        <x:v>Number</x:v>
      </x:c>
      <x:c r="H476" s="153" t="n">
        <x:v>42278</x:v>
      </x:c>
      <x:c r="I476" s="153" t="n">
        <x:v>42369</x:v>
      </x:c>
      <x:c r="J476" t="str">
        <x:v>observed</x:v>
      </x:c>
      <x:c r="K476" t="str">
        <x:v>STATCAN_JVWS_14100444</x:v>
      </x:c>
      <x:c r="L476" t="str">
        <x:v>TR_STATCAN_JVWS_AB_NOC_1_0_0</x:v>
      </x:c>
      <x:c r="M476" t="str">
        <x:v>status:E</x:v>
      </x:c>
      <x:c r="N476" t="str">
        <x:v>https://www150.statcan.gc.ca/t1/tbl1/en/tv.action?pid=1410044401</x:v>
      </x:c>
      <x:c r="O476" t="str">
        <x:v>PASS</x:v>
      </x:c>
    </x:row>
    <x:row r="477">
      <x:c r="A477" t="str">
        <x:v>OBS_JVWS_18FAD5AB54CDD5ED3321</x:v>
      </x:c>
      <x:c r="B477" t="str">
        <x:v>72201</x:v>
      </x:c>
      <x:c r="C477" t="str">
        <x:v>Industrial electricians</x:v>
      </x:c>
      <x:c r="D477" t="str">
        <x:v>trade_electricians</x:v>
      </x:c>
      <x:c r="E477" t="str">
        <x:v>Average offered hourly wage</x:v>
      </x:c>
      <x:c r="F477" s="145" t="n">
        <x:v>42.15</x:v>
      </x:c>
      <x:c r="G477" t="str">
        <x:v>Dollars</x:v>
      </x:c>
      <x:c r="H477" s="153" t="n">
        <x:v>42278</x:v>
      </x:c>
      <x:c r="I477" s="153" t="n">
        <x:v>42369</x:v>
      </x:c>
      <x:c r="J477" t="str">
        <x:v>observed</x:v>
      </x:c>
      <x:c r="K477" t="str">
        <x:v>STATCAN_JVWS_14100444</x:v>
      </x:c>
      <x:c r="L477" t="str">
        <x:v>TR_STATCAN_JVWS_AB_NOC_1_0_0</x:v>
      </x:c>
      <x:c r="M477" t="str">
        <x:v>status:A</x:v>
      </x:c>
      <x:c r="N477" t="str">
        <x:v>https://www150.statcan.gc.ca/t1/tbl1/en/tv.action?pid=1410044401</x:v>
      </x:c>
      <x:c r="O477" t="str">
        <x:v>PASS</x:v>
      </x:c>
    </x:row>
    <x:row r="478">
      <x:c r="A478" t="str">
        <x:v>OBS_JVWS_F6BB82A479A8DB5C8F2A</x:v>
      </x:c>
      <x:c r="B478" t="str">
        <x:v>72201</x:v>
      </x:c>
      <x:c r="C478" t="str">
        <x:v>Industrial electricians</x:v>
      </x:c>
      <x:c r="D478" t="str">
        <x:v>trade_electricians</x:v>
      </x:c>
      <x:c r="E478" t="str">
        <x:v>Job vacancies</x:v>
      </x:c>
      <x:c r="F478" s="145" t="n">
        <x:v>60</x:v>
      </x:c>
      <x:c r="G478" t="str">
        <x:v>Number</x:v>
      </x:c>
      <x:c r="H478" s="153" t="n">
        <x:v>42278</x:v>
      </x:c>
      <x:c r="I478" s="153" t="n">
        <x:v>42369</x:v>
      </x:c>
      <x:c r="J478" t="str">
        <x:v>observed</x:v>
      </x:c>
      <x:c r="K478" t="str">
        <x:v>STATCAN_JVWS_14100444</x:v>
      </x:c>
      <x:c r="L478" t="str">
        <x:v>TR_STATCAN_JVWS_AB_NOC_1_0_0</x:v>
      </x:c>
      <x:c r="M478" t="str">
        <x:v>status:D</x:v>
      </x:c>
      <x:c r="N478" t="str">
        <x:v>https://www150.statcan.gc.ca/t1/tbl1/en/tv.action?pid=1410044401</x:v>
      </x:c>
      <x:c r="O478" t="str">
        <x:v>PASS</x:v>
      </x:c>
    </x:row>
    <x:row r="479">
      <x:c r="A479" t="str">
        <x:v>OBS_JVWS_DA5A1FC71AD696AB3422</x:v>
      </x:c>
      <x:c r="B479" t="str">
        <x:v>72402</x:v>
      </x:c>
      <x:c r="C479" t="str">
        <x:v>Heating, refrigeration and air conditioning mechanics</x:v>
      </x:c>
      <x:c r="D479" t="str">
        <x:v>trade_hvac</x:v>
      </x:c>
      <x:c r="E479" t="str">
        <x:v>Average offered hourly wage</x:v>
      </x:c>
      <x:c r="F479" s="145" t="n">
        <x:v>21.6</x:v>
      </x:c>
      <x:c r="G479" t="str">
        <x:v>Dollars</x:v>
      </x:c>
      <x:c r="H479" s="153" t="n">
        <x:v>42278</x:v>
      </x:c>
      <x:c r="I479" s="153" t="n">
        <x:v>42369</x:v>
      </x:c>
      <x:c r="J479" t="str">
        <x:v>observed</x:v>
      </x:c>
      <x:c r="K479" t="str">
        <x:v>STATCAN_JVWS_14100444</x:v>
      </x:c>
      <x:c r="L479" t="str">
        <x:v>TR_STATCAN_JVWS_AB_NOC_1_0_0</x:v>
      </x:c>
      <x:c r="M479" t="str">
        <x:v>status:E</x:v>
      </x:c>
      <x:c r="N479" t="str">
        <x:v>https://www150.statcan.gc.ca/t1/tbl1/en/tv.action?pid=1410044401</x:v>
      </x:c>
      <x:c r="O479" t="str">
        <x:v>PASS</x:v>
      </x:c>
    </x:row>
    <x:row r="480">
      <x:c r="A480" t="str">
        <x:v>OBS_JVWS_1D1BADA414CDB0CD07E1</x:v>
      </x:c>
      <x:c r="B480" t="str">
        <x:v>72402</x:v>
      </x:c>
      <x:c r="C480" t="str">
        <x:v>Heating, refrigeration and air conditioning mechanics</x:v>
      </x:c>
      <x:c r="D480" t="str">
        <x:v>trade_hvac</x:v>
      </x:c>
      <x:c r="E480" t="str">
        <x:v>Job vacancies</x:v>
      </x:c>
      <x:c r="F480" s="145"/>
      <x:c r="G480" t="str">
        <x:v>Number</x:v>
      </x:c>
      <x:c r="H480" s="153" t="n">
        <x:v>42278</x:v>
      </x:c>
      <x:c r="I480" s="153" t="n">
        <x:v>42369</x:v>
      </x:c>
      <x:c r="J480" t="str">
        <x:v>observed</x:v>
      </x:c>
      <x:c r="K480" t="str">
        <x:v>STATCAN_JVWS_14100444</x:v>
      </x:c>
      <x:c r="L480" t="str">
        <x:v>TR_STATCAN_JVWS_AB_NOC_1_0_0</x:v>
      </x:c>
      <x:c r="M480" t="str">
        <x:v>status:F|value_missing_or_suppressed</x:v>
      </x:c>
      <x:c r="N480" t="str">
        <x:v>https://www150.statcan.gc.ca/t1/tbl1/en/tv.action?pid=1410044401</x:v>
      </x:c>
      <x:c r="O480" t="str">
        <x:v>PASS</x:v>
      </x:c>
    </x:row>
    <x:row r="481">
      <x:c r="A481" t="str">
        <x:v>OBS_JVWS_04812B06636408C16742</x:v>
      </x:c>
      <x:c r="B481" t="str">
        <x:v>72202</x:v>
      </x:c>
      <x:c r="C481" t="str">
        <x:v>Power system electricians</x:v>
      </x:c>
      <x:c r="D481" t="str">
        <x:v>trade_power_line</x:v>
      </x:c>
      <x:c r="E481" t="str">
        <x:v>Average offered hourly wage</x:v>
      </x:c>
      <x:c r="F481" s="145"/>
      <x:c r="G481" t="str">
        <x:v>Dollars</x:v>
      </x:c>
      <x:c r="H481" s="153" t="n">
        <x:v>42278</x:v>
      </x:c>
      <x:c r="I481" s="153" t="n">
        <x:v>42369</x:v>
      </x:c>
      <x:c r="J481" t="str">
        <x:v>observed</x:v>
      </x:c>
      <x:c r="K481" t="str">
        <x:v>STATCAN_JVWS_14100444</x:v>
      </x:c>
      <x:c r="L481" t="str">
        <x:v>TR_STATCAN_JVWS_AB_NOC_1_0_0</x:v>
      </x:c>
      <x:c r="M481" t="str">
        <x:v>status:F|value_missing_or_suppressed</x:v>
      </x:c>
      <x:c r="N481" t="str">
        <x:v>https://www150.statcan.gc.ca/t1/tbl1/en/tv.action?pid=1410044401</x:v>
      </x:c>
      <x:c r="O481" t="str">
        <x:v>PASS</x:v>
      </x:c>
    </x:row>
    <x:row r="482">
      <x:c r="A482" t="str">
        <x:v>OBS_JVWS_57C5EFA2A45345435B18</x:v>
      </x:c>
      <x:c r="B482" t="str">
        <x:v>72202</x:v>
      </x:c>
      <x:c r="C482" t="str">
        <x:v>Power system electricians</x:v>
      </x:c>
      <x:c r="D482" t="str">
        <x:v>trade_power_line</x:v>
      </x:c>
      <x:c r="E482" t="str">
        <x:v>Job vacancies</x:v>
      </x:c>
      <x:c r="F482" s="145"/>
      <x:c r="G482" t="str">
        <x:v>Number</x:v>
      </x:c>
      <x:c r="H482" s="153" t="n">
        <x:v>42278</x:v>
      </x:c>
      <x:c r="I482" s="153" t="n">
        <x:v>42369</x:v>
      </x:c>
      <x:c r="J482" t="str">
        <x:v>observed</x:v>
      </x:c>
      <x:c r="K482" t="str">
        <x:v>STATCAN_JVWS_14100444</x:v>
      </x:c>
      <x:c r="L482" t="str">
        <x:v>TR_STATCAN_JVWS_AB_NOC_1_0_0</x:v>
      </x:c>
      <x:c r="M482" t="str">
        <x:v>status:F|value_missing_or_suppressed</x:v>
      </x:c>
      <x:c r="N482" t="str">
        <x:v>https://www150.statcan.gc.ca/t1/tbl1/en/tv.action?pid=1410044401</x:v>
      </x:c>
      <x:c r="O482" t="str">
        <x:v>PASS</x:v>
      </x:c>
    </x:row>
    <x:row r="483">
      <x:c r="A483" t="str">
        <x:v>OBS_JVWS_6E3038477462065C62B9</x:v>
      </x:c>
      <x:c r="B483" t="str">
        <x:v>72203</x:v>
      </x:c>
      <x:c r="C483" t="str">
        <x:v>Electrical power line and cable workers</x:v>
      </x:c>
      <x:c r="D483" t="str">
        <x:v>trade_power_line</x:v>
      </x:c>
      <x:c r="E483" t="str">
        <x:v>Average offered hourly wage</x:v>
      </x:c>
      <x:c r="F483" s="145"/>
      <x:c r="G483" t="str">
        <x:v>Dollars</x:v>
      </x:c>
      <x:c r="H483" s="153" t="n">
        <x:v>42278</x:v>
      </x:c>
      <x:c r="I483" s="153" t="n">
        <x:v>42369</x:v>
      </x:c>
      <x:c r="J483" t="str">
        <x:v>observed</x:v>
      </x:c>
      <x:c r="K483" t="str">
        <x:v>STATCAN_JVWS_14100444</x:v>
      </x:c>
      <x:c r="L483" t="str">
        <x:v>TR_STATCAN_JVWS_AB_NOC_1_0_0</x:v>
      </x:c>
      <x:c r="M483" t="str">
        <x:v>status:F|value_missing_or_suppressed</x:v>
      </x:c>
      <x:c r="N483" t="str">
        <x:v>https://www150.statcan.gc.ca/t1/tbl1/en/tv.action?pid=1410044401</x:v>
      </x:c>
      <x:c r="O483" t="str">
        <x:v>PASS</x:v>
      </x:c>
    </x:row>
    <x:row r="484">
      <x:c r="A484" t="str">
        <x:v>OBS_JVWS_171E3A295C521498615E</x:v>
      </x:c>
      <x:c r="B484" t="str">
        <x:v>72203</x:v>
      </x:c>
      <x:c r="C484" t="str">
        <x:v>Electrical power line and cable workers</x:v>
      </x:c>
      <x:c r="D484" t="str">
        <x:v>trade_power_line</x:v>
      </x:c>
      <x:c r="E484" t="str">
        <x:v>Job vacancies</x:v>
      </x:c>
      <x:c r="F484" s="145"/>
      <x:c r="G484" t="str">
        <x:v>Number</x:v>
      </x:c>
      <x:c r="H484" s="153" t="n">
        <x:v>42278</x:v>
      </x:c>
      <x:c r="I484" s="153" t="n">
        <x:v>42369</x:v>
      </x:c>
      <x:c r="J484" t="str">
        <x:v>observed</x:v>
      </x:c>
      <x:c r="K484" t="str">
        <x:v>STATCAN_JVWS_14100444</x:v>
      </x:c>
      <x:c r="L484" t="str">
        <x:v>TR_STATCAN_JVWS_AB_NOC_1_0_0</x:v>
      </x:c>
      <x:c r="M484" t="str">
        <x:v>status:F|value_missing_or_suppressed</x:v>
      </x:c>
      <x:c r="N484" t="str">
        <x:v>https://www150.statcan.gc.ca/t1/tbl1/en/tv.action?pid=1410044401</x:v>
      </x:c>
      <x:c r="O484" t="str">
        <x:v>PASS</x:v>
      </x:c>
    </x:row>
    <x:row r="485">
      <x:c r="A485" t="str">
        <x:v>OBS_JVWS_DDB839037C498A35A233</x:v>
      </x:c>
      <x:c r="B485" t="str">
        <x:v>73100</x:v>
      </x:c>
      <x:c r="C485" t="str">
        <x:v>Concrete finishers</x:v>
      </x:c>
      <x:c r="D485" t="str">
        <x:v>trade_concrete</x:v>
      </x:c>
      <x:c r="E485" t="str">
        <x:v>Average offered hourly wage</x:v>
      </x:c>
      <x:c r="F485" s="145" t="n">
        <x:v>28.45</x:v>
      </x:c>
      <x:c r="G485" t="str">
        <x:v>Dollars</x:v>
      </x:c>
      <x:c r="H485" s="153" t="n">
        <x:v>42186</x:v>
      </x:c>
      <x:c r="I485" s="153" t="n">
        <x:v>42277</x:v>
      </x:c>
      <x:c r="J485" t="str">
        <x:v>observed</x:v>
      </x:c>
      <x:c r="K485" t="str">
        <x:v>STATCAN_JVWS_14100444</x:v>
      </x:c>
      <x:c r="L485" t="str">
        <x:v>TR_STATCAN_JVWS_AB_NOC_1_0_0</x:v>
      </x:c>
      <x:c r="M485" t="str">
        <x:v>status:A</x:v>
      </x:c>
      <x:c r="N485" t="str">
        <x:v>https://www150.statcan.gc.ca/t1/tbl1/en/tv.action?pid=1410044401</x:v>
      </x:c>
      <x:c r="O485" t="str">
        <x:v>PASS</x:v>
      </x:c>
    </x:row>
    <x:row r="486">
      <x:c r="A486" t="str">
        <x:v>OBS_JVWS_C53A24372ABD52B65FFC</x:v>
      </x:c>
      <x:c r="B486" t="str">
        <x:v>73100</x:v>
      </x:c>
      <x:c r="C486" t="str">
        <x:v>Concrete finishers</x:v>
      </x:c>
      <x:c r="D486" t="str">
        <x:v>trade_concrete</x:v>
      </x:c>
      <x:c r="E486" t="str">
        <x:v>Job vacancies</x:v>
      </x:c>
      <x:c r="F486" s="145"/>
      <x:c r="G486" t="str">
        <x:v>Number</x:v>
      </x:c>
      <x:c r="H486" s="153" t="n">
        <x:v>42186</x:v>
      </x:c>
      <x:c r="I486" s="153" t="n">
        <x:v>42277</x:v>
      </x:c>
      <x:c r="J486" t="str">
        <x:v>observed</x:v>
      </x:c>
      <x:c r="K486" t="str">
        <x:v>STATCAN_JVWS_14100444</x:v>
      </x:c>
      <x:c r="L486" t="str">
        <x:v>TR_STATCAN_JVWS_AB_NOC_1_0_0</x:v>
      </x:c>
      <x:c r="M486" t="str">
        <x:v>status:F|value_missing_or_suppressed</x:v>
      </x:c>
      <x:c r="N486" t="str">
        <x:v>https://www150.statcan.gc.ca/t1/tbl1/en/tv.action?pid=1410044401</x:v>
      </x:c>
      <x:c r="O486" t="str">
        <x:v>PASS</x:v>
      </x:c>
    </x:row>
    <x:row r="487">
      <x:c r="A487" t="str">
        <x:v>OBS_JVWS_33A8B266B58E7767CB16</x:v>
      </x:c>
      <x:c r="B487" t="str">
        <x:v>72200</x:v>
      </x:c>
      <x:c r="C487" t="str">
        <x:v>Electricians (except industrial and power system)</x:v>
      </x:c>
      <x:c r="D487" t="str">
        <x:v>trade_electricians</x:v>
      </x:c>
      <x:c r="E487" t="str">
        <x:v>Average offered hourly wage</x:v>
      </x:c>
      <x:c r="F487" s="145" t="n">
        <x:v>21.3</x:v>
      </x:c>
      <x:c r="G487" t="str">
        <x:v>Dollars</x:v>
      </x:c>
      <x:c r="H487" s="153" t="n">
        <x:v>42186</x:v>
      </x:c>
      <x:c r="I487" s="153" t="n">
        <x:v>42277</x:v>
      </x:c>
      <x:c r="J487" t="str">
        <x:v>observed</x:v>
      </x:c>
      <x:c r="K487" t="str">
        <x:v>STATCAN_JVWS_14100444</x:v>
      </x:c>
      <x:c r="L487" t="str">
        <x:v>TR_STATCAN_JVWS_AB_NOC_1_0_0</x:v>
      </x:c>
      <x:c r="M487" t="str">
        <x:v>status:A</x:v>
      </x:c>
      <x:c r="N487" t="str">
        <x:v>https://www150.statcan.gc.ca/t1/tbl1/en/tv.action?pid=1410044401</x:v>
      </x:c>
      <x:c r="O487" t="str">
        <x:v>PASS</x:v>
      </x:c>
    </x:row>
    <x:row r="488">
      <x:c r="A488" t="str">
        <x:v>OBS_JVWS_C69FD7D00960B8E9EF70</x:v>
      </x:c>
      <x:c r="B488" t="str">
        <x:v>72200</x:v>
      </x:c>
      <x:c r="C488" t="str">
        <x:v>Electricians (except industrial and power system)</x:v>
      </x:c>
      <x:c r="D488" t="str">
        <x:v>trade_electricians</x:v>
      </x:c>
      <x:c r="E488" t="str">
        <x:v>Job vacancies</x:v>
      </x:c>
      <x:c r="F488" s="145"/>
      <x:c r="G488" t="str">
        <x:v>Number</x:v>
      </x:c>
      <x:c r="H488" s="153" t="n">
        <x:v>42186</x:v>
      </x:c>
      <x:c r="I488" s="153" t="n">
        <x:v>42277</x:v>
      </x:c>
      <x:c r="J488" t="str">
        <x:v>observed</x:v>
      </x:c>
      <x:c r="K488" t="str">
        <x:v>STATCAN_JVWS_14100444</x:v>
      </x:c>
      <x:c r="L488" t="str">
        <x:v>TR_STATCAN_JVWS_AB_NOC_1_0_0</x:v>
      </x:c>
      <x:c r="M488" t="str">
        <x:v>status:F|value_missing_or_suppressed</x:v>
      </x:c>
      <x:c r="N488" t="str">
        <x:v>https://www150.statcan.gc.ca/t1/tbl1/en/tv.action?pid=1410044401</x:v>
      </x:c>
      <x:c r="O488" t="str">
        <x:v>PASS</x:v>
      </x:c>
    </x:row>
    <x:row r="489">
      <x:c r="A489" t="str">
        <x:v>OBS_JVWS_7FD97112618CAFBA0F76</x:v>
      </x:c>
      <x:c r="B489" t="str">
        <x:v>72201</x:v>
      </x:c>
      <x:c r="C489" t="str">
        <x:v>Industrial electricians</x:v>
      </x:c>
      <x:c r="D489" t="str">
        <x:v>trade_electricians</x:v>
      </x:c>
      <x:c r="E489" t="str">
        <x:v>Average offered hourly wage</x:v>
      </x:c>
      <x:c r="F489" s="145" t="n">
        <x:v>41.3</x:v>
      </x:c>
      <x:c r="G489" t="str">
        <x:v>Dollars</x:v>
      </x:c>
      <x:c r="H489" s="153" t="n">
        <x:v>42186</x:v>
      </x:c>
      <x:c r="I489" s="153" t="n">
        <x:v>42277</x:v>
      </x:c>
      <x:c r="J489" t="str">
        <x:v>observed</x:v>
      </x:c>
      <x:c r="K489" t="str">
        <x:v>STATCAN_JVWS_14100444</x:v>
      </x:c>
      <x:c r="L489" t="str">
        <x:v>TR_STATCAN_JVWS_AB_NOC_1_0_0</x:v>
      </x:c>
      <x:c r="M489" t="str">
        <x:v>status:A</x:v>
      </x:c>
      <x:c r="N489" t="str">
        <x:v>https://www150.statcan.gc.ca/t1/tbl1/en/tv.action?pid=1410044401</x:v>
      </x:c>
      <x:c r="O489" t="str">
        <x:v>PASS</x:v>
      </x:c>
    </x:row>
    <x:row r="490">
      <x:c r="A490" t="str">
        <x:v>OBS_JVWS_87C7E9FF1AF6583CE87F</x:v>
      </x:c>
      <x:c r="B490" t="str">
        <x:v>72201</x:v>
      </x:c>
      <x:c r="C490" t="str">
        <x:v>Industrial electricians</x:v>
      </x:c>
      <x:c r="D490" t="str">
        <x:v>trade_electricians</x:v>
      </x:c>
      <x:c r="E490" t="str">
        <x:v>Job vacancies</x:v>
      </x:c>
      <x:c r="F490" s="145" t="n">
        <x:v>75</x:v>
      </x:c>
      <x:c r="G490" t="str">
        <x:v>Number</x:v>
      </x:c>
      <x:c r="H490" s="153" t="n">
        <x:v>42186</x:v>
      </x:c>
      <x:c r="I490" s="153" t="n">
        <x:v>42277</x:v>
      </x:c>
      <x:c r="J490" t="str">
        <x:v>observed</x:v>
      </x:c>
      <x:c r="K490" t="str">
        <x:v>STATCAN_JVWS_14100444</x:v>
      </x:c>
      <x:c r="L490" t="str">
        <x:v>TR_STATCAN_JVWS_AB_NOC_1_0_0</x:v>
      </x:c>
      <x:c r="M490" t="str">
        <x:v>status:C</x:v>
      </x:c>
      <x:c r="N490" t="str">
        <x:v>https://www150.statcan.gc.ca/t1/tbl1/en/tv.action?pid=1410044401</x:v>
      </x:c>
      <x:c r="O490" t="str">
        <x:v>PASS</x:v>
      </x:c>
    </x:row>
    <x:row r="491">
      <x:c r="A491" t="str">
        <x:v>OBS_JVWS_5057969B372544110692</x:v>
      </x:c>
      <x:c r="B491" t="str">
        <x:v>72402</x:v>
      </x:c>
      <x:c r="C491" t="str">
        <x:v>Heating, refrigeration and air conditioning mechanics</x:v>
      </x:c>
      <x:c r="D491" t="str">
        <x:v>trade_hvac</x:v>
      </x:c>
      <x:c r="E491" t="str">
        <x:v>Average offered hourly wage</x:v>
      </x:c>
      <x:c r="F491" s="145" t="n">
        <x:v>33.9</x:v>
      </x:c>
      <x:c r="G491" t="str">
        <x:v>Dollars</x:v>
      </x:c>
      <x:c r="H491" s="153" t="n">
        <x:v>42186</x:v>
      </x:c>
      <x:c r="I491" s="153" t="n">
        <x:v>42277</x:v>
      </x:c>
      <x:c r="J491" t="str">
        <x:v>observed</x:v>
      </x:c>
      <x:c r="K491" t="str">
        <x:v>STATCAN_JVWS_14100444</x:v>
      </x:c>
      <x:c r="L491" t="str">
        <x:v>TR_STATCAN_JVWS_AB_NOC_1_0_0</x:v>
      </x:c>
      <x:c r="M491" t="str">
        <x:v>status:B</x:v>
      </x:c>
      <x:c r="N491" t="str">
        <x:v>https://www150.statcan.gc.ca/t1/tbl1/en/tv.action?pid=1410044401</x:v>
      </x:c>
      <x:c r="O491" t="str">
        <x:v>PASS</x:v>
      </x:c>
    </x:row>
    <x:row r="492">
      <x:c r="A492" t="str">
        <x:v>OBS_JVWS_5121C32DE0445C0EFE08</x:v>
      </x:c>
      <x:c r="B492" t="str">
        <x:v>72402</x:v>
      </x:c>
      <x:c r="C492" t="str">
        <x:v>Heating, refrigeration and air conditioning mechanics</x:v>
      </x:c>
      <x:c r="D492" t="str">
        <x:v>trade_hvac</x:v>
      </x:c>
      <x:c r="E492" t="str">
        <x:v>Job vacancies</x:v>
      </x:c>
      <x:c r="F492" s="145" t="n">
        <x:v>75</x:v>
      </x:c>
      <x:c r="G492" t="str">
        <x:v>Number</x:v>
      </x:c>
      <x:c r="H492" s="153" t="n">
        <x:v>42186</x:v>
      </x:c>
      <x:c r="I492" s="153" t="n">
        <x:v>42277</x:v>
      </x:c>
      <x:c r="J492" t="str">
        <x:v>observed</x:v>
      </x:c>
      <x:c r="K492" t="str">
        <x:v>STATCAN_JVWS_14100444</x:v>
      </x:c>
      <x:c r="L492" t="str">
        <x:v>TR_STATCAN_JVWS_AB_NOC_1_0_0</x:v>
      </x:c>
      <x:c r="M492" t="str">
        <x:v>status:E</x:v>
      </x:c>
      <x:c r="N492" t="str">
        <x:v>https://www150.statcan.gc.ca/t1/tbl1/en/tv.action?pid=1410044401</x:v>
      </x:c>
      <x:c r="O492" t="str">
        <x:v>PASS</x:v>
      </x:c>
    </x:row>
    <x:row r="493">
      <x:c r="A493" t="str">
        <x:v>OBS_JVWS_1124FB14AF0CDCDFEDF7</x:v>
      </x:c>
      <x:c r="B493" t="str">
        <x:v>72202</x:v>
      </x:c>
      <x:c r="C493" t="str">
        <x:v>Power system electricians</x:v>
      </x:c>
      <x:c r="D493" t="str">
        <x:v>trade_power_line</x:v>
      </x:c>
      <x:c r="E493" t="str">
        <x:v>Average offered hourly wage</x:v>
      </x:c>
      <x:c r="F493" s="145"/>
      <x:c r="G493" t="str">
        <x:v>Dollars</x:v>
      </x:c>
      <x:c r="H493" s="153" t="n">
        <x:v>42186</x:v>
      </x:c>
      <x:c r="I493" s="153" t="n">
        <x:v>42277</x:v>
      </x:c>
      <x:c r="J493" t="str">
        <x:v>observed</x:v>
      </x:c>
      <x:c r="K493" t="str">
        <x:v>STATCAN_JVWS_14100444</x:v>
      </x:c>
      <x:c r="L493" t="str">
        <x:v>TR_STATCAN_JVWS_AB_NOC_1_0_0</x:v>
      </x:c>
      <x:c r="M493" t="str">
        <x:v>status:F|value_missing_or_suppressed</x:v>
      </x:c>
      <x:c r="N493" t="str">
        <x:v>https://www150.statcan.gc.ca/t1/tbl1/en/tv.action?pid=1410044401</x:v>
      </x:c>
      <x:c r="O493" t="str">
        <x:v>PASS</x:v>
      </x:c>
    </x:row>
    <x:row r="494">
      <x:c r="A494" t="str">
        <x:v>OBS_JVWS_F34BF1035B692680A2B8</x:v>
      </x:c>
      <x:c r="B494" t="str">
        <x:v>72202</x:v>
      </x:c>
      <x:c r="C494" t="str">
        <x:v>Power system electricians</x:v>
      </x:c>
      <x:c r="D494" t="str">
        <x:v>trade_power_line</x:v>
      </x:c>
      <x:c r="E494" t="str">
        <x:v>Job vacancies</x:v>
      </x:c>
      <x:c r="F494" s="145"/>
      <x:c r="G494" t="str">
        <x:v>Number</x:v>
      </x:c>
      <x:c r="H494" s="153" t="n">
        <x:v>42186</x:v>
      </x:c>
      <x:c r="I494" s="153" t="n">
        <x:v>42277</x:v>
      </x:c>
      <x:c r="J494" t="str">
        <x:v>observed</x:v>
      </x:c>
      <x:c r="K494" t="str">
        <x:v>STATCAN_JVWS_14100444</x:v>
      </x:c>
      <x:c r="L494" t="str">
        <x:v>TR_STATCAN_JVWS_AB_NOC_1_0_0</x:v>
      </x:c>
      <x:c r="M494" t="str">
        <x:v>status:F|value_missing_or_suppressed</x:v>
      </x:c>
      <x:c r="N494" t="str">
        <x:v>https://www150.statcan.gc.ca/t1/tbl1/en/tv.action?pid=1410044401</x:v>
      </x:c>
      <x:c r="O494" t="str">
        <x:v>PASS</x:v>
      </x:c>
    </x:row>
    <x:row r="495">
      <x:c r="A495" t="str">
        <x:v>OBS_JVWS_E3F55690E5D6971AFEEB</x:v>
      </x:c>
      <x:c r="B495" t="str">
        <x:v>72203</x:v>
      </x:c>
      <x:c r="C495" t="str">
        <x:v>Electrical power line and cable workers</x:v>
      </x:c>
      <x:c r="D495" t="str">
        <x:v>trade_power_line</x:v>
      </x:c>
      <x:c r="E495" t="str">
        <x:v>Average offered hourly wage</x:v>
      </x:c>
      <x:c r="F495" s="145"/>
      <x:c r="G495" t="str">
        <x:v>Dollars</x:v>
      </x:c>
      <x:c r="H495" s="153" t="n">
        <x:v>42186</x:v>
      </x:c>
      <x:c r="I495" s="153" t="n">
        <x:v>42277</x:v>
      </x:c>
      <x:c r="J495" t="str">
        <x:v>observed</x:v>
      </x:c>
      <x:c r="K495" t="str">
        <x:v>STATCAN_JVWS_14100444</x:v>
      </x:c>
      <x:c r="L495" t="str">
        <x:v>TR_STATCAN_JVWS_AB_NOC_1_0_0</x:v>
      </x:c>
      <x:c r="M495" t="str">
        <x:v>status:F|value_missing_or_suppressed</x:v>
      </x:c>
      <x:c r="N495" t="str">
        <x:v>https://www150.statcan.gc.ca/t1/tbl1/en/tv.action?pid=1410044401</x:v>
      </x:c>
      <x:c r="O495" t="str">
        <x:v>PASS</x:v>
      </x:c>
    </x:row>
    <x:row r="496">
      <x:c r="A496" t="str">
        <x:v>OBS_JVWS_432A22F99162B6B72F05</x:v>
      </x:c>
      <x:c r="B496" t="str">
        <x:v>72203</x:v>
      </x:c>
      <x:c r="C496" t="str">
        <x:v>Electrical power line and cable workers</x:v>
      </x:c>
      <x:c r="D496" t="str">
        <x:v>trade_power_line</x:v>
      </x:c>
      <x:c r="E496" t="str">
        <x:v>Job vacancies</x:v>
      </x:c>
      <x:c r="F496" s="145"/>
      <x:c r="G496" t="str">
        <x:v>Number</x:v>
      </x:c>
      <x:c r="H496" s="153" t="n">
        <x:v>42186</x:v>
      </x:c>
      <x:c r="I496" s="153" t="n">
        <x:v>42277</x:v>
      </x:c>
      <x:c r="J496" t="str">
        <x:v>observed</x:v>
      </x:c>
      <x:c r="K496" t="str">
        <x:v>STATCAN_JVWS_14100444</x:v>
      </x:c>
      <x:c r="L496" t="str">
        <x:v>TR_STATCAN_JVWS_AB_NOC_1_0_0</x:v>
      </x:c>
      <x:c r="M496" t="str">
        <x:v>status:F|value_missing_or_suppressed</x:v>
      </x:c>
      <x:c r="N496" t="str">
        <x:v>https://www150.statcan.gc.ca/t1/tbl1/en/tv.action?pid=1410044401</x:v>
      </x:c>
      <x:c r="O496" t="str">
        <x:v>PASS</x:v>
      </x:c>
    </x:row>
    <x:row r="497">
      <x:c r="A497" t="str">
        <x:v>OBS_JVWS_1F8A788E16967D9BA2FD</x:v>
      </x:c>
      <x:c r="B497" t="str">
        <x:v>73100</x:v>
      </x:c>
      <x:c r="C497" t="str">
        <x:v>Concrete finishers</x:v>
      </x:c>
      <x:c r="D497" t="str">
        <x:v>trade_concrete</x:v>
      </x:c>
      <x:c r="E497" t="str">
        <x:v>Average offered hourly wage</x:v>
      </x:c>
      <x:c r="F497" s="145" t="n">
        <x:v>27.15</x:v>
      </x:c>
      <x:c r="G497" t="str">
        <x:v>Dollars</x:v>
      </x:c>
      <x:c r="H497" s="153" t="n">
        <x:v>42095</x:v>
      </x:c>
      <x:c r="I497" s="153" t="n">
        <x:v>42185</x:v>
      </x:c>
      <x:c r="J497" t="str">
        <x:v>observed</x:v>
      </x:c>
      <x:c r="K497" t="str">
        <x:v>STATCAN_JVWS_14100444</x:v>
      </x:c>
      <x:c r="L497" t="str">
        <x:v>TR_STATCAN_JVWS_AB_NOC_1_0_0</x:v>
      </x:c>
      <x:c r="M497" t="str">
        <x:v>status:B</x:v>
      </x:c>
      <x:c r="N497" t="str">
        <x:v>https://www150.statcan.gc.ca/t1/tbl1/en/tv.action?pid=1410044401</x:v>
      </x:c>
      <x:c r="O497" t="str">
        <x:v>PASS</x:v>
      </x:c>
    </x:row>
    <x:row r="498">
      <x:c r="A498" t="str">
        <x:v>OBS_JVWS_BE98584D41273431579F</x:v>
      </x:c>
      <x:c r="B498" t="str">
        <x:v>73100</x:v>
      </x:c>
      <x:c r="C498" t="str">
        <x:v>Concrete finishers</x:v>
      </x:c>
      <x:c r="D498" t="str">
        <x:v>trade_concrete</x:v>
      </x:c>
      <x:c r="E498" t="str">
        <x:v>Job vacancies</x:v>
      </x:c>
      <x:c r="F498" s="145"/>
      <x:c r="G498" t="str">
        <x:v>Number</x:v>
      </x:c>
      <x:c r="H498" s="153" t="n">
        <x:v>42095</x:v>
      </x:c>
      <x:c r="I498" s="153" t="n">
        <x:v>42185</x:v>
      </x:c>
      <x:c r="J498" t="str">
        <x:v>observed</x:v>
      </x:c>
      <x:c r="K498" t="str">
        <x:v>STATCAN_JVWS_14100444</x:v>
      </x:c>
      <x:c r="L498" t="str">
        <x:v>TR_STATCAN_JVWS_AB_NOC_1_0_0</x:v>
      </x:c>
      <x:c r="M498" t="str">
        <x:v>status:F|value_missing_or_suppressed</x:v>
      </x:c>
      <x:c r="N498" t="str">
        <x:v>https://www150.statcan.gc.ca/t1/tbl1/en/tv.action?pid=1410044401</x:v>
      </x:c>
      <x:c r="O498" t="str">
        <x:v>PASS</x:v>
      </x:c>
    </x:row>
    <x:row r="499">
      <x:c r="A499" t="str">
        <x:v>OBS_JVWS_A9419280C40AB8CC12CF</x:v>
      </x:c>
      <x:c r="B499" t="str">
        <x:v>72200</x:v>
      </x:c>
      <x:c r="C499" t="str">
        <x:v>Electricians (except industrial and power system)</x:v>
      </x:c>
      <x:c r="D499" t="str">
        <x:v>trade_electricians</x:v>
      </x:c>
      <x:c r="E499" t="str">
        <x:v>Average offered hourly wage</x:v>
      </x:c>
      <x:c r="F499" s="145" t="n">
        <x:v>23.35</x:v>
      </x:c>
      <x:c r="G499" t="str">
        <x:v>Dollars</x:v>
      </x:c>
      <x:c r="H499" s="153" t="n">
        <x:v>42095</x:v>
      </x:c>
      <x:c r="I499" s="153" t="n">
        <x:v>42185</x:v>
      </x:c>
      <x:c r="J499" t="str">
        <x:v>observed</x:v>
      </x:c>
      <x:c r="K499" t="str">
        <x:v>STATCAN_JVWS_14100444</x:v>
      </x:c>
      <x:c r="L499" t="str">
        <x:v>TR_STATCAN_JVWS_AB_NOC_1_0_0</x:v>
      </x:c>
      <x:c r="M499" t="str">
        <x:v>status:B</x:v>
      </x:c>
      <x:c r="N499" t="str">
        <x:v>https://www150.statcan.gc.ca/t1/tbl1/en/tv.action?pid=1410044401</x:v>
      </x:c>
      <x:c r="O499" t="str">
        <x:v>PASS</x:v>
      </x:c>
    </x:row>
    <x:row r="500">
      <x:c r="A500" t="str">
        <x:v>OBS_JVWS_0278D39D9FC3932C2A0E</x:v>
      </x:c>
      <x:c r="B500" t="str">
        <x:v>72200</x:v>
      </x:c>
      <x:c r="C500" t="str">
        <x:v>Electricians (except industrial and power system)</x:v>
      </x:c>
      <x:c r="D500" t="str">
        <x:v>trade_electricians</x:v>
      </x:c>
      <x:c r="E500" t="str">
        <x:v>Job vacancies</x:v>
      </x:c>
      <x:c r="F500" s="145" t="n">
        <x:v>275</x:v>
      </x:c>
      <x:c r="G500" t="str">
        <x:v>Number</x:v>
      </x:c>
      <x:c r="H500" s="153" t="n">
        <x:v>42095</x:v>
      </x:c>
      <x:c r="I500" s="153" t="n">
        <x:v>42185</x:v>
      </x:c>
      <x:c r="J500" t="str">
        <x:v>observed</x:v>
      </x:c>
      <x:c r="K500" t="str">
        <x:v>STATCAN_JVWS_14100444</x:v>
      </x:c>
      <x:c r="L500" t="str">
        <x:v>TR_STATCAN_JVWS_AB_NOC_1_0_0</x:v>
      </x:c>
      <x:c r="M500" t="str">
        <x:v>status:E</x:v>
      </x:c>
      <x:c r="N500" t="str">
        <x:v>https://www150.statcan.gc.ca/t1/tbl1/en/tv.action?pid=1410044401</x:v>
      </x:c>
      <x:c r="O500" t="str">
        <x:v>PASS</x:v>
      </x:c>
    </x:row>
    <x:row r="501">
      <x:c r="A501" t="str">
        <x:v>OBS_JVWS_05F08608BEEB7541A40B</x:v>
      </x:c>
      <x:c r="B501" t="str">
        <x:v>72201</x:v>
      </x:c>
      <x:c r="C501" t="str">
        <x:v>Industrial electricians</x:v>
      </x:c>
      <x:c r="D501" t="str">
        <x:v>trade_electricians</x:v>
      </x:c>
      <x:c r="E501" t="str">
        <x:v>Average offered hourly wage</x:v>
      </x:c>
      <x:c r="F501" s="145" t="n">
        <x:v>36</x:v>
      </x:c>
      <x:c r="G501" t="str">
        <x:v>Dollars</x:v>
      </x:c>
      <x:c r="H501" s="153" t="n">
        <x:v>42095</x:v>
      </x:c>
      <x:c r="I501" s="153" t="n">
        <x:v>42185</x:v>
      </x:c>
      <x:c r="J501" t="str">
        <x:v>observed</x:v>
      </x:c>
      <x:c r="K501" t="str">
        <x:v>STATCAN_JVWS_14100444</x:v>
      </x:c>
      <x:c r="L501" t="str">
        <x:v>TR_STATCAN_JVWS_AB_NOC_1_0_0</x:v>
      </x:c>
      <x:c r="M501" t="str">
        <x:v>status:A</x:v>
      </x:c>
      <x:c r="N501" t="str">
        <x:v>https://www150.statcan.gc.ca/t1/tbl1/en/tv.action?pid=1410044401</x:v>
      </x:c>
      <x:c r="O501" t="str">
        <x:v>PASS</x:v>
      </x:c>
    </x:row>
    <x:row r="502">
      <x:c r="A502" t="str">
        <x:v>OBS_JVWS_D1A14531C9896C68E5D8</x:v>
      </x:c>
      <x:c r="B502" t="str">
        <x:v>72201</x:v>
      </x:c>
      <x:c r="C502" t="str">
        <x:v>Industrial electricians</x:v>
      </x:c>
      <x:c r="D502" t="str">
        <x:v>trade_electricians</x:v>
      </x:c>
      <x:c r="E502" t="str">
        <x:v>Job vacancies</x:v>
      </x:c>
      <x:c r="F502" s="145" t="n">
        <x:v>70</x:v>
      </x:c>
      <x:c r="G502" t="str">
        <x:v>Number</x:v>
      </x:c>
      <x:c r="H502" s="153" t="n">
        <x:v>42095</x:v>
      </x:c>
      <x:c r="I502" s="153" t="n">
        <x:v>42185</x:v>
      </x:c>
      <x:c r="J502" t="str">
        <x:v>observed</x:v>
      </x:c>
      <x:c r="K502" t="str">
        <x:v>STATCAN_JVWS_14100444</x:v>
      </x:c>
      <x:c r="L502" t="str">
        <x:v>TR_STATCAN_JVWS_AB_NOC_1_0_0</x:v>
      </x:c>
      <x:c r="M502" t="str">
        <x:v>status:D</x:v>
      </x:c>
      <x:c r="N502" t="str">
        <x:v>https://www150.statcan.gc.ca/t1/tbl1/en/tv.action?pid=1410044401</x:v>
      </x:c>
      <x:c r="O502" t="str">
        <x:v>PASS</x:v>
      </x:c>
    </x:row>
    <x:row r="503">
      <x:c r="A503" t="str">
        <x:v>OBS_JVWS_288F3EC8ACCCCA95AAAC</x:v>
      </x:c>
      <x:c r="B503" t="str">
        <x:v>72402</x:v>
      </x:c>
      <x:c r="C503" t="str">
        <x:v>Heating, refrigeration and air conditioning mechanics</x:v>
      </x:c>
      <x:c r="D503" t="str">
        <x:v>trade_hvac</x:v>
      </x:c>
      <x:c r="E503" t="str">
        <x:v>Average offered hourly wage</x:v>
      </x:c>
      <x:c r="F503" s="145" t="n">
        <x:v>34.4</x:v>
      </x:c>
      <x:c r="G503" t="str">
        <x:v>Dollars</x:v>
      </x:c>
      <x:c r="H503" s="153" t="n">
        <x:v>42095</x:v>
      </x:c>
      <x:c r="I503" s="153" t="n">
        <x:v>42185</x:v>
      </x:c>
      <x:c r="J503" t="str">
        <x:v>observed</x:v>
      </x:c>
      <x:c r="K503" t="str">
        <x:v>STATCAN_JVWS_14100444</x:v>
      </x:c>
      <x:c r="L503" t="str">
        <x:v>TR_STATCAN_JVWS_AB_NOC_1_0_0</x:v>
      </x:c>
      <x:c r="M503" t="str">
        <x:v>status:B</x:v>
      </x:c>
      <x:c r="N503" t="str">
        <x:v>https://www150.statcan.gc.ca/t1/tbl1/en/tv.action?pid=1410044401</x:v>
      </x:c>
      <x:c r="O503" t="str">
        <x:v>PASS</x:v>
      </x:c>
    </x:row>
    <x:row r="504">
      <x:c r="A504" t="str">
        <x:v>OBS_JVWS_D3A86D2FE056EE810A36</x:v>
      </x:c>
      <x:c r="B504" t="str">
        <x:v>72402</x:v>
      </x:c>
      <x:c r="C504" t="str">
        <x:v>Heating, refrigeration and air conditioning mechanics</x:v>
      </x:c>
      <x:c r="D504" t="str">
        <x:v>trade_hvac</x:v>
      </x:c>
      <x:c r="E504" t="str">
        <x:v>Job vacancies</x:v>
      </x:c>
      <x:c r="F504" s="145"/>
      <x:c r="G504" t="str">
        <x:v>Number</x:v>
      </x:c>
      <x:c r="H504" s="153" t="n">
        <x:v>42095</x:v>
      </x:c>
      <x:c r="I504" s="153" t="n">
        <x:v>42185</x:v>
      </x:c>
      <x:c r="J504" t="str">
        <x:v>observed</x:v>
      </x:c>
      <x:c r="K504" t="str">
        <x:v>STATCAN_JVWS_14100444</x:v>
      </x:c>
      <x:c r="L504" t="str">
        <x:v>TR_STATCAN_JVWS_AB_NOC_1_0_0</x:v>
      </x:c>
      <x:c r="M504" t="str">
        <x:v>status:F|value_missing_or_suppressed</x:v>
      </x:c>
      <x:c r="N504" t="str">
        <x:v>https://www150.statcan.gc.ca/t1/tbl1/en/tv.action?pid=1410044401</x:v>
      </x:c>
      <x:c r="O504" t="str">
        <x:v>PASS</x:v>
      </x:c>
    </x:row>
    <x:row r="505">
      <x:c r="A505" t="str">
        <x:v>OBS_JVWS_E955CE8CEF694A69F57D</x:v>
      </x:c>
      <x:c r="B505" t="str">
        <x:v>72202</x:v>
      </x:c>
      <x:c r="C505" t="str">
        <x:v>Power system electricians</x:v>
      </x:c>
      <x:c r="D505" t="str">
        <x:v>trade_power_line</x:v>
      </x:c>
      <x:c r="E505" t="str">
        <x:v>Average offered hourly wage</x:v>
      </x:c>
      <x:c r="F505" s="145"/>
      <x:c r="G505" t="str">
        <x:v>Dollars</x:v>
      </x:c>
      <x:c r="H505" s="153" t="n">
        <x:v>42095</x:v>
      </x:c>
      <x:c r="I505" s="153" t="n">
        <x:v>42185</x:v>
      </x:c>
      <x:c r="J505" t="str">
        <x:v>observed</x:v>
      </x:c>
      <x:c r="K505" t="str">
        <x:v>STATCAN_JVWS_14100444</x:v>
      </x:c>
      <x:c r="L505" t="str">
        <x:v>TR_STATCAN_JVWS_AB_NOC_1_0_0</x:v>
      </x:c>
      <x:c r="M505" t="str">
        <x:v>status:F|value_missing_or_suppressed</x:v>
      </x:c>
      <x:c r="N505" t="str">
        <x:v>https://www150.statcan.gc.ca/t1/tbl1/en/tv.action?pid=1410044401</x:v>
      </x:c>
      <x:c r="O505" t="str">
        <x:v>PASS</x:v>
      </x:c>
    </x:row>
    <x:row r="506">
      <x:c r="A506" t="str">
        <x:v>OBS_JVWS_E40EE162F222921F79E4</x:v>
      </x:c>
      <x:c r="B506" t="str">
        <x:v>72202</x:v>
      </x:c>
      <x:c r="C506" t="str">
        <x:v>Power system electricians</x:v>
      </x:c>
      <x:c r="D506" t="str">
        <x:v>trade_power_line</x:v>
      </x:c>
      <x:c r="E506" t="str">
        <x:v>Job vacancies</x:v>
      </x:c>
      <x:c r="F506" s="145"/>
      <x:c r="G506" t="str">
        <x:v>Number</x:v>
      </x:c>
      <x:c r="H506" s="153" t="n">
        <x:v>42095</x:v>
      </x:c>
      <x:c r="I506" s="153" t="n">
        <x:v>42185</x:v>
      </x:c>
      <x:c r="J506" t="str">
        <x:v>observed</x:v>
      </x:c>
      <x:c r="K506" t="str">
        <x:v>STATCAN_JVWS_14100444</x:v>
      </x:c>
      <x:c r="L506" t="str">
        <x:v>TR_STATCAN_JVWS_AB_NOC_1_0_0</x:v>
      </x:c>
      <x:c r="M506" t="str">
        <x:v>status:F|value_missing_or_suppressed</x:v>
      </x:c>
      <x:c r="N506" t="str">
        <x:v>https://www150.statcan.gc.ca/t1/tbl1/en/tv.action?pid=1410044401</x:v>
      </x:c>
      <x:c r="O506" t="str">
        <x:v>PASS</x:v>
      </x:c>
    </x:row>
    <x:row r="507">
      <x:c r="A507" t="str">
        <x:v>OBS_JVWS_67DABC9F52F83EBE5F31</x:v>
      </x:c>
      <x:c r="B507" t="str">
        <x:v>72203</x:v>
      </x:c>
      <x:c r="C507" t="str">
        <x:v>Electrical power line and cable workers</x:v>
      </x:c>
      <x:c r="D507" t="str">
        <x:v>trade_power_line</x:v>
      </x:c>
      <x:c r="E507" t="str">
        <x:v>Average offered hourly wage</x:v>
      </x:c>
      <x:c r="F507" s="145" t="n">
        <x:v>32.55</x:v>
      </x:c>
      <x:c r="G507" t="str">
        <x:v>Dollars</x:v>
      </x:c>
      <x:c r="H507" s="153" t="n">
        <x:v>42095</x:v>
      </x:c>
      <x:c r="I507" s="153" t="n">
        <x:v>42185</x:v>
      </x:c>
      <x:c r="J507" t="str">
        <x:v>observed</x:v>
      </x:c>
      <x:c r="K507" t="str">
        <x:v>STATCAN_JVWS_14100444</x:v>
      </x:c>
      <x:c r="L507" t="str">
        <x:v>TR_STATCAN_JVWS_AB_NOC_1_0_0</x:v>
      </x:c>
      <x:c r="M507" t="str">
        <x:v>status:B</x:v>
      </x:c>
      <x:c r="N507" t="str">
        <x:v>https://www150.statcan.gc.ca/t1/tbl1/en/tv.action?pid=1410044401</x:v>
      </x:c>
      <x:c r="O507" t="str">
        <x:v>PASS</x:v>
      </x:c>
    </x:row>
    <x:row r="508">
      <x:c r="A508" t="str">
        <x:v>OBS_JVWS_E25407727574D304C286</x:v>
      </x:c>
      <x:c r="B508" t="str">
        <x:v>72203</x:v>
      </x:c>
      <x:c r="C508" t="str">
        <x:v>Electrical power line and cable workers</x:v>
      </x:c>
      <x:c r="D508" t="str">
        <x:v>trade_power_line</x:v>
      </x:c>
      <x:c r="E508" t="str">
        <x:v>Job vacancies</x:v>
      </x:c>
      <x:c r="F508" s="145"/>
      <x:c r="G508" t="str">
        <x:v>Number</x:v>
      </x:c>
      <x:c r="H508" s="153" t="n">
        <x:v>42095</x:v>
      </x:c>
      <x:c r="I508" s="153" t="n">
        <x:v>42185</x:v>
      </x:c>
      <x:c r="J508" t="str">
        <x:v>observed</x:v>
      </x:c>
      <x:c r="K508" t="str">
        <x:v>STATCAN_JVWS_14100444</x:v>
      </x:c>
      <x:c r="L508" t="str">
        <x:v>TR_STATCAN_JVWS_AB_NOC_1_0_0</x:v>
      </x:c>
      <x:c r="M508" t="str">
        <x:v>status:F|value_missing_or_suppressed</x:v>
      </x:c>
      <x:c r="N508" t="str">
        <x:v>https://www150.statcan.gc.ca/t1/tbl1/en/tv.action?pid=1410044401</x:v>
      </x:c>
      <x:c r="O508" t="str">
        <x:v>PASS</x:v>
      </x:c>
    </x:row>
    <x:row r="509">
      <x:c r="A509" t="str">
        <x:v>OBS_JVWS_2DE0A28C8F86769434E6</x:v>
      </x:c>
      <x:c r="B509" t="str">
        <x:v>73100</x:v>
      </x:c>
      <x:c r="C509" t="str">
        <x:v>Concrete finishers</x:v>
      </x:c>
      <x:c r="D509" t="str">
        <x:v>trade_concrete</x:v>
      </x:c>
      <x:c r="E509" t="str">
        <x:v>Average offered hourly wage</x:v>
      </x:c>
      <x:c r="F509" s="145"/>
      <x:c r="G509" t="str">
        <x:v>Dollars</x:v>
      </x:c>
      <x:c r="H509" s="153" t="n">
        <x:v>42005</x:v>
      </x:c>
      <x:c r="I509" s="153" t="n">
        <x:v>42094</x:v>
      </x:c>
      <x:c r="J509" t="str">
        <x:v>observed</x:v>
      </x:c>
      <x:c r="K509" t="str">
        <x:v>STATCAN_JVWS_14100444</x:v>
      </x:c>
      <x:c r="L509" t="str">
        <x:v>TR_STATCAN_JVWS_AB_NOC_1_0_0</x:v>
      </x:c>
      <x:c r="M509" t="str">
        <x:v>status:F|value_missing_or_suppressed</x:v>
      </x:c>
      <x:c r="N509" t="str">
        <x:v>https://www150.statcan.gc.ca/t1/tbl1/en/tv.action?pid=1410044401</x:v>
      </x:c>
      <x:c r="O509" t="str">
        <x:v>PASS</x:v>
      </x:c>
    </x:row>
    <x:row r="510">
      <x:c r="A510" t="str">
        <x:v>OBS_JVWS_9AF938701A24751FA9FE</x:v>
      </x:c>
      <x:c r="B510" t="str">
        <x:v>73100</x:v>
      </x:c>
      <x:c r="C510" t="str">
        <x:v>Concrete finishers</x:v>
      </x:c>
      <x:c r="D510" t="str">
        <x:v>trade_concrete</x:v>
      </x:c>
      <x:c r="E510" t="str">
        <x:v>Job vacancies</x:v>
      </x:c>
      <x:c r="F510" s="145"/>
      <x:c r="G510" t="str">
        <x:v>Number</x:v>
      </x:c>
      <x:c r="H510" s="153" t="n">
        <x:v>42005</x:v>
      </x:c>
      <x:c r="I510" s="153" t="n">
        <x:v>42094</x:v>
      </x:c>
      <x:c r="J510" t="str">
        <x:v>observed</x:v>
      </x:c>
      <x:c r="K510" t="str">
        <x:v>STATCAN_JVWS_14100444</x:v>
      </x:c>
      <x:c r="L510" t="str">
        <x:v>TR_STATCAN_JVWS_AB_NOC_1_0_0</x:v>
      </x:c>
      <x:c r="M510" t="str">
        <x:v>status:F|value_missing_or_suppressed</x:v>
      </x:c>
      <x:c r="N510" t="str">
        <x:v>https://www150.statcan.gc.ca/t1/tbl1/en/tv.action?pid=1410044401</x:v>
      </x:c>
      <x:c r="O510" t="str">
        <x:v>PASS</x:v>
      </x:c>
    </x:row>
    <x:row r="511">
      <x:c r="A511" t="str">
        <x:v>OBS_JVWS_91C4D1809D27A7C16643</x:v>
      </x:c>
      <x:c r="B511" t="str">
        <x:v>72200</x:v>
      </x:c>
      <x:c r="C511" t="str">
        <x:v>Electricians (except industrial and power system)</x:v>
      </x:c>
      <x:c r="D511" t="str">
        <x:v>trade_electricians</x:v>
      </x:c>
      <x:c r="E511" t="str">
        <x:v>Average offered hourly wage</x:v>
      </x:c>
      <x:c r="F511" s="145"/>
      <x:c r="G511" t="str">
        <x:v>Dollars</x:v>
      </x:c>
      <x:c r="H511" s="153" t="n">
        <x:v>42005</x:v>
      </x:c>
      <x:c r="I511" s="153" t="n">
        <x:v>42094</x:v>
      </x:c>
      <x:c r="J511" t="str">
        <x:v>observed</x:v>
      </x:c>
      <x:c r="K511" t="str">
        <x:v>STATCAN_JVWS_14100444</x:v>
      </x:c>
      <x:c r="L511" t="str">
        <x:v>TR_STATCAN_JVWS_AB_NOC_1_0_0</x:v>
      </x:c>
      <x:c r="M511" t="str">
        <x:v>status:F|value_missing_or_suppressed</x:v>
      </x:c>
      <x:c r="N511" t="str">
        <x:v>https://www150.statcan.gc.ca/t1/tbl1/en/tv.action?pid=1410044401</x:v>
      </x:c>
      <x:c r="O511" t="str">
        <x:v>PASS</x:v>
      </x:c>
    </x:row>
    <x:row r="512">
      <x:c r="A512" t="str">
        <x:v>OBS_JVWS_5C1C11085FB16DC0E593</x:v>
      </x:c>
      <x:c r="B512" t="str">
        <x:v>72200</x:v>
      </x:c>
      <x:c r="C512" t="str">
        <x:v>Electricians (except industrial and power system)</x:v>
      </x:c>
      <x:c r="D512" t="str">
        <x:v>trade_electricians</x:v>
      </x:c>
      <x:c r="E512" t="str">
        <x:v>Job vacancies</x:v>
      </x:c>
      <x:c r="F512" s="145"/>
      <x:c r="G512" t="str">
        <x:v>Number</x:v>
      </x:c>
      <x:c r="H512" s="153" t="n">
        <x:v>42005</x:v>
      </x:c>
      <x:c r="I512" s="153" t="n">
        <x:v>42094</x:v>
      </x:c>
      <x:c r="J512" t="str">
        <x:v>observed</x:v>
      </x:c>
      <x:c r="K512" t="str">
        <x:v>STATCAN_JVWS_14100444</x:v>
      </x:c>
      <x:c r="L512" t="str">
        <x:v>TR_STATCAN_JVWS_AB_NOC_1_0_0</x:v>
      </x:c>
      <x:c r="M512" t="str">
        <x:v>status:F|value_missing_or_suppressed</x:v>
      </x:c>
      <x:c r="N512" t="str">
        <x:v>https://www150.statcan.gc.ca/t1/tbl1/en/tv.action?pid=1410044401</x:v>
      </x:c>
      <x:c r="O512" t="str">
        <x:v>PASS</x:v>
      </x:c>
    </x:row>
    <x:row r="513">
      <x:c r="A513" t="str">
        <x:v>OBS_JVWS_D9EF04FC3B9DCA7B93B7</x:v>
      </x:c>
      <x:c r="B513" t="str">
        <x:v>72201</x:v>
      </x:c>
      <x:c r="C513" t="str">
        <x:v>Industrial electricians</x:v>
      </x:c>
      <x:c r="D513" t="str">
        <x:v>trade_electricians</x:v>
      </x:c>
      <x:c r="E513" t="str">
        <x:v>Average offered hourly wage</x:v>
      </x:c>
      <x:c r="F513" s="145"/>
      <x:c r="G513" t="str">
        <x:v>Dollars</x:v>
      </x:c>
      <x:c r="H513" s="153" t="n">
        <x:v>42005</x:v>
      </x:c>
      <x:c r="I513" s="153" t="n">
        <x:v>42094</x:v>
      </x:c>
      <x:c r="J513" t="str">
        <x:v>observed</x:v>
      </x:c>
      <x:c r="K513" t="str">
        <x:v>STATCAN_JVWS_14100444</x:v>
      </x:c>
      <x:c r="L513" t="str">
        <x:v>TR_STATCAN_JVWS_AB_NOC_1_0_0</x:v>
      </x:c>
      <x:c r="M513" t="str">
        <x:v>status:F|value_missing_or_suppressed</x:v>
      </x:c>
      <x:c r="N513" t="str">
        <x:v>https://www150.statcan.gc.ca/t1/tbl1/en/tv.action?pid=1410044401</x:v>
      </x:c>
      <x:c r="O513" t="str">
        <x:v>PASS</x:v>
      </x:c>
    </x:row>
    <x:row r="514">
      <x:c r="A514" t="str">
        <x:v>OBS_JVWS_2CD4C21F6B38A2911CEF</x:v>
      </x:c>
      <x:c r="B514" t="str">
        <x:v>72201</x:v>
      </x:c>
      <x:c r="C514" t="str">
        <x:v>Industrial electricians</x:v>
      </x:c>
      <x:c r="D514" t="str">
        <x:v>trade_electricians</x:v>
      </x:c>
      <x:c r="E514" t="str">
        <x:v>Job vacancies</x:v>
      </x:c>
      <x:c r="F514" s="145"/>
      <x:c r="G514" t="str">
        <x:v>Number</x:v>
      </x:c>
      <x:c r="H514" s="153" t="n">
        <x:v>42005</x:v>
      </x:c>
      <x:c r="I514" s="153" t="n">
        <x:v>42094</x:v>
      </x:c>
      <x:c r="J514" t="str">
        <x:v>observed</x:v>
      </x:c>
      <x:c r="K514" t="str">
        <x:v>STATCAN_JVWS_14100444</x:v>
      </x:c>
      <x:c r="L514" t="str">
        <x:v>TR_STATCAN_JVWS_AB_NOC_1_0_0</x:v>
      </x:c>
      <x:c r="M514" t="str">
        <x:v>status:F|value_missing_or_suppressed</x:v>
      </x:c>
      <x:c r="N514" t="str">
        <x:v>https://www150.statcan.gc.ca/t1/tbl1/en/tv.action?pid=1410044401</x:v>
      </x:c>
      <x:c r="O514" t="str">
        <x:v>PASS</x:v>
      </x:c>
    </x:row>
    <x:row r="515">
      <x:c r="A515" t="str">
        <x:v>OBS_JVWS_1E4201BA8D337EFCCB70</x:v>
      </x:c>
      <x:c r="B515" t="str">
        <x:v>72402</x:v>
      </x:c>
      <x:c r="C515" t="str">
        <x:v>Heating, refrigeration and air conditioning mechanics</x:v>
      </x:c>
      <x:c r="D515" t="str">
        <x:v>trade_hvac</x:v>
      </x:c>
      <x:c r="E515" t="str">
        <x:v>Average offered hourly wage</x:v>
      </x:c>
      <x:c r="F515" s="145" t="n">
        <x:v>33.6</x:v>
      </x:c>
      <x:c r="G515" t="str">
        <x:v>Dollars</x:v>
      </x:c>
      <x:c r="H515" s="153" t="n">
        <x:v>42005</x:v>
      </x:c>
      <x:c r="I515" s="153" t="n">
        <x:v>42094</x:v>
      </x:c>
      <x:c r="J515" t="str">
        <x:v>observed</x:v>
      </x:c>
      <x:c r="K515" t="str">
        <x:v>STATCAN_JVWS_14100444</x:v>
      </x:c>
      <x:c r="L515" t="str">
        <x:v>TR_STATCAN_JVWS_AB_NOC_1_0_0</x:v>
      </x:c>
      <x:c r="M515" t="str">
        <x:v>status:E</x:v>
      </x:c>
      <x:c r="N515" t="str">
        <x:v>https://www150.statcan.gc.ca/t1/tbl1/en/tv.action?pid=1410044401</x:v>
      </x:c>
      <x:c r="O515" t="str">
        <x:v>PASS</x:v>
      </x:c>
    </x:row>
    <x:row r="516">
      <x:c r="A516" t="str">
        <x:v>OBS_JVWS_AA309B98628AA6A20291</x:v>
      </x:c>
      <x:c r="B516" t="str">
        <x:v>72402</x:v>
      </x:c>
      <x:c r="C516" t="str">
        <x:v>Heating, refrigeration and air conditioning mechanics</x:v>
      </x:c>
      <x:c r="D516" t="str">
        <x:v>trade_hvac</x:v>
      </x:c>
      <x:c r="E516" t="str">
        <x:v>Job vacancies</x:v>
      </x:c>
      <x:c r="F516" s="145"/>
      <x:c r="G516" t="str">
        <x:v>Number</x:v>
      </x:c>
      <x:c r="H516" s="153" t="n">
        <x:v>42005</x:v>
      </x:c>
      <x:c r="I516" s="153" t="n">
        <x:v>42094</x:v>
      </x:c>
      <x:c r="J516" t="str">
        <x:v>observed</x:v>
      </x:c>
      <x:c r="K516" t="str">
        <x:v>STATCAN_JVWS_14100444</x:v>
      </x:c>
      <x:c r="L516" t="str">
        <x:v>TR_STATCAN_JVWS_AB_NOC_1_0_0</x:v>
      </x:c>
      <x:c r="M516" t="str">
        <x:v>status:F|value_missing_or_suppressed</x:v>
      </x:c>
      <x:c r="N516" t="str">
        <x:v>https://www150.statcan.gc.ca/t1/tbl1/en/tv.action?pid=1410044401</x:v>
      </x:c>
      <x:c r="O516" t="str">
        <x:v>PASS</x:v>
      </x:c>
    </x:row>
    <x:row r="517">
      <x:c r="A517" t="str">
        <x:v>OBS_JVWS_0D7B5ECCD27BA8B6B864</x:v>
      </x:c>
      <x:c r="B517" t="str">
        <x:v>72202</x:v>
      </x:c>
      <x:c r="C517" t="str">
        <x:v>Power system electricians</x:v>
      </x:c>
      <x:c r="D517" t="str">
        <x:v>trade_power_line</x:v>
      </x:c>
      <x:c r="E517" t="str">
        <x:v>Average offered hourly wage</x:v>
      </x:c>
      <x:c r="F517" s="145"/>
      <x:c r="G517" t="str">
        <x:v>Dollars</x:v>
      </x:c>
      <x:c r="H517" s="153" t="n">
        <x:v>42005</x:v>
      </x:c>
      <x:c r="I517" s="153" t="n">
        <x:v>42094</x:v>
      </x:c>
      <x:c r="J517" t="str">
        <x:v>observed</x:v>
      </x:c>
      <x:c r="K517" t="str">
        <x:v>STATCAN_JVWS_14100444</x:v>
      </x:c>
      <x:c r="L517" t="str">
        <x:v>TR_STATCAN_JVWS_AB_NOC_1_0_0</x:v>
      </x:c>
      <x:c r="M517" t="str">
        <x:v>status:..|value_missing_or_suppressed</x:v>
      </x:c>
      <x:c r="N517" t="str">
        <x:v>https://www150.statcan.gc.ca/t1/tbl1/en/tv.action?pid=1410044401</x:v>
      </x:c>
      <x:c r="O517" t="str">
        <x:v>PASS</x:v>
      </x:c>
    </x:row>
    <x:row r="518">
      <x:c r="A518" t="str">
        <x:v>OBS_JVWS_29ABF6F92551C6933259</x:v>
      </x:c>
      <x:c r="B518" t="str">
        <x:v>72202</x:v>
      </x:c>
      <x:c r="C518" t="str">
        <x:v>Power system electricians</x:v>
      </x:c>
      <x:c r="D518" t="str">
        <x:v>trade_power_line</x:v>
      </x:c>
      <x:c r="E518" t="str">
        <x:v>Job vacancies</x:v>
      </x:c>
      <x:c r="F518" s="145"/>
      <x:c r="G518" t="str">
        <x:v>Number</x:v>
      </x:c>
      <x:c r="H518" s="153" t="n">
        <x:v>42005</x:v>
      </x:c>
      <x:c r="I518" s="153" t="n">
        <x:v>42094</x:v>
      </x:c>
      <x:c r="J518" t="str">
        <x:v>observed</x:v>
      </x:c>
      <x:c r="K518" t="str">
        <x:v>STATCAN_JVWS_14100444</x:v>
      </x:c>
      <x:c r="L518" t="str">
        <x:v>TR_STATCAN_JVWS_AB_NOC_1_0_0</x:v>
      </x:c>
      <x:c r="M518" t="str">
        <x:v>status:..|value_missing_or_suppressed</x:v>
      </x:c>
      <x:c r="N518" t="str">
        <x:v>https://www150.statcan.gc.ca/t1/tbl1/en/tv.action?pid=1410044401</x:v>
      </x:c>
      <x:c r="O518" t="str">
        <x:v>PASS</x:v>
      </x:c>
    </x:row>
    <x:row r="519">
      <x:c r="A519" t="str">
        <x:v>OBS_JVWS_D91C7DCC5837E1DEAD40</x:v>
      </x:c>
      <x:c r="B519" t="str">
        <x:v>72203</x:v>
      </x:c>
      <x:c r="C519" t="str">
        <x:v>Electrical power line and cable workers</x:v>
      </x:c>
      <x:c r="D519" t="str">
        <x:v>trade_power_line</x:v>
      </x:c>
      <x:c r="E519" t="str">
        <x:v>Average offered hourly wage</x:v>
      </x:c>
      <x:c r="F519" s="145" t="n">
        <x:v>38.85</x:v>
      </x:c>
      <x:c r="G519" t="str">
        <x:v>Dollars</x:v>
      </x:c>
      <x:c r="H519" s="153" t="n">
        <x:v>42005</x:v>
      </x:c>
      <x:c r="I519" s="153" t="n">
        <x:v>42094</x:v>
      </x:c>
      <x:c r="J519" t="str">
        <x:v>observed</x:v>
      </x:c>
      <x:c r="K519" t="str">
        <x:v>STATCAN_JVWS_14100444</x:v>
      </x:c>
      <x:c r="L519" t="str">
        <x:v>TR_STATCAN_JVWS_AB_NOC_1_0_0</x:v>
      </x:c>
      <x:c r="M519" t="str">
        <x:v>status:E</x:v>
      </x:c>
      <x:c r="N519" t="str">
        <x:v>https://www150.statcan.gc.ca/t1/tbl1/en/tv.action?pid=1410044401</x:v>
      </x:c>
      <x:c r="O519" t="str">
        <x:v>PASS</x:v>
      </x:c>
    </x:row>
    <x:row r="520">
      <x:c r="A520" t="str">
        <x:v>OBS_JVWS_6C597DCB77843F8A7697</x:v>
      </x:c>
      <x:c r="B520" t="str">
        <x:v>72203</x:v>
      </x:c>
      <x:c r="C520" t="str">
        <x:v>Electrical power line and cable workers</x:v>
      </x:c>
      <x:c r="D520" t="str">
        <x:v>trade_power_line</x:v>
      </x:c>
      <x:c r="E520" t="str">
        <x:v>Job vacancies</x:v>
      </x:c>
      <x:c r="F520" s="145"/>
      <x:c r="G520" t="str">
        <x:v>Number</x:v>
      </x:c>
      <x:c r="H520" s="153" t="n">
        <x:v>42005</x:v>
      </x:c>
      <x:c r="I520" s="153" t="n">
        <x:v>42094</x:v>
      </x:c>
      <x:c r="J520" t="str">
        <x:v>observed</x:v>
      </x:c>
      <x:c r="K520" t="str">
        <x:v>STATCAN_JVWS_14100444</x:v>
      </x:c>
      <x:c r="L520" t="str">
        <x:v>TR_STATCAN_JVWS_AB_NOC_1_0_0</x:v>
      </x:c>
      <x:c r="M520" t="str">
        <x:v>status:F|value_missing_or_suppressed</x:v>
      </x:c>
      <x:c r="N520" t="str">
        <x:v>https://www150.statcan.gc.ca/t1/tbl1/en/tv.action?pid=1410044401</x:v>
      </x:c>
      <x:c r="O520" t="str">
        <x:v>PASS</x:v>
      </x:c>
    </x:row>
  </x:sheetData>
  <x:mergeCells>
    <x:mergeCell ref="A1:O2"/>
    <x:mergeCell ref="A3:O3"/>
  </x:mergeCells>
  <x:conditionalFormatting sqref="O5:O52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e110970bdb4e4fd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28" hidden="0" customWidth="1"/>
    <x:col min="4" max="4" width="20" hidden="0" customWidth="1"/>
    <x:col min="5" max="5" width="10" hidden="0" customWidth="1"/>
    <x:col min="6" max="6" width="44" hidden="0" customWidth="1"/>
    <x:col min="7" max="7" width="24" hidden="0" customWidth="1"/>
    <x:col min="8" max="8" width="31" hidden="0" customWidth="1"/>
    <x:col min="9" max="9" width="13" hidden="0" customWidth="1"/>
    <x:col min="10" max="10" width="13" hidden="0" customWidth="1"/>
    <x:col min="11" max="11" width="14" hidden="0" customWidth="1"/>
    <x:col min="12" max="12" width="17" hidden="0" customWidth="1"/>
    <x:col min="13" max="13" width="28" hidden="0" customWidth="1"/>
    <x:col min="14" max="14" width="38" hidden="0" customWidth="1"/>
    <x:col min="15" max="15" width="40" hidden="0" customWidth="1"/>
    <x:col min="16" max="16" width="45" hidden="0" customWidth="1"/>
    <x:col min="17" max="17" width="18" hidden="0" customWidth="1"/>
  </x:cols>
  <x:sheetData>
    <x:row r="1" ht="28" customHeight="1">
      <x:c r="A1" s="61" t="str">
        <x:v>Canada provincial trade labour evidence</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Statistics Canada table 14-10-0444-01 · latest quarter 2026-03-31 · national totals excluded</x:v>
      </x:c>
      <x:c r="B3" s="62"/>
      <x:c r="C3" s="62"/>
      <x:c r="D3" s="62"/>
      <x:c r="E3" s="62"/>
      <x:c r="F3" s="62"/>
      <x:c r="G3" s="62"/>
      <x:c r="H3" s="62"/>
      <x:c r="I3" s="62"/>
      <x:c r="J3" s="62"/>
      <x:c r="K3" s="62"/>
      <x:c r="L3" s="62"/>
      <x:c r="M3" s="62"/>
      <x:c r="N3" s="62"/>
      <x:c r="O3" s="62"/>
      <x:c r="P3" s="62"/>
      <x:c r="Q3" s="62"/>
    </x:row>
    <x:row r="4" ht="28" customHeight="1">
      <x:c r="A4" s="44" t="str">
        <x:v>Geography ID</x:v>
      </x:c>
      <x:c r="B4" s="84" t="str">
        <x:v>Province / territory</x:v>
      </x:c>
      <x:c r="C4" s="84" t="str">
        <x:v>Reported cells</x:v>
      </x:c>
      <x:c r="D4" s="84" t="str">
        <x:v>Not published</x:v>
      </x:c>
      <x:c r="E4" s="84" t="str">
        <x:v>Total cells</x:v>
      </x:c>
      <x:c r="F4" s="84" t="str">
        <x:v>Coverage</x:v>
      </x:c>
      <x:c r="G4" s="84" t="str">
        <x:v>Expected reported</x:v>
      </x:c>
      <x:c r="H4" s="84" t="str">
        <x:v>Expected not published</x:v>
      </x:c>
      <x:c r="I4" s="45" t="str">
        <x:v>Reconciliation</x:v>
      </x:c>
      <x:c r="J4" s="63"/>
      <x:c r="K4" s="63"/>
      <x:c r="L4" s="63"/>
      <x:c r="M4" s="63"/>
      <x:c r="N4" s="63"/>
      <x:c r="O4" s="63"/>
      <x:c r="P4" s="63"/>
      <x:c r="Q4" s="63"/>
    </x:row>
    <x:row r="5">
      <x:c r="A5" s="63" t="str">
        <x:v>PR_48</x:v>
      </x:c>
      <x:c r="B5" s="63" t="str">
        <x:v>Alberta</x:v>
      </x:c>
      <x:c r="C5" s="63" t="n">
        <x:f>COUNTIFS($B$22:$B$177,$A5,$I$22:$I$177,"&lt;&gt;")</x:f>
        <x:v>8</x:v>
      </x:c>
      <x:c r="D5" s="63" t="n">
        <x:f>COUNTIF($B$22:$B$177,$A5)-C5</x:f>
        <x:v>4</x:v>
      </x:c>
      <x:c r="E5" s="63" t="n">
        <x:f>C5+D5</x:f>
        <x:v>12</x:v>
      </x:c>
      <x:c r="F5" s="151" t="n">
        <x:f>IF(E5=0,0,C5/E5)</x:f>
        <x:v>0.6666666666666666</x:v>
      </x:c>
      <x:c r="G5" s="63" t="n">
        <x:v>8</x:v>
      </x:c>
      <x:c r="H5" s="63" t="n">
        <x:v>4</x:v>
      </x:c>
      <x:c r="I5" s="63" t="str">
        <x:f>IF(AND(C5=G5,D5=H5),"PASS","FAIL")</x:f>
        <x:v>PASS</x:v>
      </x:c>
      <x:c r="J5" s="63"/>
      <x:c r="K5" s="63"/>
      <x:c r="L5" s="63"/>
      <x:c r="M5" s="63"/>
      <x:c r="N5" s="63"/>
      <x:c r="O5" s="63"/>
      <x:c r="P5" s="63"/>
      <x:c r="Q5" s="63"/>
    </x:row>
    <x:row r="6">
      <x:c r="A6" s="63" t="str">
        <x:v>PR_59</x:v>
      </x:c>
      <x:c r="B6" s="63" t="str">
        <x:v>British Columbia</x:v>
      </x:c>
      <x:c r="C6" s="63" t="n">
        <x:f>COUNTIFS($B$22:$B$177,$A6,$I$22:$I$177,"&lt;&gt;")</x:f>
        <x:v>4</x:v>
      </x:c>
      <x:c r="D6" s="63" t="n">
        <x:f>COUNTIF($B$22:$B$177,$A6)-C6</x:f>
        <x:v>8</x:v>
      </x:c>
      <x:c r="E6" s="63" t="n">
        <x:f>C6+D6</x:f>
        <x:v>12</x:v>
      </x:c>
      <x:c r="F6" s="151" t="n">
        <x:f>IF(E6=0,0,C6/E6)</x:f>
        <x:v>0.3333333333333333</x:v>
      </x:c>
      <x:c r="G6" s="63" t="n">
        <x:v>4</x:v>
      </x:c>
      <x:c r="H6" s="63" t="n">
        <x:v>8</x:v>
      </x:c>
      <x:c r="I6" s="63" t="str">
        <x:f>IF(AND(C6=G6,D6=H6),"PASS","FAIL")</x:f>
        <x:v>PASS</x:v>
      </x:c>
      <x:c r="J6" s="63"/>
      <x:c r="K6" s="63"/>
      <x:c r="L6" s="63"/>
      <x:c r="M6" s="63"/>
      <x:c r="N6" s="63"/>
      <x:c r="O6" s="63"/>
      <x:c r="P6" s="63"/>
      <x:c r="Q6" s="63"/>
    </x:row>
    <x:row r="7">
      <x:c r="A7" s="63" t="str">
        <x:v>PR_46</x:v>
      </x:c>
      <x:c r="B7" s="63" t="str">
        <x:v>Manitoba</x:v>
      </x:c>
      <x:c r="C7" s="63" t="n">
        <x:f>COUNTIFS($B$22:$B$177,$A7,$I$22:$I$177,"&lt;&gt;")</x:f>
        <x:v>6</x:v>
      </x:c>
      <x:c r="D7" s="63" t="n">
        <x:f>COUNTIF($B$22:$B$177,$A7)-C7</x:f>
        <x:v>6</x:v>
      </x:c>
      <x:c r="E7" s="63" t="n">
        <x:f>C7+D7</x:f>
        <x:v>12</x:v>
      </x:c>
      <x:c r="F7" s="151" t="n">
        <x:f>IF(E7=0,0,C7/E7)</x:f>
        <x:v>0.5</x:v>
      </x:c>
      <x:c r="G7" s="63" t="n">
        <x:v>6</x:v>
      </x:c>
      <x:c r="H7" s="63" t="n">
        <x:v>6</x:v>
      </x:c>
      <x:c r="I7" s="63" t="str">
        <x:f>IF(AND(C7=G7,D7=H7),"PASS","FAIL")</x:f>
        <x:v>PASS</x:v>
      </x:c>
      <x:c r="J7" s="63"/>
      <x:c r="K7" s="63"/>
      <x:c r="L7" s="63"/>
      <x:c r="M7" s="63"/>
      <x:c r="N7" s="63"/>
      <x:c r="O7" s="63"/>
      <x:c r="P7" s="63"/>
      <x:c r="Q7" s="63"/>
    </x:row>
    <x:row r="8">
      <x:c r="A8" s="63" t="str">
        <x:v>PR_13</x:v>
      </x:c>
      <x:c r="B8" s="63" t="str">
        <x:v>New Brunswick</x:v>
      </x:c>
      <x:c r="C8" s="63" t="n">
        <x:f>COUNTIFS($B$22:$B$177,$A8,$I$22:$I$177,"&lt;&gt;")</x:f>
        <x:v>4</x:v>
      </x:c>
      <x:c r="D8" s="63" t="n">
        <x:f>COUNTIF($B$22:$B$177,$A8)-C8</x:f>
        <x:v>8</x:v>
      </x:c>
      <x:c r="E8" s="63" t="n">
        <x:f>C8+D8</x:f>
        <x:v>12</x:v>
      </x:c>
      <x:c r="F8" s="151" t="n">
        <x:f>IF(E8=0,0,C8/E8)</x:f>
        <x:v>0.3333333333333333</x:v>
      </x:c>
      <x:c r="G8" s="63" t="n">
        <x:v>4</x:v>
      </x:c>
      <x:c r="H8" s="63" t="n">
        <x:v>8</x:v>
      </x:c>
      <x:c r="I8" s="63" t="str">
        <x:f>IF(AND(C8=G8,D8=H8),"PASS","FAIL")</x:f>
        <x:v>PASS</x:v>
      </x:c>
      <x:c r="J8" s="63"/>
      <x:c r="K8" s="63"/>
      <x:c r="L8" s="63"/>
      <x:c r="M8" s="63"/>
      <x:c r="N8" s="63"/>
      <x:c r="O8" s="63"/>
      <x:c r="P8" s="63"/>
      <x:c r="Q8" s="63"/>
    </x:row>
    <x:row r="9">
      <x:c r="A9" s="63" t="str">
        <x:v>PR_10</x:v>
      </x:c>
      <x:c r="B9" s="63" t="str">
        <x:v>Newfoundland and Labrador</x:v>
      </x:c>
      <x:c r="C9" s="63" t="n">
        <x:f>COUNTIFS($B$22:$B$177,$A9,$I$22:$I$177,"&lt;&gt;")</x:f>
        <x:v>2</x:v>
      </x:c>
      <x:c r="D9" s="63" t="n">
        <x:f>COUNTIF($B$22:$B$177,$A9)-C9</x:f>
        <x:v>10</x:v>
      </x:c>
      <x:c r="E9" s="63" t="n">
        <x:f>C9+D9</x:f>
        <x:v>12</x:v>
      </x:c>
      <x:c r="F9" s="151" t="n">
        <x:f>IF(E9=0,0,C9/E9)</x:f>
        <x:v>0.16666666666666666</x:v>
      </x:c>
      <x:c r="G9" s="63" t="n">
        <x:v>2</x:v>
      </x:c>
      <x:c r="H9" s="63" t="n">
        <x:v>10</x:v>
      </x:c>
      <x:c r="I9" s="63" t="str">
        <x:f>IF(AND(C9=G9,D9=H9),"PASS","FAIL")</x:f>
        <x:v>PASS</x:v>
      </x:c>
      <x:c r="J9" s="63"/>
      <x:c r="K9" s="63"/>
      <x:c r="L9" s="63"/>
      <x:c r="M9" s="63"/>
      <x:c r="N9" s="63"/>
      <x:c r="O9" s="63"/>
      <x:c r="P9" s="63"/>
      <x:c r="Q9" s="63"/>
    </x:row>
    <x:row r="10">
      <x:c r="A10" s="63" t="str">
        <x:v>PR_61</x:v>
      </x:c>
      <x:c r="B10" s="63" t="str">
        <x:v>Northwest Territories</x:v>
      </x:c>
      <x:c r="C10" s="63" t="n">
        <x:f>COUNTIFS($B$22:$B$177,$A10,$I$22:$I$177,"&lt;&gt;")</x:f>
        <x:v>0</x:v>
      </x:c>
      <x:c r="D10" s="63" t="n">
        <x:f>COUNTIF($B$22:$B$177,$A10)-C10</x:f>
        <x:v>12</x:v>
      </x:c>
      <x:c r="E10" s="63" t="n">
        <x:f>C10+D10</x:f>
        <x:v>12</x:v>
      </x:c>
      <x:c r="F10" s="151" t="n">
        <x:f>IF(E10=0,0,C10/E10)</x:f>
        <x:v>0</x:v>
      </x:c>
      <x:c r="G10" s="63" t="n">
        <x:v>0</x:v>
      </x:c>
      <x:c r="H10" s="63" t="n">
        <x:v>12</x:v>
      </x:c>
      <x:c r="I10" s="63" t="str">
        <x:f>IF(AND(C10=G10,D10=H10),"PASS","FAIL")</x:f>
        <x:v>PASS</x:v>
      </x:c>
      <x:c r="J10" s="63"/>
      <x:c r="K10" s="63"/>
      <x:c r="L10" s="63"/>
      <x:c r="M10" s="63"/>
      <x:c r="N10" s="63"/>
      <x:c r="O10" s="63"/>
      <x:c r="P10" s="63"/>
      <x:c r="Q10" s="63"/>
    </x:row>
    <x:row r="11">
      <x:c r="A11" s="63" t="str">
        <x:v>PR_12</x:v>
      </x:c>
      <x:c r="B11" s="63" t="str">
        <x:v>Nova Scotia</x:v>
      </x:c>
      <x:c r="C11" s="63" t="n">
        <x:f>COUNTIFS($B$22:$B$177,$A11,$I$22:$I$177,"&lt;&gt;")</x:f>
        <x:v>3</x:v>
      </x:c>
      <x:c r="D11" s="63" t="n">
        <x:f>COUNTIF($B$22:$B$177,$A11)-C11</x:f>
        <x:v>9</x:v>
      </x:c>
      <x:c r="E11" s="63" t="n">
        <x:f>C11+D11</x:f>
        <x:v>12</x:v>
      </x:c>
      <x:c r="F11" s="151" t="n">
        <x:f>IF(E11=0,0,C11/E11)</x:f>
        <x:v>0.25</x:v>
      </x:c>
      <x:c r="G11" s="63" t="n">
        <x:v>3</x:v>
      </x:c>
      <x:c r="H11" s="63" t="n">
        <x:v>9</x:v>
      </x:c>
      <x:c r="I11" s="63" t="str">
        <x:f>IF(AND(C11=G11,D11=H11),"PASS","FAIL")</x:f>
        <x:v>PASS</x:v>
      </x:c>
      <x:c r="J11" s="63"/>
      <x:c r="K11" s="63"/>
      <x:c r="L11" s="63"/>
      <x:c r="M11" s="63"/>
      <x:c r="N11" s="63"/>
      <x:c r="O11" s="63"/>
      <x:c r="P11" s="63"/>
      <x:c r="Q11" s="63"/>
    </x:row>
    <x:row r="12">
      <x:c r="A12" s="63" t="str">
        <x:v>PR_62</x:v>
      </x:c>
      <x:c r="B12" s="63" t="str">
        <x:v>Nunavut</x:v>
      </x:c>
      <x:c r="C12" s="63" t="n">
        <x:f>COUNTIFS($B$22:$B$177,$A12,$I$22:$I$177,"&lt;&gt;")</x:f>
        <x:v>0</x:v>
      </x:c>
      <x:c r="D12" s="63" t="n">
        <x:f>COUNTIF($B$22:$B$177,$A12)-C12</x:f>
        <x:v>12</x:v>
      </x:c>
      <x:c r="E12" s="63" t="n">
        <x:f>C12+D12</x:f>
        <x:v>12</x:v>
      </x:c>
      <x:c r="F12" s="151" t="n">
        <x:f>IF(E12=0,0,C12/E12)</x:f>
        <x:v>0</x:v>
      </x:c>
      <x:c r="G12" s="63" t="n">
        <x:v>0</x:v>
      </x:c>
      <x:c r="H12" s="63" t="n">
        <x:v>12</x:v>
      </x:c>
      <x:c r="I12" s="63" t="str">
        <x:f>IF(AND(C12=G12,D12=H12),"PASS","FAIL")</x:f>
        <x:v>PASS</x:v>
      </x:c>
      <x:c r="J12" s="63"/>
      <x:c r="K12" s="63"/>
      <x:c r="L12" s="63"/>
      <x:c r="M12" s="63"/>
      <x:c r="N12" s="63"/>
      <x:c r="O12" s="63"/>
      <x:c r="P12" s="63"/>
      <x:c r="Q12" s="63"/>
    </x:row>
    <x:row r="13">
      <x:c r="A13" s="63" t="str">
        <x:v>PR_35</x:v>
      </x:c>
      <x:c r="B13" s="63" t="str">
        <x:v>Ontario</x:v>
      </x:c>
      <x:c r="C13" s="63" t="n">
        <x:f>COUNTIFS($B$22:$B$177,$A13,$I$22:$I$177,"&lt;&gt;")</x:f>
        <x:v>9</x:v>
      </x:c>
      <x:c r="D13" s="63" t="n">
        <x:f>COUNTIF($B$22:$B$177,$A13)-C13</x:f>
        <x:v>3</x:v>
      </x:c>
      <x:c r="E13" s="63" t="n">
        <x:f>C13+D13</x:f>
        <x:v>12</x:v>
      </x:c>
      <x:c r="F13" s="151" t="n">
        <x:f>IF(E13=0,0,C13/E13)</x:f>
        <x:v>0.75</x:v>
      </x:c>
      <x:c r="G13" s="63" t="n">
        <x:v>9</x:v>
      </x:c>
      <x:c r="H13" s="63" t="n">
        <x:v>3</x:v>
      </x:c>
      <x:c r="I13" s="63" t="str">
        <x:f>IF(AND(C13=G13,D13=H13),"PASS","FAIL")</x:f>
        <x:v>PASS</x:v>
      </x:c>
      <x:c r="J13" s="63"/>
      <x:c r="K13" s="63"/>
      <x:c r="L13" s="63"/>
      <x:c r="M13" s="63"/>
      <x:c r="N13" s="63"/>
      <x:c r="O13" s="63"/>
      <x:c r="P13" s="63"/>
      <x:c r="Q13" s="63"/>
    </x:row>
    <x:row r="14">
      <x:c r="A14" s="63" t="str">
        <x:v>PR_11</x:v>
      </x:c>
      <x:c r="B14" s="63" t="str">
        <x:v>Prince Edward Island</x:v>
      </x:c>
      <x:c r="C14" s="63" t="n">
        <x:f>COUNTIFS($B$22:$B$177,$A14,$I$22:$I$177,"&lt;&gt;")</x:f>
        <x:v>1</x:v>
      </x:c>
      <x:c r="D14" s="63" t="n">
        <x:f>COUNTIF($B$22:$B$177,$A14)-C14</x:f>
        <x:v>11</x:v>
      </x:c>
      <x:c r="E14" s="63" t="n">
        <x:f>C14+D14</x:f>
        <x:v>12</x:v>
      </x:c>
      <x:c r="F14" s="151" t="n">
        <x:f>IF(E14=0,0,C14/E14)</x:f>
        <x:v>0.08333333333333333</x:v>
      </x:c>
      <x:c r="G14" s="63" t="n">
        <x:v>1</x:v>
      </x:c>
      <x:c r="H14" s="63" t="n">
        <x:v>11</x:v>
      </x:c>
      <x:c r="I14" s="63" t="str">
        <x:f>IF(AND(C14=G14,D14=H14),"PASS","FAIL")</x:f>
        <x:v>PASS</x:v>
      </x:c>
      <x:c r="J14" s="63"/>
      <x:c r="K14" s="63"/>
      <x:c r="L14" s="63"/>
      <x:c r="M14" s="63"/>
      <x:c r="N14" s="63"/>
      <x:c r="O14" s="63"/>
      <x:c r="P14" s="63"/>
      <x:c r="Q14" s="63"/>
    </x:row>
    <x:row r="15">
      <x:c r="A15" s="63" t="str">
        <x:v>PR_24</x:v>
      </x:c>
      <x:c r="B15" s="63" t="str">
        <x:v>Quebec</x:v>
      </x:c>
      <x:c r="C15" s="63" t="n">
        <x:f>COUNTIFS($B$22:$B$177,$A15,$I$22:$I$177,"&lt;&gt;")</x:f>
        <x:v>10</x:v>
      </x:c>
      <x:c r="D15" s="63" t="n">
        <x:f>COUNTIF($B$22:$B$177,$A15)-C15</x:f>
        <x:v>2</x:v>
      </x:c>
      <x:c r="E15" s="63" t="n">
        <x:f>C15+D15</x:f>
        <x:v>12</x:v>
      </x:c>
      <x:c r="F15" s="151" t="n">
        <x:f>IF(E15=0,0,C15/E15)</x:f>
        <x:v>0.8333333333333334</x:v>
      </x:c>
      <x:c r="G15" s="63" t="n">
        <x:v>10</x:v>
      </x:c>
      <x:c r="H15" s="63" t="n">
        <x:v>2</x:v>
      </x:c>
      <x:c r="I15" s="63" t="str">
        <x:f>IF(AND(C15=G15,D15=H15),"PASS","FAIL")</x:f>
        <x:v>PASS</x:v>
      </x:c>
      <x:c r="J15" s="63"/>
      <x:c r="K15" s="63"/>
      <x:c r="L15" s="63"/>
      <x:c r="M15" s="63"/>
      <x:c r="N15" s="63"/>
      <x:c r="O15" s="63"/>
      <x:c r="P15" s="63"/>
      <x:c r="Q15" s="63"/>
    </x:row>
    <x:row r="16">
      <x:c r="A16" s="63" t="str">
        <x:v>PR_47</x:v>
      </x:c>
      <x:c r="B16" s="63" t="str">
        <x:v>Saskatchewan</x:v>
      </x:c>
      <x:c r="C16" s="63" t="n">
        <x:f>COUNTIFS($B$22:$B$177,$A16,$I$22:$I$177,"&lt;&gt;")</x:f>
        <x:v>5</x:v>
      </x:c>
      <x:c r="D16" s="63" t="n">
        <x:f>COUNTIF($B$22:$B$177,$A16)-C16</x:f>
        <x:v>7</x:v>
      </x:c>
      <x:c r="E16" s="63" t="n">
        <x:f>C16+D16</x:f>
        <x:v>12</x:v>
      </x:c>
      <x:c r="F16" s="151" t="n">
        <x:f>IF(E16=0,0,C16/E16)</x:f>
        <x:v>0.4166666666666667</x:v>
      </x:c>
      <x:c r="G16" s="63" t="n">
        <x:v>5</x:v>
      </x:c>
      <x:c r="H16" s="63" t="n">
        <x:v>7</x:v>
      </x:c>
      <x:c r="I16" s="63" t="str">
        <x:f>IF(AND(C16=G16,D16=H16),"PASS","FAIL")</x:f>
        <x:v>PASS</x:v>
      </x:c>
      <x:c r="J16" s="63"/>
      <x:c r="K16" s="63"/>
      <x:c r="L16" s="63"/>
      <x:c r="M16" s="63"/>
      <x:c r="N16" s="63"/>
      <x:c r="O16" s="63"/>
      <x:c r="P16" s="63"/>
      <x:c r="Q16" s="63"/>
    </x:row>
    <x:row r="17">
      <x:c r="A17" s="63" t="str">
        <x:v>PR_60</x:v>
      </x:c>
      <x:c r="B17" s="63" t="str">
        <x:v>Yukon</x:v>
      </x:c>
      <x:c r="C17" s="63" t="n">
        <x:f>COUNTIFS($B$22:$B$177,$A17,$I$22:$I$177,"&lt;&gt;")</x:f>
        <x:v>0</x:v>
      </x:c>
      <x:c r="D17" s="63" t="n">
        <x:f>COUNTIF($B$22:$B$177,$A17)-C17</x:f>
        <x:v>12</x:v>
      </x:c>
      <x:c r="E17" s="63" t="n">
        <x:f>C17+D17</x:f>
        <x:v>12</x:v>
      </x:c>
      <x:c r="F17" s="151" t="n">
        <x:f>IF(E17=0,0,C17/E17)</x:f>
        <x:v>0</x:v>
      </x:c>
      <x:c r="G17" s="63" t="n">
        <x:v>0</x:v>
      </x:c>
      <x:c r="H17" s="63" t="n">
        <x:v>12</x:v>
      </x:c>
      <x:c r="I17" s="63" t="str">
        <x:f>IF(AND(C17=G17,D17=H17),"PASS","FAIL")</x:f>
        <x:v>PASS</x:v>
      </x:c>
      <x:c r="J17" s="63"/>
      <x:c r="K17" s="63"/>
      <x:c r="L17" s="63"/>
      <x:c r="M17" s="63"/>
      <x:c r="N17" s="63"/>
      <x:c r="O17" s="63"/>
      <x:c r="P17" s="63"/>
      <x:c r="Q17" s="63"/>
    </x:row>
    <x:row r="18">
      <x:c r="A18" s="63"/>
      <x:c r="B18" s="63"/>
      <x:c r="C18" s="63"/>
      <x:c r="D18" s="63"/>
      <x:c r="E18" s="63"/>
      <x:c r="F18" s="63"/>
      <x:c r="G18" s="63"/>
      <x:c r="H18" s="63"/>
      <x:c r="I18" s="63"/>
      <x:c r="J18" s="63"/>
      <x:c r="K18" s="63"/>
      <x:c r="L18" s="63"/>
      <x:c r="M18" s="63"/>
      <x:c r="N18" s="63"/>
      <x:c r="O18" s="63"/>
      <x:c r="P18" s="63"/>
      <x:c r="Q18" s="63"/>
    </x:row>
    <x:row r="19">
      <x:c r="A19" s="63"/>
      <x:c r="B19" s="63"/>
      <x:c r="C19" s="63"/>
      <x:c r="D19" s="63"/>
      <x:c r="E19" s="63"/>
      <x:c r="F19" s="63"/>
      <x:c r="G19" s="63"/>
      <x:c r="H19" s="63"/>
      <x:c r="I19" s="63"/>
      <x:c r="J19" s="63"/>
      <x:c r="K19" s="63"/>
      <x:c r="L19" s="63"/>
      <x:c r="M19" s="63"/>
      <x:c r="N19" s="63"/>
      <x:c r="O19" s="63"/>
      <x:c r="P19" s="63"/>
      <x:c r="Q19" s="63"/>
    </x:row>
    <x:row r="20" ht="42" customHeight="1">
      <x:c r="A20" s="164" t="str">
        <x:v>Cross-province comparisons must account for survey quality, confidentiality, suppression and unavailable cells. Vacancies measure unmet demand rather than workforce stock; offered wages are posted offers rather than realized earnings. Missing cells are not zero and are not imputed.</x:v>
      </x:c>
      <x:c r="B20" s="165"/>
      <x:c r="C20" s="165"/>
      <x:c r="D20" s="165"/>
      <x:c r="E20" s="165"/>
      <x:c r="F20" s="165"/>
      <x:c r="G20" s="165"/>
      <x:c r="H20" s="165"/>
      <x:c r="I20" s="165"/>
      <x:c r="J20" s="165"/>
      <x:c r="K20" s="165"/>
      <x:c r="L20" s="165"/>
      <x:c r="M20" s="165"/>
      <x:c r="N20" s="165"/>
      <x:c r="O20" s="165"/>
      <x:c r="P20" s="165"/>
      <x:c r="Q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Value</x:v>
      </x:c>
      <x:c r="J21" s="84" t="str">
        <x:v>Unit</x:v>
      </x:c>
      <x:c r="K21" s="84" t="str">
        <x:v>Period end</x:v>
      </x:c>
      <x:c r="L21" s="84" t="str">
        <x:v>Evidence status</x:v>
      </x:c>
      <x:c r="M21" s="84" t="str">
        <x:v>Source ID</x:v>
      </x:c>
      <x:c r="N21" s="84" t="str">
        <x:v>Transformation ID</x:v>
      </x:c>
      <x:c r="O21" s="84" t="str">
        <x:v>Quality flags</x:v>
      </x:c>
      <x:c r="P21" s="84" t="str">
        <x:v>Source URL</x:v>
      </x:c>
      <x:c r="Q21" s="45" t="str">
        <x:v>Missingness check</x:v>
      </x:c>
    </x:row>
    <x:row r="22">
      <x:c r="A22" s="63" t="str">
        <x:v>OBS_JVWS_BF0F02E55E04B9C76C02</x:v>
      </x:c>
      <x:c r="B22" s="63" t="str">
        <x:v>PR_10</x:v>
      </x:c>
      <x:c r="C22" s="63" t="str">
        <x:v>Newfoundland and Labrador</x:v>
      </x:c>
      <x:c r="D22" s="63" t="str">
        <x:v>2021A000210</x:v>
      </x:c>
      <x:c r="E22" s="63" t="str">
        <x:v>73100</x:v>
      </x:c>
      <x:c r="F22" s="63" t="str">
        <x:v>Concrete finishers</x:v>
      </x:c>
      <x:c r="G22" s="63" t="str">
        <x:v>trade_concrete</x:v>
      </x:c>
      <x:c r="H22" s="63" t="str">
        <x:v>Average offered hourly wage</x:v>
      </x:c>
      <x:c r="I22" s="147"/>
      <x:c r="J22" s="63" t="str">
        <x:v>Dollars</x:v>
      </x:c>
      <x:c r="K22" s="155" t="n">
        <x:v>46112</x:v>
      </x:c>
      <x:c r="L22" s="63" t="str">
        <x:v>observed</x:v>
      </x:c>
      <x:c r="M22" s="63" t="str">
        <x:v>STATCAN_JVWS_14100444</x:v>
      </x:c>
      <x:c r="N22" s="63" t="str">
        <x:v>TR_STATCAN_JVWS_CA_PROVINCES_NOC_1_0_0</x:v>
      </x:c>
      <x:c r="O22" s="63" t="str">
        <x:v>status:..|value_missing_or_suppressed</x:v>
      </x:c>
      <x:c r="P22" s="63" t="str">
        <x:v>https://www150.statcan.gc.ca/t1/tbl1/en/tv.action?pid=1410044401</x:v>
      </x:c>
      <x:c r="Q22" s="63" t="str">
        <x:v>PASS</x:v>
      </x:c>
    </x:row>
    <x:row r="23">
      <x:c r="A23" s="63" t="str">
        <x:v>OBS_JVWS_55DA844E6547B698CA21</x:v>
      </x:c>
      <x:c r="B23" s="63" t="str">
        <x:v>PR_10</x:v>
      </x:c>
      <x:c r="C23" s="63" t="str">
        <x:v>Newfoundland and Labrador</x:v>
      </x:c>
      <x:c r="D23" s="63" t="str">
        <x:v>2021A000210</x:v>
      </x:c>
      <x:c r="E23" s="63" t="str">
        <x:v>73100</x:v>
      </x:c>
      <x:c r="F23" s="63" t="str">
        <x:v>Concrete finishers</x:v>
      </x:c>
      <x:c r="G23" s="63" t="str">
        <x:v>trade_concrete</x:v>
      </x:c>
      <x:c r="H23" s="63" t="str">
        <x:v>Job vacancies</x:v>
      </x:c>
      <x:c r="I23" s="147"/>
      <x:c r="J23" s="63" t="str">
        <x:v>Number</x:v>
      </x:c>
      <x:c r="K23" s="155" t="n">
        <x:v>46112</x:v>
      </x:c>
      <x:c r="L23" s="63" t="str">
        <x:v>observed</x:v>
      </x:c>
      <x:c r="M23" s="63" t="str">
        <x:v>STATCAN_JVWS_14100444</x:v>
      </x:c>
      <x:c r="N23" s="63" t="str">
        <x:v>TR_STATCAN_JVWS_CA_PROVINCES_NOC_1_0_0</x:v>
      </x:c>
      <x:c r="O23" s="63" t="str">
        <x:v>status:..|value_missing_or_suppressed</x:v>
      </x:c>
      <x:c r="P23" s="63" t="str">
        <x:v>https://www150.statcan.gc.ca/t1/tbl1/en/tv.action?pid=1410044401</x:v>
      </x:c>
      <x:c r="Q23" s="63" t="str">
        <x:v>PASS</x:v>
      </x:c>
    </x:row>
    <x:row r="24">
      <x:c r="A24" s="63" t="str">
        <x:v>OBS_JVWS_93CFB57421C87C6FC1FA</x:v>
      </x:c>
      <x:c r="B24" s="63" t="str">
        <x:v>PR_10</x:v>
      </x:c>
      <x:c r="C24" s="63" t="str">
        <x:v>Newfoundland and Labrador</x:v>
      </x:c>
      <x:c r="D24" s="63" t="str">
        <x:v>2021A000210</x:v>
      </x:c>
      <x:c r="E24" s="63" t="str">
        <x:v>72200</x:v>
      </x:c>
      <x:c r="F24" s="63" t="str">
        <x:v>Electricians (except industrial and power system)</x:v>
      </x:c>
      <x:c r="G24" s="63" t="str">
        <x:v>trade_electricians</x:v>
      </x:c>
      <x:c r="H24" s="63" t="str">
        <x:v>Average offered hourly wage</x:v>
      </x:c>
      <x:c r="I24" s="147"/>
      <x:c r="J24" s="63" t="str">
        <x:v>Dollars</x:v>
      </x:c>
      <x:c r="K24" s="155" t="n">
        <x:v>46112</x:v>
      </x:c>
      <x:c r="L24" s="63" t="str">
        <x:v>observed</x:v>
      </x:c>
      <x:c r="M24" s="63" t="str">
        <x:v>STATCAN_JVWS_14100444</x:v>
      </x:c>
      <x:c r="N24" s="63" t="str">
        <x:v>TR_STATCAN_JVWS_CA_PROVINCES_NOC_1_0_0</x:v>
      </x:c>
      <x:c r="O24" s="63" t="str">
        <x:v>status:..|value_missing_or_suppressed</x:v>
      </x:c>
      <x:c r="P24" s="63" t="str">
        <x:v>https://www150.statcan.gc.ca/t1/tbl1/en/tv.action?pid=1410044401</x:v>
      </x:c>
      <x:c r="Q24" s="63" t="str">
        <x:v>PASS</x:v>
      </x:c>
    </x:row>
    <x:row r="25">
      <x:c r="A25" s="63" t="str">
        <x:v>OBS_JVWS_DE39AFBB17193F7907B4</x:v>
      </x:c>
      <x:c r="B25" s="63" t="str">
        <x:v>PR_10</x:v>
      </x:c>
      <x:c r="C25" s="63" t="str">
        <x:v>Newfoundland and Labrador</x:v>
      </x:c>
      <x:c r="D25" s="63" t="str">
        <x:v>2021A000210</x:v>
      </x:c>
      <x:c r="E25" s="63" t="str">
        <x:v>72200</x:v>
      </x:c>
      <x:c r="F25" s="63" t="str">
        <x:v>Electricians (except industrial and power system)</x:v>
      </x:c>
      <x:c r="G25" s="63" t="str">
        <x:v>trade_electricians</x:v>
      </x:c>
      <x:c r="H25" s="63" t="str">
        <x:v>Job vacancies</x:v>
      </x:c>
      <x:c r="I25" s="147"/>
      <x:c r="J25" s="63" t="str">
        <x:v>Number</x:v>
      </x:c>
      <x:c r="K25" s="155" t="n">
        <x:v>46112</x:v>
      </x:c>
      <x:c r="L25" s="63" t="str">
        <x:v>observed</x:v>
      </x:c>
      <x:c r="M25" s="63" t="str">
        <x:v>STATCAN_JVWS_14100444</x:v>
      </x:c>
      <x:c r="N25" s="63" t="str">
        <x:v>TR_STATCAN_JVWS_CA_PROVINCES_NOC_1_0_0</x:v>
      </x:c>
      <x:c r="O25" s="63" t="str">
        <x:v>status:..|value_missing_or_suppressed</x:v>
      </x:c>
      <x:c r="P25" s="63" t="str">
        <x:v>https://www150.statcan.gc.ca/t1/tbl1/en/tv.action?pid=1410044401</x:v>
      </x:c>
      <x:c r="Q25" s="63" t="str">
        <x:v>PASS</x:v>
      </x:c>
    </x:row>
    <x:row r="26">
      <x:c r="A26" s="63" t="str">
        <x:v>OBS_JVWS_4988449B1FB19866AD0E</x:v>
      </x:c>
      <x:c r="B26" s="63" t="str">
        <x:v>PR_10</x:v>
      </x:c>
      <x:c r="C26" s="63" t="str">
        <x:v>Newfoundland and Labrador</x:v>
      </x:c>
      <x:c r="D26" s="63" t="str">
        <x:v>2021A000210</x:v>
      </x:c>
      <x:c r="E26" s="63" t="str">
        <x:v>72201</x:v>
      </x:c>
      <x:c r="F26" s="63" t="str">
        <x:v>Industrial electricians</x:v>
      </x:c>
      <x:c r="G26" s="63" t="str">
        <x:v>trade_electricians</x:v>
      </x:c>
      <x:c r="H26" s="63" t="str">
        <x:v>Average offered hourly wage</x:v>
      </x:c>
      <x:c r="I26" s="147" t="n">
        <x:v>44.15</x:v>
      </x:c>
      <x:c r="J26" s="63" t="str">
        <x:v>Dollars</x:v>
      </x:c>
      <x:c r="K26" s="155" t="n">
        <x:v>46112</x:v>
      </x:c>
      <x:c r="L26" s="63" t="str">
        <x:v>observed</x:v>
      </x:c>
      <x:c r="M26" s="63" t="str">
        <x:v>STATCAN_JVWS_14100444</x:v>
      </x:c>
      <x:c r="N26" s="63" t="str">
        <x:v>TR_STATCAN_JVWS_CA_PROVINCES_NOC_1_0_0</x:v>
      </x:c>
      <x:c r="O26" s="63" t="str">
        <x:v>status:D</x:v>
      </x:c>
      <x:c r="P26" s="63" t="str">
        <x:v>https://www150.statcan.gc.ca/t1/tbl1/en/tv.action?pid=1410044401</x:v>
      </x:c>
      <x:c r="Q26" s="63" t="str">
        <x:v>PASS</x:v>
      </x:c>
    </x:row>
    <x:row r="27">
      <x:c r="A27" s="63" t="str">
        <x:v>OBS_JVWS_53CD19E4A1CA441C7A95</x:v>
      </x:c>
      <x:c r="B27" s="63" t="str">
        <x:v>PR_10</x:v>
      </x:c>
      <x:c r="C27" s="63" t="str">
        <x:v>Newfoundland and Labrador</x:v>
      </x:c>
      <x:c r="D27" s="63" t="str">
        <x:v>2021A000210</x:v>
      </x:c>
      <x:c r="E27" s="63" t="str">
        <x:v>72201</x:v>
      </x:c>
      <x:c r="F27" s="63" t="str">
        <x:v>Industrial electricians</x:v>
      </x:c>
      <x:c r="G27" s="63" t="str">
        <x:v>trade_electricians</x:v>
      </x:c>
      <x:c r="H27" s="63" t="str">
        <x:v>Job vacancies</x:v>
      </x:c>
      <x:c r="I27" s="147" t="n">
        <x:v>15</x:v>
      </x:c>
      <x:c r="J27" s="63" t="str">
        <x:v>Number</x:v>
      </x:c>
      <x:c r="K27" s="155" t="n">
        <x:v>46112</x:v>
      </x:c>
      <x:c r="L27" s="63" t="str">
        <x:v>observed</x:v>
      </x:c>
      <x:c r="M27" s="63" t="str">
        <x:v>STATCAN_JVWS_14100444</x:v>
      </x:c>
      <x:c r="N27" s="63" t="str">
        <x:v>TR_STATCAN_JVWS_CA_PROVINCES_NOC_1_0_0</x:v>
      </x:c>
      <x:c r="O27" s="63" t="str">
        <x:v>status:E</x:v>
      </x:c>
      <x:c r="P27" s="63" t="str">
        <x:v>https://www150.statcan.gc.ca/t1/tbl1/en/tv.action?pid=1410044401</x:v>
      </x:c>
      <x:c r="Q27" s="63" t="str">
        <x:v>PASS</x:v>
      </x:c>
    </x:row>
    <x:row r="28">
      <x:c r="A28" s="63" t="str">
        <x:v>OBS_JVWS_ADAFB4229C0E3A9EEBF1</x:v>
      </x:c>
      <x:c r="B28" s="63" t="str">
        <x:v>PR_10</x:v>
      </x:c>
      <x:c r="C28" s="63" t="str">
        <x:v>Newfoundland and Labrador</x:v>
      </x:c>
      <x:c r="D28" s="63" t="str">
        <x:v>2021A000210</x:v>
      </x:c>
      <x:c r="E28" s="63" t="str">
        <x:v>72402</x:v>
      </x:c>
      <x:c r="F28" s="63" t="str">
        <x:v>Heating, refrigeration and air conditioning mechanics</x:v>
      </x:c>
      <x:c r="G28" s="63" t="str">
        <x:v>trade_hvac</x:v>
      </x:c>
      <x:c r="H28" s="63" t="str">
        <x:v>Average offered hourly wage</x:v>
      </x:c>
      <x:c r="I28" s="147"/>
      <x:c r="J28" s="63" t="str">
        <x:v>Dollars</x:v>
      </x:c>
      <x:c r="K28" s="155" t="n">
        <x:v>46112</x:v>
      </x:c>
      <x:c r="L28" s="63" t="str">
        <x:v>observed</x:v>
      </x:c>
      <x:c r="M28" s="63" t="str">
        <x:v>STATCAN_JVWS_14100444</x:v>
      </x:c>
      <x:c r="N28" s="63" t="str">
        <x:v>TR_STATCAN_JVWS_CA_PROVINCES_NOC_1_0_0</x:v>
      </x:c>
      <x:c r="O28" s="63" t="str">
        <x:v>status:F|value_missing_or_suppressed</x:v>
      </x:c>
      <x:c r="P28" s="63" t="str">
        <x:v>https://www150.statcan.gc.ca/t1/tbl1/en/tv.action?pid=1410044401</x:v>
      </x:c>
      <x:c r="Q28" s="63" t="str">
        <x:v>PASS</x:v>
      </x:c>
    </x:row>
    <x:row r="29">
      <x:c r="A29" t="str">
        <x:v>OBS_JVWS_83142F4F9BB93D39373D</x:v>
      </x:c>
      <x:c r="B29" t="str">
        <x:v>PR_10</x:v>
      </x:c>
      <x:c r="C29" t="str">
        <x:v>Newfoundland and Labrador</x:v>
      </x:c>
      <x:c r="D29" t="str">
        <x:v>2021A000210</x:v>
      </x:c>
      <x:c r="E29" t="str">
        <x:v>72402</x:v>
      </x:c>
      <x:c r="F29" t="str">
        <x:v>Heating, refrigeration and air conditioning mechanics</x:v>
      </x:c>
      <x:c r="G29" t="str">
        <x:v>trade_hvac</x:v>
      </x:c>
      <x:c r="H29" t="str">
        <x:v>Job vacancies</x:v>
      </x:c>
      <x:c r="I29" s="145"/>
      <x:c r="J29" t="str">
        <x:v>Number</x:v>
      </x:c>
      <x:c r="K29" s="153" t="n">
        <x:v>46112</x:v>
      </x:c>
      <x:c r="L29" t="str">
        <x:v>observed</x:v>
      </x:c>
      <x:c r="M29" t="str">
        <x:v>STATCAN_JVWS_14100444</x:v>
      </x:c>
      <x:c r="N29" t="str">
        <x:v>TR_STATCAN_JVWS_CA_PROVINCES_NOC_1_0_0</x:v>
      </x:c>
      <x:c r="O29" t="str">
        <x:v>status:F|value_missing_or_suppressed</x:v>
      </x:c>
      <x:c r="P29" t="str">
        <x:v>https://www150.statcan.gc.ca/t1/tbl1/en/tv.action?pid=1410044401</x:v>
      </x:c>
      <x:c r="Q29" t="str">
        <x:v>PASS</x:v>
      </x:c>
    </x:row>
    <x:row r="30">
      <x:c r="A30" t="str">
        <x:v>OBS_JVWS_9AFE5C9F2C246C6B7B51</x:v>
      </x:c>
      <x:c r="B30" t="str">
        <x:v>PR_10</x:v>
      </x:c>
      <x:c r="C30" t="str">
        <x:v>Newfoundland and Labrador</x:v>
      </x:c>
      <x:c r="D30" t="str">
        <x:v>2021A000210</x:v>
      </x:c>
      <x:c r="E30" t="str">
        <x:v>72202</x:v>
      </x:c>
      <x:c r="F30" t="str">
        <x:v>Power system electricians</x:v>
      </x:c>
      <x:c r="G30" t="str">
        <x:v>trade_power_line</x:v>
      </x:c>
      <x:c r="H30" t="str">
        <x:v>Average offered hourly wage</x:v>
      </x:c>
      <x:c r="I30" s="145"/>
      <x:c r="J30" t="str">
        <x:v>Dollars</x:v>
      </x:c>
      <x:c r="K30" s="153" t="n">
        <x:v>46112</x:v>
      </x:c>
      <x:c r="L30" t="str">
        <x:v>observed</x:v>
      </x:c>
      <x:c r="M30" t="str">
        <x:v>STATCAN_JVWS_14100444</x:v>
      </x:c>
      <x:c r="N30" t="str">
        <x:v>TR_STATCAN_JVWS_CA_PROVINCES_NOC_1_0_0</x:v>
      </x:c>
      <x:c r="O30" t="str">
        <x:v>status:..|value_missing_or_suppressed</x:v>
      </x:c>
      <x:c r="P30" t="str">
        <x:v>https://www150.statcan.gc.ca/t1/tbl1/en/tv.action?pid=1410044401</x:v>
      </x:c>
      <x:c r="Q30" t="str">
        <x:v>PASS</x:v>
      </x:c>
    </x:row>
    <x:row r="31">
      <x:c r="A31" t="str">
        <x:v>OBS_JVWS_EE52102B2E66AD506D33</x:v>
      </x:c>
      <x:c r="B31" t="str">
        <x:v>PR_10</x:v>
      </x:c>
      <x:c r="C31" t="str">
        <x:v>Newfoundland and Labrador</x:v>
      </x:c>
      <x:c r="D31" t="str">
        <x:v>2021A000210</x:v>
      </x:c>
      <x:c r="E31" t="str">
        <x:v>72202</x:v>
      </x:c>
      <x:c r="F31" t="str">
        <x:v>Power system electricians</x:v>
      </x:c>
      <x:c r="G31" t="str">
        <x:v>trade_power_line</x:v>
      </x:c>
      <x:c r="H31" t="str">
        <x:v>Job vacancies</x:v>
      </x:c>
      <x:c r="I31" s="145"/>
      <x:c r="J31" t="str">
        <x:v>Number</x:v>
      </x:c>
      <x:c r="K31" s="153" t="n">
        <x:v>46112</x:v>
      </x:c>
      <x:c r="L31" t="str">
        <x:v>observed</x:v>
      </x:c>
      <x:c r="M31" t="str">
        <x:v>STATCAN_JVWS_14100444</x:v>
      </x:c>
      <x:c r="N31" t="str">
        <x:v>TR_STATCAN_JVWS_CA_PROVINCES_NOC_1_0_0</x:v>
      </x:c>
      <x:c r="O31" t="str">
        <x:v>status:..|value_missing_or_suppressed</x:v>
      </x:c>
      <x:c r="P31" t="str">
        <x:v>https://www150.statcan.gc.ca/t1/tbl1/en/tv.action?pid=1410044401</x:v>
      </x:c>
      <x:c r="Q31" t="str">
        <x:v>PASS</x:v>
      </x:c>
    </x:row>
    <x:row r="32">
      <x:c r="A32" t="str">
        <x:v>OBS_JVWS_0A854A8528491675E180</x:v>
      </x:c>
      <x:c r="B32" t="str">
        <x:v>PR_10</x:v>
      </x:c>
      <x:c r="C32" t="str">
        <x:v>Newfoundland and Labrador</x:v>
      </x:c>
      <x:c r="D32" t="str">
        <x:v>2021A000210</x:v>
      </x:c>
      <x:c r="E32" t="str">
        <x:v>72203</x:v>
      </x:c>
      <x:c r="F32" t="str">
        <x:v>Electrical power line and cable workers</x:v>
      </x:c>
      <x:c r="G32" t="str">
        <x:v>trade_power_line</x:v>
      </x:c>
      <x:c r="H32" t="str">
        <x:v>Average offered hourly wage</x:v>
      </x:c>
      <x:c r="I32" s="145"/>
      <x:c r="J32" t="str">
        <x:v>Dollars</x:v>
      </x:c>
      <x:c r="K32" s="153" t="n">
        <x:v>46112</x:v>
      </x:c>
      <x:c r="L32" t="str">
        <x:v>observed</x:v>
      </x:c>
      <x:c r="M32" t="str">
        <x:v>STATCAN_JVWS_14100444</x:v>
      </x:c>
      <x:c r="N32" t="str">
        <x:v>TR_STATCAN_JVWS_CA_PROVINCES_NOC_1_0_0</x:v>
      </x:c>
      <x:c r="O32" t="str">
        <x:v>status:F|value_missing_or_suppressed</x:v>
      </x:c>
      <x:c r="P32" t="str">
        <x:v>https://www150.statcan.gc.ca/t1/tbl1/en/tv.action?pid=1410044401</x:v>
      </x:c>
      <x:c r="Q32" t="str">
        <x:v>PASS</x:v>
      </x:c>
    </x:row>
    <x:row r="33">
      <x:c r="A33" t="str">
        <x:v>OBS_JVWS_98C9631D1E5980DA5408</x:v>
      </x:c>
      <x:c r="B33" t="str">
        <x:v>PR_10</x:v>
      </x:c>
      <x:c r="C33" t="str">
        <x:v>Newfoundland and Labrador</x:v>
      </x:c>
      <x:c r="D33" t="str">
        <x:v>2021A000210</x:v>
      </x:c>
      <x:c r="E33" t="str">
        <x:v>72203</x:v>
      </x:c>
      <x:c r="F33" t="str">
        <x:v>Electrical power line and cable workers</x:v>
      </x:c>
      <x:c r="G33" t="str">
        <x:v>trade_power_line</x:v>
      </x:c>
      <x:c r="H33" t="str">
        <x:v>Job vacancies</x:v>
      </x:c>
      <x:c r="I33" s="145"/>
      <x:c r="J33" t="str">
        <x:v>Number</x:v>
      </x:c>
      <x:c r="K33" s="153" t="n">
        <x:v>46112</x:v>
      </x:c>
      <x:c r="L33" t="str">
        <x:v>observed</x:v>
      </x:c>
      <x:c r="M33" t="str">
        <x:v>STATCAN_JVWS_14100444</x:v>
      </x:c>
      <x:c r="N33" t="str">
        <x:v>TR_STATCAN_JVWS_CA_PROVINCES_NOC_1_0_0</x:v>
      </x:c>
      <x:c r="O33" t="str">
        <x:v>status:F|value_missing_or_suppressed</x:v>
      </x:c>
      <x:c r="P33" t="str">
        <x:v>https://www150.statcan.gc.ca/t1/tbl1/en/tv.action?pid=1410044401</x:v>
      </x:c>
      <x:c r="Q33" t="str">
        <x:v>PASS</x:v>
      </x:c>
    </x:row>
    <x:row r="34">
      <x:c r="A34" t="str">
        <x:v>OBS_JVWS_AFBE07B8B5666AFFBDD5</x:v>
      </x:c>
      <x:c r="B34" t="str">
        <x:v>PR_11</x:v>
      </x:c>
      <x:c r="C34" t="str">
        <x:v>Prince Edward Island</x:v>
      </x:c>
      <x:c r="D34" t="str">
        <x:v>2021A000211</x:v>
      </x:c>
      <x:c r="E34" t="str">
        <x:v>73100</x:v>
      </x:c>
      <x:c r="F34" t="str">
        <x:v>Concrete finishers</x:v>
      </x:c>
      <x:c r="G34" t="str">
        <x:v>trade_concrete</x:v>
      </x:c>
      <x:c r="H34" t="str">
        <x:v>Average offered hourly wage</x:v>
      </x:c>
      <x:c r="I34" s="145"/>
      <x:c r="J34" t="str">
        <x:v>Dollars</x:v>
      </x:c>
      <x:c r="K34" s="153" t="n">
        <x:v>46112</x:v>
      </x:c>
      <x:c r="L34" t="str">
        <x:v>observed</x:v>
      </x:c>
      <x:c r="M34" t="str">
        <x:v>STATCAN_JVWS_14100444</x:v>
      </x:c>
      <x:c r="N34" t="str">
        <x:v>TR_STATCAN_JVWS_CA_PROVINCES_NOC_1_0_0</x:v>
      </x:c>
      <x:c r="O34" t="str">
        <x:v>status:..|value_missing_or_suppressed</x:v>
      </x:c>
      <x:c r="P34" t="str">
        <x:v>https://www150.statcan.gc.ca/t1/tbl1/en/tv.action?pid=1410044401</x:v>
      </x:c>
      <x:c r="Q34" t="str">
        <x:v>PASS</x:v>
      </x:c>
    </x:row>
    <x:row r="35">
      <x:c r="A35" t="str">
        <x:v>OBS_JVWS_1DCD508A50667A10623E</x:v>
      </x:c>
      <x:c r="B35" t="str">
        <x:v>PR_11</x:v>
      </x:c>
      <x:c r="C35" t="str">
        <x:v>Prince Edward Island</x:v>
      </x:c>
      <x:c r="D35" t="str">
        <x:v>2021A000211</x:v>
      </x:c>
      <x:c r="E35" t="str">
        <x:v>73100</x:v>
      </x:c>
      <x:c r="F35" t="str">
        <x:v>Concrete finishers</x:v>
      </x:c>
      <x:c r="G35" t="str">
        <x:v>trade_concrete</x:v>
      </x:c>
      <x:c r="H35" t="str">
        <x:v>Job vacancies</x:v>
      </x:c>
      <x:c r="I35" s="145"/>
      <x:c r="J35" t="str">
        <x:v>Number</x:v>
      </x:c>
      <x:c r="K35" s="153" t="n">
        <x:v>46112</x:v>
      </x:c>
      <x:c r="L35" t="str">
        <x:v>observed</x:v>
      </x:c>
      <x:c r="M35" t="str">
        <x:v>STATCAN_JVWS_14100444</x:v>
      </x:c>
      <x:c r="N35" t="str">
        <x:v>TR_STATCAN_JVWS_CA_PROVINCES_NOC_1_0_0</x:v>
      </x:c>
      <x:c r="O35" t="str">
        <x:v>status:..|value_missing_or_suppressed</x:v>
      </x:c>
      <x:c r="P35" t="str">
        <x:v>https://www150.statcan.gc.ca/t1/tbl1/en/tv.action?pid=1410044401</x:v>
      </x:c>
      <x:c r="Q35" t="str">
        <x:v>PASS</x:v>
      </x:c>
    </x:row>
    <x:row r="36">
      <x:c r="A36" t="str">
        <x:v>OBS_JVWS_4FDB4863A15C3A60C40C</x:v>
      </x:c>
      <x:c r="B36" t="str">
        <x:v>PR_11</x:v>
      </x:c>
      <x:c r="C36" t="str">
        <x:v>Prince Edward Island</x:v>
      </x:c>
      <x:c r="D36" t="str">
        <x:v>2021A000211</x:v>
      </x:c>
      <x:c r="E36" t="str">
        <x:v>72200</x:v>
      </x:c>
      <x:c r="F36" t="str">
        <x:v>Electricians (except industrial and power system)</x:v>
      </x:c>
      <x:c r="G36" t="str">
        <x:v>trade_electricians</x:v>
      </x:c>
      <x:c r="H36" t="str">
        <x:v>Average offered hourly wage</x:v>
      </x:c>
      <x:c r="I36" s="145" t="n">
        <x:v>33.4</x:v>
      </x:c>
      <x:c r="J36" t="str">
        <x:v>Dollars</x:v>
      </x:c>
      <x:c r="K36" s="153" t="n">
        <x:v>46112</x:v>
      </x:c>
      <x:c r="L36" t="str">
        <x:v>observed</x:v>
      </x:c>
      <x:c r="M36" t="str">
        <x:v>STATCAN_JVWS_14100444</x:v>
      </x:c>
      <x:c r="N36" t="str">
        <x:v>TR_STATCAN_JVWS_CA_PROVINCES_NOC_1_0_0</x:v>
      </x:c>
      <x:c r="O36" t="str">
        <x:v>status:E</x:v>
      </x:c>
      <x:c r="P36" t="str">
        <x:v>https://www150.statcan.gc.ca/t1/tbl1/en/tv.action?pid=1410044401</x:v>
      </x:c>
      <x:c r="Q36" t="str">
        <x:v>PASS</x:v>
      </x:c>
    </x:row>
    <x:row r="37">
      <x:c r="A37" t="str">
        <x:v>OBS_JVWS_F469458DE27CA4C73CBF</x:v>
      </x:c>
      <x:c r="B37" t="str">
        <x:v>PR_11</x:v>
      </x:c>
      <x:c r="C37" t="str">
        <x:v>Prince Edward Island</x:v>
      </x:c>
      <x:c r="D37" t="str">
        <x:v>2021A000211</x:v>
      </x:c>
      <x:c r="E37" t="str">
        <x:v>72200</x:v>
      </x:c>
      <x:c r="F37" t="str">
        <x:v>Electricians (except industrial and power system)</x:v>
      </x:c>
      <x:c r="G37" t="str">
        <x:v>trade_electricians</x:v>
      </x:c>
      <x:c r="H37" t="str">
        <x:v>Job vacancies</x:v>
      </x:c>
      <x:c r="I37" s="145"/>
      <x:c r="J37" t="str">
        <x:v>Number</x:v>
      </x:c>
      <x:c r="K37" s="153" t="n">
        <x:v>46112</x:v>
      </x:c>
      <x:c r="L37" t="str">
        <x:v>observed</x:v>
      </x:c>
      <x:c r="M37" t="str">
        <x:v>STATCAN_JVWS_14100444</x:v>
      </x:c>
      <x:c r="N37" t="str">
        <x:v>TR_STATCAN_JVWS_CA_PROVINCES_NOC_1_0_0</x:v>
      </x:c>
      <x:c r="O37" t="str">
        <x:v>status:F|value_missing_or_suppressed</x:v>
      </x:c>
      <x:c r="P37" t="str">
        <x:v>https://www150.statcan.gc.ca/t1/tbl1/en/tv.action?pid=1410044401</x:v>
      </x:c>
      <x:c r="Q37" t="str">
        <x:v>PASS</x:v>
      </x:c>
    </x:row>
    <x:row r="38">
      <x:c r="A38" t="str">
        <x:v>OBS_JVWS_4C1B8FF15B81587A9854</x:v>
      </x:c>
      <x:c r="B38" t="str">
        <x:v>PR_11</x:v>
      </x:c>
      <x:c r="C38" t="str">
        <x:v>Prince Edward Island</x:v>
      </x:c>
      <x:c r="D38" t="str">
        <x:v>2021A000211</x:v>
      </x:c>
      <x:c r="E38" t="str">
        <x:v>72201</x:v>
      </x:c>
      <x:c r="F38" t="str">
        <x:v>Industrial electricians</x:v>
      </x:c>
      <x:c r="G38" t="str">
        <x:v>trade_electricians</x:v>
      </x:c>
      <x:c r="H38" t="str">
        <x:v>Average offered hourly wage</x:v>
      </x:c>
      <x:c r="I38" s="145"/>
      <x:c r="J38" t="str">
        <x:v>Dollars</x:v>
      </x:c>
      <x:c r="K38" s="153" t="n">
        <x:v>46112</x:v>
      </x:c>
      <x:c r="L38" t="str">
        <x:v>observed</x:v>
      </x:c>
      <x:c r="M38" t="str">
        <x:v>STATCAN_JVWS_14100444</x:v>
      </x:c>
      <x:c r="N38" t="str">
        <x:v>TR_STATCAN_JVWS_CA_PROVINCES_NOC_1_0_0</x:v>
      </x:c>
      <x:c r="O38" t="str">
        <x:v>status:..|value_missing_or_suppressed</x:v>
      </x:c>
      <x:c r="P38" t="str">
        <x:v>https://www150.statcan.gc.ca/t1/tbl1/en/tv.action?pid=1410044401</x:v>
      </x:c>
      <x:c r="Q38" t="str">
        <x:v>PASS</x:v>
      </x:c>
    </x:row>
    <x:row r="39">
      <x:c r="A39" t="str">
        <x:v>OBS_JVWS_2C40175D71D3E2DF5916</x:v>
      </x:c>
      <x:c r="B39" t="str">
        <x:v>PR_11</x:v>
      </x:c>
      <x:c r="C39" t="str">
        <x:v>Prince Edward Island</x:v>
      </x:c>
      <x:c r="D39" t="str">
        <x:v>2021A000211</x:v>
      </x:c>
      <x:c r="E39" t="str">
        <x:v>72201</x:v>
      </x:c>
      <x:c r="F39" t="str">
        <x:v>Industrial electricians</x:v>
      </x:c>
      <x:c r="G39" t="str">
        <x:v>trade_electricians</x:v>
      </x:c>
      <x:c r="H39" t="str">
        <x:v>Job vacancies</x:v>
      </x:c>
      <x:c r="I39" s="145"/>
      <x:c r="J39" t="str">
        <x:v>Number</x:v>
      </x:c>
      <x:c r="K39" s="153" t="n">
        <x:v>46112</x:v>
      </x:c>
      <x:c r="L39" t="str">
        <x:v>observed</x:v>
      </x:c>
      <x:c r="M39" t="str">
        <x:v>STATCAN_JVWS_14100444</x:v>
      </x:c>
      <x:c r="N39" t="str">
        <x:v>TR_STATCAN_JVWS_CA_PROVINCES_NOC_1_0_0</x:v>
      </x:c>
      <x:c r="O39" t="str">
        <x:v>status:..|value_missing_or_suppressed</x:v>
      </x:c>
      <x:c r="P39" t="str">
        <x:v>https://www150.statcan.gc.ca/t1/tbl1/en/tv.action?pid=1410044401</x:v>
      </x:c>
      <x:c r="Q39" t="str">
        <x:v>PASS</x:v>
      </x:c>
    </x:row>
    <x:row r="40">
      <x:c r="A40" t="str">
        <x:v>OBS_JVWS_A565742D4AED24C4976D</x:v>
      </x:c>
      <x:c r="B40" t="str">
        <x:v>PR_11</x:v>
      </x:c>
      <x:c r="C40" t="str">
        <x:v>Prince Edward Island</x:v>
      </x:c>
      <x:c r="D40" t="str">
        <x:v>2021A000211</x:v>
      </x:c>
      <x:c r="E40" t="str">
        <x:v>72402</x:v>
      </x:c>
      <x:c r="F40" t="str">
        <x:v>Heating, refrigeration and air conditioning mechanics</x:v>
      </x:c>
      <x:c r="G40" t="str">
        <x:v>trade_hvac</x:v>
      </x:c>
      <x:c r="H40" t="str">
        <x:v>Average offered hourly wage</x:v>
      </x:c>
      <x:c r="I40" s="145"/>
      <x:c r="J40" t="str">
        <x:v>Dollars</x:v>
      </x:c>
      <x:c r="K40" s="153" t="n">
        <x:v>46112</x:v>
      </x:c>
      <x:c r="L40" t="str">
        <x:v>observed</x:v>
      </x:c>
      <x:c r="M40" t="str">
        <x:v>STATCAN_JVWS_14100444</x:v>
      </x:c>
      <x:c r="N40" t="str">
        <x:v>TR_STATCAN_JVWS_CA_PROVINCES_NOC_1_0_0</x:v>
      </x:c>
      <x:c r="O40" t="str">
        <x:v>status:F|value_missing_or_suppressed</x:v>
      </x:c>
      <x:c r="P40" t="str">
        <x:v>https://www150.statcan.gc.ca/t1/tbl1/en/tv.action?pid=1410044401</x:v>
      </x:c>
      <x:c r="Q40" t="str">
        <x:v>PASS</x:v>
      </x:c>
    </x:row>
    <x:row r="41">
      <x:c r="A41" t="str">
        <x:v>OBS_JVWS_E65E37731FB5A11CFCAE</x:v>
      </x:c>
      <x:c r="B41" t="str">
        <x:v>PR_11</x:v>
      </x:c>
      <x:c r="C41" t="str">
        <x:v>Prince Edward Island</x:v>
      </x:c>
      <x:c r="D41" t="str">
        <x:v>2021A000211</x:v>
      </x:c>
      <x:c r="E41" t="str">
        <x:v>72402</x:v>
      </x:c>
      <x:c r="F41" t="str">
        <x:v>Heating, refrigeration and air conditioning mechanics</x:v>
      </x:c>
      <x:c r="G41" t="str">
        <x:v>trade_hvac</x:v>
      </x:c>
      <x:c r="H41" t="str">
        <x:v>Job vacancies</x:v>
      </x:c>
      <x:c r="I41" s="145"/>
      <x:c r="J41" t="str">
        <x:v>Number</x:v>
      </x:c>
      <x:c r="K41" s="153" t="n">
        <x:v>46112</x:v>
      </x:c>
      <x:c r="L41" t="str">
        <x:v>observed</x:v>
      </x:c>
      <x:c r="M41" t="str">
        <x:v>STATCAN_JVWS_14100444</x:v>
      </x:c>
      <x:c r="N41" t="str">
        <x:v>TR_STATCAN_JVWS_CA_PROVINCES_NOC_1_0_0</x:v>
      </x:c>
      <x:c r="O41" t="str">
        <x:v>status:F|value_missing_or_suppressed</x:v>
      </x:c>
      <x:c r="P41" t="str">
        <x:v>https://www150.statcan.gc.ca/t1/tbl1/en/tv.action?pid=1410044401</x:v>
      </x:c>
      <x:c r="Q41" t="str">
        <x:v>PASS</x:v>
      </x:c>
    </x:row>
    <x:row r="42">
      <x:c r="A42" t="str">
        <x:v>OBS_JVWS_A9F4023625F439BE014A</x:v>
      </x:c>
      <x:c r="B42" t="str">
        <x:v>PR_11</x:v>
      </x:c>
      <x:c r="C42" t="str">
        <x:v>Prince Edward Island</x:v>
      </x:c>
      <x:c r="D42" t="str">
        <x:v>2021A000211</x:v>
      </x:c>
      <x:c r="E42" t="str">
        <x:v>72202</x:v>
      </x:c>
      <x:c r="F42" t="str">
        <x:v>Power system electricians</x:v>
      </x:c>
      <x:c r="G42" t="str">
        <x:v>trade_power_line</x:v>
      </x:c>
      <x:c r="H42" t="str">
        <x:v>Average offered hourly wage</x:v>
      </x:c>
      <x:c r="I42" s="145"/>
      <x:c r="J42" t="str">
        <x:v>Dollars</x:v>
      </x:c>
      <x:c r="K42" s="153" t="n">
        <x:v>46112</x:v>
      </x:c>
      <x:c r="L42" t="str">
        <x:v>observed</x:v>
      </x:c>
      <x:c r="M42" t="str">
        <x:v>STATCAN_JVWS_14100444</x:v>
      </x:c>
      <x:c r="N42" t="str">
        <x:v>TR_STATCAN_JVWS_CA_PROVINCES_NOC_1_0_0</x:v>
      </x:c>
      <x:c r="O42" t="str">
        <x:v>status:..|value_missing_or_suppressed</x:v>
      </x:c>
      <x:c r="P42" t="str">
        <x:v>https://www150.statcan.gc.ca/t1/tbl1/en/tv.action?pid=1410044401</x:v>
      </x:c>
      <x:c r="Q42" t="str">
        <x:v>PASS</x:v>
      </x:c>
    </x:row>
    <x:row r="43">
      <x:c r="A43" t="str">
        <x:v>OBS_JVWS_8F40FAD6694FCAF00532</x:v>
      </x:c>
      <x:c r="B43" t="str">
        <x:v>PR_11</x:v>
      </x:c>
      <x:c r="C43" t="str">
        <x:v>Prince Edward Island</x:v>
      </x:c>
      <x:c r="D43" t="str">
        <x:v>2021A000211</x:v>
      </x:c>
      <x:c r="E43" t="str">
        <x:v>72202</x:v>
      </x:c>
      <x:c r="F43" t="str">
        <x:v>Power system electricians</x:v>
      </x:c>
      <x:c r="G43" t="str">
        <x:v>trade_power_line</x:v>
      </x:c>
      <x:c r="H43" t="str">
        <x:v>Job vacancies</x:v>
      </x:c>
      <x:c r="I43" s="145"/>
      <x:c r="J43" t="str">
        <x:v>Number</x:v>
      </x:c>
      <x:c r="K43" s="153" t="n">
        <x:v>46112</x:v>
      </x:c>
      <x:c r="L43" t="str">
        <x:v>observed</x:v>
      </x:c>
      <x:c r="M43" t="str">
        <x:v>STATCAN_JVWS_14100444</x:v>
      </x:c>
      <x:c r="N43" t="str">
        <x:v>TR_STATCAN_JVWS_CA_PROVINCES_NOC_1_0_0</x:v>
      </x:c>
      <x:c r="O43" t="str">
        <x:v>status:..|value_missing_or_suppressed</x:v>
      </x:c>
      <x:c r="P43" t="str">
        <x:v>https://www150.statcan.gc.ca/t1/tbl1/en/tv.action?pid=1410044401</x:v>
      </x:c>
      <x:c r="Q43" t="str">
        <x:v>PASS</x:v>
      </x:c>
    </x:row>
    <x:row r="44">
      <x:c r="A44" t="str">
        <x:v>OBS_JVWS_0D183E2ABF44B4CD09B0</x:v>
      </x:c>
      <x:c r="B44" t="str">
        <x:v>PR_11</x:v>
      </x:c>
      <x:c r="C44" t="str">
        <x:v>Prince Edward Island</x:v>
      </x:c>
      <x:c r="D44" t="str">
        <x:v>2021A000211</x:v>
      </x:c>
      <x:c r="E44" t="str">
        <x:v>72203</x:v>
      </x:c>
      <x:c r="F44" t="str">
        <x:v>Electrical power line and cable workers</x:v>
      </x:c>
      <x:c r="G44" t="str">
        <x:v>trade_power_line</x:v>
      </x:c>
      <x:c r="H44" t="str">
        <x:v>Average offered hourly wage</x:v>
      </x:c>
      <x:c r="I44" s="145"/>
      <x:c r="J44" t="str">
        <x:v>Dollars</x:v>
      </x:c>
      <x:c r="K44" s="153" t="n">
        <x:v>46112</x:v>
      </x:c>
      <x:c r="L44" t="str">
        <x:v>observed</x:v>
      </x:c>
      <x:c r="M44" t="str">
        <x:v>STATCAN_JVWS_14100444</x:v>
      </x:c>
      <x:c r="N44" t="str">
        <x:v>TR_STATCAN_JVWS_CA_PROVINCES_NOC_1_0_0</x:v>
      </x:c>
      <x:c r="O44" t="str">
        <x:v>status:..|value_missing_or_suppressed</x:v>
      </x:c>
      <x:c r="P44" t="str">
        <x:v>https://www150.statcan.gc.ca/t1/tbl1/en/tv.action?pid=1410044401</x:v>
      </x:c>
      <x:c r="Q44" t="str">
        <x:v>PASS</x:v>
      </x:c>
    </x:row>
    <x:row r="45">
      <x:c r="A45" t="str">
        <x:v>OBS_JVWS_B3E0FD4F6A5BF9745FD1</x:v>
      </x:c>
      <x:c r="B45" t="str">
        <x:v>PR_11</x:v>
      </x:c>
      <x:c r="C45" t="str">
        <x:v>Prince Edward Island</x:v>
      </x:c>
      <x:c r="D45" t="str">
        <x:v>2021A000211</x:v>
      </x:c>
      <x:c r="E45" t="str">
        <x:v>72203</x:v>
      </x:c>
      <x:c r="F45" t="str">
        <x:v>Electrical power line and cable workers</x:v>
      </x:c>
      <x:c r="G45" t="str">
        <x:v>trade_power_line</x:v>
      </x:c>
      <x:c r="H45" t="str">
        <x:v>Job vacancies</x:v>
      </x:c>
      <x:c r="I45" s="145"/>
      <x:c r="J45" t="str">
        <x:v>Number</x:v>
      </x:c>
      <x:c r="K45" s="153" t="n">
        <x:v>46112</x:v>
      </x:c>
      <x:c r="L45" t="str">
        <x:v>observed</x:v>
      </x:c>
      <x:c r="M45" t="str">
        <x:v>STATCAN_JVWS_14100444</x:v>
      </x:c>
      <x:c r="N45" t="str">
        <x:v>TR_STATCAN_JVWS_CA_PROVINCES_NOC_1_0_0</x:v>
      </x:c>
      <x:c r="O45" t="str">
        <x:v>status:..|value_missing_or_suppressed</x:v>
      </x:c>
      <x:c r="P45" t="str">
        <x:v>https://www150.statcan.gc.ca/t1/tbl1/en/tv.action?pid=1410044401</x:v>
      </x:c>
      <x:c r="Q45" t="str">
        <x:v>PASS</x:v>
      </x:c>
    </x:row>
    <x:row r="46">
      <x:c r="A46" t="str">
        <x:v>OBS_JVWS_DAE8798758F881587080</x:v>
      </x:c>
      <x:c r="B46" t="str">
        <x:v>PR_12</x:v>
      </x:c>
      <x:c r="C46" t="str">
        <x:v>Nova Scotia</x:v>
      </x:c>
      <x:c r="D46" t="str">
        <x:v>2021A000212</x:v>
      </x:c>
      <x:c r="E46" t="str">
        <x:v>73100</x:v>
      </x:c>
      <x:c r="F46" t="str">
        <x:v>Concrete finishers</x:v>
      </x:c>
      <x:c r="G46" t="str">
        <x:v>trade_concrete</x:v>
      </x:c>
      <x:c r="H46" t="str">
        <x:v>Average offered hourly wage</x:v>
      </x:c>
      <x:c r="I46" s="145"/>
      <x:c r="J46" t="str">
        <x:v>Dollars</x:v>
      </x:c>
      <x:c r="K46" s="153" t="n">
        <x:v>46112</x:v>
      </x:c>
      <x:c r="L46" t="str">
        <x:v>observed</x:v>
      </x:c>
      <x:c r="M46" t="str">
        <x:v>STATCAN_JVWS_14100444</x:v>
      </x:c>
      <x:c r="N46" t="str">
        <x:v>TR_STATCAN_JVWS_CA_PROVINCES_NOC_1_0_0</x:v>
      </x:c>
      <x:c r="O46" t="str">
        <x:v>status:..|value_missing_or_suppressed</x:v>
      </x:c>
      <x:c r="P46" t="str">
        <x:v>https://www150.statcan.gc.ca/t1/tbl1/en/tv.action?pid=1410044401</x:v>
      </x:c>
      <x:c r="Q46" t="str">
        <x:v>PASS</x:v>
      </x:c>
    </x:row>
    <x:row r="47">
      <x:c r="A47" t="str">
        <x:v>OBS_JVWS_22D22947957104762FF2</x:v>
      </x:c>
      <x:c r="B47" t="str">
        <x:v>PR_12</x:v>
      </x:c>
      <x:c r="C47" t="str">
        <x:v>Nova Scotia</x:v>
      </x:c>
      <x:c r="D47" t="str">
        <x:v>2021A000212</x:v>
      </x:c>
      <x:c r="E47" t="str">
        <x:v>73100</x:v>
      </x:c>
      <x:c r="F47" t="str">
        <x:v>Concrete finishers</x:v>
      </x:c>
      <x:c r="G47" t="str">
        <x:v>trade_concrete</x:v>
      </x:c>
      <x:c r="H47" t="str">
        <x:v>Job vacancies</x:v>
      </x:c>
      <x:c r="I47" s="145"/>
      <x:c r="J47" t="str">
        <x:v>Number</x:v>
      </x:c>
      <x:c r="K47" s="153" t="n">
        <x:v>46112</x:v>
      </x:c>
      <x:c r="L47" t="str">
        <x:v>observed</x:v>
      </x:c>
      <x:c r="M47" t="str">
        <x:v>STATCAN_JVWS_14100444</x:v>
      </x:c>
      <x:c r="N47" t="str">
        <x:v>TR_STATCAN_JVWS_CA_PROVINCES_NOC_1_0_0</x:v>
      </x:c>
      <x:c r="O47" t="str">
        <x:v>status:..|value_missing_or_suppressed</x:v>
      </x:c>
      <x:c r="P47" t="str">
        <x:v>https://www150.statcan.gc.ca/t1/tbl1/en/tv.action?pid=1410044401</x:v>
      </x:c>
      <x:c r="Q47" t="str">
        <x:v>PASS</x:v>
      </x:c>
    </x:row>
    <x:row r="48">
      <x:c r="A48" t="str">
        <x:v>OBS_JVWS_46AAE6F32A1C0E096CB9</x:v>
      </x:c>
      <x:c r="B48" t="str">
        <x:v>PR_12</x:v>
      </x:c>
      <x:c r="C48" t="str">
        <x:v>Nova Scotia</x:v>
      </x:c>
      <x:c r="D48" t="str">
        <x:v>2021A000212</x:v>
      </x:c>
      <x:c r="E48" t="str">
        <x:v>72200</x:v>
      </x:c>
      <x:c r="F48" t="str">
        <x:v>Electricians (except industrial and power system)</x:v>
      </x:c>
      <x:c r="G48" t="str">
        <x:v>trade_electricians</x:v>
      </x:c>
      <x:c r="H48" t="str">
        <x:v>Average offered hourly wage</x:v>
      </x:c>
      <x:c r="I48" s="145" t="n">
        <x:v>22</x:v>
      </x:c>
      <x:c r="J48" t="str">
        <x:v>Dollars</x:v>
      </x:c>
      <x:c r="K48" s="153" t="n">
        <x:v>46112</x:v>
      </x:c>
      <x:c r="L48" t="str">
        <x:v>observed</x:v>
      </x:c>
      <x:c r="M48" t="str">
        <x:v>STATCAN_JVWS_14100444</x:v>
      </x:c>
      <x:c r="N48" t="str">
        <x:v>TR_STATCAN_JVWS_CA_PROVINCES_NOC_1_0_0</x:v>
      </x:c>
      <x:c r="O48" t="str">
        <x:v>status:E</x:v>
      </x:c>
      <x:c r="P48" t="str">
        <x:v>https://www150.statcan.gc.ca/t1/tbl1/en/tv.action?pid=1410044401</x:v>
      </x:c>
      <x:c r="Q48" t="str">
        <x:v>PASS</x:v>
      </x:c>
    </x:row>
    <x:row r="49">
      <x:c r="A49" t="str">
        <x:v>OBS_JVWS_3BDDBE940DEE03776539</x:v>
      </x:c>
      <x:c r="B49" t="str">
        <x:v>PR_12</x:v>
      </x:c>
      <x:c r="C49" t="str">
        <x:v>Nova Scotia</x:v>
      </x:c>
      <x:c r="D49" t="str">
        <x:v>2021A000212</x:v>
      </x:c>
      <x:c r="E49" t="str">
        <x:v>72200</x:v>
      </x:c>
      <x:c r="F49" t="str">
        <x:v>Electricians (except industrial and power system)</x:v>
      </x:c>
      <x:c r="G49" t="str">
        <x:v>trade_electricians</x:v>
      </x:c>
      <x:c r="H49" t="str">
        <x:v>Job vacancies</x:v>
      </x:c>
      <x:c r="I49" s="145"/>
      <x:c r="J49" t="str">
        <x:v>Number</x:v>
      </x:c>
      <x:c r="K49" s="153" t="n">
        <x:v>46112</x:v>
      </x:c>
      <x:c r="L49" t="str">
        <x:v>observed</x:v>
      </x:c>
      <x:c r="M49" t="str">
        <x:v>STATCAN_JVWS_14100444</x:v>
      </x:c>
      <x:c r="N49" t="str">
        <x:v>TR_STATCAN_JVWS_CA_PROVINCES_NOC_1_0_0</x:v>
      </x:c>
      <x:c r="O49" t="str">
        <x:v>status:F|value_missing_or_suppressed</x:v>
      </x:c>
      <x:c r="P49" t="str">
        <x:v>https://www150.statcan.gc.ca/t1/tbl1/en/tv.action?pid=1410044401</x:v>
      </x:c>
      <x:c r="Q49" t="str">
        <x:v>PASS</x:v>
      </x:c>
    </x:row>
    <x:row r="50">
      <x:c r="A50" t="str">
        <x:v>OBS_JVWS_64D59A500BCE8D74118C</x:v>
      </x:c>
      <x:c r="B50" t="str">
        <x:v>PR_12</x:v>
      </x:c>
      <x:c r="C50" t="str">
        <x:v>Nova Scotia</x:v>
      </x:c>
      <x:c r="D50" t="str">
        <x:v>2021A000212</x:v>
      </x:c>
      <x:c r="E50" t="str">
        <x:v>72201</x:v>
      </x:c>
      <x:c r="F50" t="str">
        <x:v>Industrial electricians</x:v>
      </x:c>
      <x:c r="G50" t="str">
        <x:v>trade_electricians</x:v>
      </x:c>
      <x:c r="H50" t="str">
        <x:v>Average offered hourly wage</x:v>
      </x:c>
      <x:c r="I50" s="145" t="n">
        <x:v>44.05</x:v>
      </x:c>
      <x:c r="J50" t="str">
        <x:v>Dollars</x:v>
      </x:c>
      <x:c r="K50" s="153" t="n">
        <x:v>46112</x:v>
      </x:c>
      <x:c r="L50" t="str">
        <x:v>observed</x:v>
      </x:c>
      <x:c r="M50" t="str">
        <x:v>STATCAN_JVWS_14100444</x:v>
      </x:c>
      <x:c r="N50" t="str">
        <x:v>TR_STATCAN_JVWS_CA_PROVINCES_NOC_1_0_0</x:v>
      </x:c>
      <x:c r="O50" t="str">
        <x:v>status:A</x:v>
      </x:c>
      <x:c r="P50" t="str">
        <x:v>https://www150.statcan.gc.ca/t1/tbl1/en/tv.action?pid=1410044401</x:v>
      </x:c>
      <x:c r="Q50" t="str">
        <x:v>PASS</x:v>
      </x:c>
    </x:row>
    <x:row r="51">
      <x:c r="A51" t="str">
        <x:v>OBS_JVWS_25EEDB862DCA6BBDAA00</x:v>
      </x:c>
      <x:c r="B51" t="str">
        <x:v>PR_12</x:v>
      </x:c>
      <x:c r="C51" t="str">
        <x:v>Nova Scotia</x:v>
      </x:c>
      <x:c r="D51" t="str">
        <x:v>2021A000212</x:v>
      </x:c>
      <x:c r="E51" t="str">
        <x:v>72201</x:v>
      </x:c>
      <x:c r="F51" t="str">
        <x:v>Industrial electricians</x:v>
      </x:c>
      <x:c r="G51" t="str">
        <x:v>trade_electricians</x:v>
      </x:c>
      <x:c r="H51" t="str">
        <x:v>Job vacancies</x:v>
      </x:c>
      <x:c r="I51" s="145"/>
      <x:c r="J51" t="str">
        <x:v>Number</x:v>
      </x:c>
      <x:c r="K51" s="153" t="n">
        <x:v>46112</x:v>
      </x:c>
      <x:c r="L51" t="str">
        <x:v>observed</x:v>
      </x:c>
      <x:c r="M51" t="str">
        <x:v>STATCAN_JVWS_14100444</x:v>
      </x:c>
      <x:c r="N51" t="str">
        <x:v>TR_STATCAN_JVWS_CA_PROVINCES_NOC_1_0_0</x:v>
      </x:c>
      <x:c r="O51" t="str">
        <x:v>status:F|value_missing_or_suppressed</x:v>
      </x:c>
      <x:c r="P51" t="str">
        <x:v>https://www150.statcan.gc.ca/t1/tbl1/en/tv.action?pid=1410044401</x:v>
      </x:c>
      <x:c r="Q51" t="str">
        <x:v>PASS</x:v>
      </x:c>
    </x:row>
    <x:row r="52">
      <x:c r="A52" t="str">
        <x:v>OBS_JVWS_B305A77E3BEBE395B200</x:v>
      </x:c>
      <x:c r="B52" t="str">
        <x:v>PR_12</x:v>
      </x:c>
      <x:c r="C52" t="str">
        <x:v>Nova Scotia</x:v>
      </x:c>
      <x:c r="D52" t="str">
        <x:v>2021A000212</x:v>
      </x:c>
      <x:c r="E52" t="str">
        <x:v>72402</x:v>
      </x:c>
      <x:c r="F52" t="str">
        <x:v>Heating, refrigeration and air conditioning mechanics</x:v>
      </x:c>
      <x:c r="G52" t="str">
        <x:v>trade_hvac</x:v>
      </x:c>
      <x:c r="H52" t="str">
        <x:v>Average offered hourly wage</x:v>
      </x:c>
      <x:c r="I52" s="145" t="n">
        <x:v>32.05</x:v>
      </x:c>
      <x:c r="J52" t="str">
        <x:v>Dollars</x:v>
      </x:c>
      <x:c r="K52" s="153" t="n">
        <x:v>46112</x:v>
      </x:c>
      <x:c r="L52" t="str">
        <x:v>observed</x:v>
      </x:c>
      <x:c r="M52" t="str">
        <x:v>STATCAN_JVWS_14100444</x:v>
      </x:c>
      <x:c r="N52" t="str">
        <x:v>TR_STATCAN_JVWS_CA_PROVINCES_NOC_1_0_0</x:v>
      </x:c>
      <x:c r="O52" t="str">
        <x:v>status:C</x:v>
      </x:c>
      <x:c r="P52" t="str">
        <x:v>https://www150.statcan.gc.ca/t1/tbl1/en/tv.action?pid=1410044401</x:v>
      </x:c>
      <x:c r="Q52" t="str">
        <x:v>PASS</x:v>
      </x:c>
    </x:row>
    <x:row r="53">
      <x:c r="A53" t="str">
        <x:v>OBS_JVWS_21A4E504267A74E210C7</x:v>
      </x:c>
      <x:c r="B53" t="str">
        <x:v>PR_12</x:v>
      </x:c>
      <x:c r="C53" t="str">
        <x:v>Nova Scotia</x:v>
      </x:c>
      <x:c r="D53" t="str">
        <x:v>2021A000212</x:v>
      </x:c>
      <x:c r="E53" t="str">
        <x:v>72402</x:v>
      </x:c>
      <x:c r="F53" t="str">
        <x:v>Heating, refrigeration and air conditioning mechanics</x:v>
      </x:c>
      <x:c r="G53" t="str">
        <x:v>trade_hvac</x:v>
      </x:c>
      <x:c r="H53" t="str">
        <x:v>Job vacancies</x:v>
      </x:c>
      <x:c r="I53" s="145"/>
      <x:c r="J53" t="str">
        <x:v>Number</x:v>
      </x:c>
      <x:c r="K53" s="153" t="n">
        <x:v>46112</x:v>
      </x:c>
      <x:c r="L53" t="str">
        <x:v>observed</x:v>
      </x:c>
      <x:c r="M53" t="str">
        <x:v>STATCAN_JVWS_14100444</x:v>
      </x:c>
      <x:c r="N53" t="str">
        <x:v>TR_STATCAN_JVWS_CA_PROVINCES_NOC_1_0_0</x:v>
      </x:c>
      <x:c r="O53" t="str">
        <x:v>status:F|value_missing_or_suppressed</x:v>
      </x:c>
      <x:c r="P53" t="str">
        <x:v>https://www150.statcan.gc.ca/t1/tbl1/en/tv.action?pid=1410044401</x:v>
      </x:c>
      <x:c r="Q53" t="str">
        <x:v>PASS</x:v>
      </x:c>
    </x:row>
    <x:row r="54">
      <x:c r="A54" t="str">
        <x:v>OBS_JVWS_5679DA711FA9D10D02DF</x:v>
      </x:c>
      <x:c r="B54" t="str">
        <x:v>PR_12</x:v>
      </x:c>
      <x:c r="C54" t="str">
        <x:v>Nova Scotia</x:v>
      </x:c>
      <x:c r="D54" t="str">
        <x:v>2021A000212</x:v>
      </x:c>
      <x:c r="E54" t="str">
        <x:v>72202</x:v>
      </x:c>
      <x:c r="F54" t="str">
        <x:v>Power system electricians</x:v>
      </x:c>
      <x:c r="G54" t="str">
        <x:v>trade_power_line</x:v>
      </x:c>
      <x:c r="H54" t="str">
        <x:v>Average offered hourly wage</x:v>
      </x:c>
      <x:c r="I54" s="145"/>
      <x:c r="J54" t="str">
        <x:v>Dollars</x:v>
      </x:c>
      <x:c r="K54" s="153" t="n">
        <x:v>46112</x:v>
      </x:c>
      <x:c r="L54" t="str">
        <x:v>observed</x:v>
      </x:c>
      <x:c r="M54" t="str">
        <x:v>STATCAN_JVWS_14100444</x:v>
      </x:c>
      <x:c r="N54" t="str">
        <x:v>TR_STATCAN_JVWS_CA_PROVINCES_NOC_1_0_0</x:v>
      </x:c>
      <x:c r="O54" t="str">
        <x:v>status:..|value_missing_or_suppressed</x:v>
      </x:c>
      <x:c r="P54" t="str">
        <x:v>https://www150.statcan.gc.ca/t1/tbl1/en/tv.action?pid=1410044401</x:v>
      </x:c>
      <x:c r="Q54" t="str">
        <x:v>PASS</x:v>
      </x:c>
    </x:row>
    <x:row r="55">
      <x:c r="A55" t="str">
        <x:v>OBS_JVWS_7579A96EB5088EA35E5E</x:v>
      </x:c>
      <x:c r="B55" t="str">
        <x:v>PR_12</x:v>
      </x:c>
      <x:c r="C55" t="str">
        <x:v>Nova Scotia</x:v>
      </x:c>
      <x:c r="D55" t="str">
        <x:v>2021A000212</x:v>
      </x:c>
      <x:c r="E55" t="str">
        <x:v>72202</x:v>
      </x:c>
      <x:c r="F55" t="str">
        <x:v>Power system electricians</x:v>
      </x:c>
      <x:c r="G55" t="str">
        <x:v>trade_power_line</x:v>
      </x:c>
      <x:c r="H55" t="str">
        <x:v>Job vacancies</x:v>
      </x:c>
      <x:c r="I55" s="145"/>
      <x:c r="J55" t="str">
        <x:v>Number</x:v>
      </x:c>
      <x:c r="K55" s="153" t="n">
        <x:v>46112</x:v>
      </x:c>
      <x:c r="L55" t="str">
        <x:v>observed</x:v>
      </x:c>
      <x:c r="M55" t="str">
        <x:v>STATCAN_JVWS_14100444</x:v>
      </x:c>
      <x:c r="N55" t="str">
        <x:v>TR_STATCAN_JVWS_CA_PROVINCES_NOC_1_0_0</x:v>
      </x:c>
      <x:c r="O55" t="str">
        <x:v>status:..|value_missing_or_suppressed</x:v>
      </x:c>
      <x:c r="P55" t="str">
        <x:v>https://www150.statcan.gc.ca/t1/tbl1/en/tv.action?pid=1410044401</x:v>
      </x:c>
      <x:c r="Q55" t="str">
        <x:v>PASS</x:v>
      </x:c>
    </x:row>
    <x:row r="56">
      <x:c r="A56" t="str">
        <x:v>OBS_JVWS_830EF5549047811963D7</x:v>
      </x:c>
      <x:c r="B56" t="str">
        <x:v>PR_12</x:v>
      </x:c>
      <x:c r="C56" t="str">
        <x:v>Nova Scotia</x:v>
      </x:c>
      <x:c r="D56" t="str">
        <x:v>2021A000212</x:v>
      </x:c>
      <x:c r="E56" t="str">
        <x:v>72203</x:v>
      </x:c>
      <x:c r="F56" t="str">
        <x:v>Electrical power line and cable workers</x:v>
      </x:c>
      <x:c r="G56" t="str">
        <x:v>trade_power_line</x:v>
      </x:c>
      <x:c r="H56" t="str">
        <x:v>Average offered hourly wage</x:v>
      </x:c>
      <x:c r="I56" s="145"/>
      <x:c r="J56" t="str">
        <x:v>Dollars</x:v>
      </x:c>
      <x:c r="K56" s="153" t="n">
        <x:v>46112</x:v>
      </x:c>
      <x:c r="L56" t="str">
        <x:v>observed</x:v>
      </x:c>
      <x:c r="M56" t="str">
        <x:v>STATCAN_JVWS_14100444</x:v>
      </x:c>
      <x:c r="N56" t="str">
        <x:v>TR_STATCAN_JVWS_CA_PROVINCES_NOC_1_0_0</x:v>
      </x:c>
      <x:c r="O56" t="str">
        <x:v>status:..|value_missing_or_suppressed</x:v>
      </x:c>
      <x:c r="P56" t="str">
        <x:v>https://www150.statcan.gc.ca/t1/tbl1/en/tv.action?pid=1410044401</x:v>
      </x:c>
      <x:c r="Q56" t="str">
        <x:v>PASS</x:v>
      </x:c>
    </x:row>
    <x:row r="57">
      <x:c r="A57" t="str">
        <x:v>OBS_JVWS_CC07EC71950BDA15B077</x:v>
      </x:c>
      <x:c r="B57" t="str">
        <x:v>PR_12</x:v>
      </x:c>
      <x:c r="C57" t="str">
        <x:v>Nova Scotia</x:v>
      </x:c>
      <x:c r="D57" t="str">
        <x:v>2021A000212</x:v>
      </x:c>
      <x:c r="E57" t="str">
        <x:v>72203</x:v>
      </x:c>
      <x:c r="F57" t="str">
        <x:v>Electrical power line and cable workers</x:v>
      </x:c>
      <x:c r="G57" t="str">
        <x:v>trade_power_line</x:v>
      </x:c>
      <x:c r="H57" t="str">
        <x:v>Job vacancies</x:v>
      </x:c>
      <x:c r="I57" s="145"/>
      <x:c r="J57" t="str">
        <x:v>Number</x:v>
      </x:c>
      <x:c r="K57" s="153" t="n">
        <x:v>46112</x:v>
      </x:c>
      <x:c r="L57" t="str">
        <x:v>observed</x:v>
      </x:c>
      <x:c r="M57" t="str">
        <x:v>STATCAN_JVWS_14100444</x:v>
      </x:c>
      <x:c r="N57" t="str">
        <x:v>TR_STATCAN_JVWS_CA_PROVINCES_NOC_1_0_0</x:v>
      </x:c>
      <x:c r="O57" t="str">
        <x:v>status:..|value_missing_or_suppressed</x:v>
      </x:c>
      <x:c r="P57" t="str">
        <x:v>https://www150.statcan.gc.ca/t1/tbl1/en/tv.action?pid=1410044401</x:v>
      </x:c>
      <x:c r="Q57" t="str">
        <x:v>PASS</x:v>
      </x:c>
    </x:row>
    <x:row r="58">
      <x:c r="A58" t="str">
        <x:v>OBS_JVWS_C465AD1118495DF4CA77</x:v>
      </x:c>
      <x:c r="B58" t="str">
        <x:v>PR_13</x:v>
      </x:c>
      <x:c r="C58" t="str">
        <x:v>New Brunswick</x:v>
      </x:c>
      <x:c r="D58" t="str">
        <x:v>2021A000213</x:v>
      </x:c>
      <x:c r="E58" t="str">
        <x:v>73100</x:v>
      </x:c>
      <x:c r="F58" t="str">
        <x:v>Concrete finishers</x:v>
      </x:c>
      <x:c r="G58" t="str">
        <x:v>trade_concrete</x:v>
      </x:c>
      <x:c r="H58" t="str">
        <x:v>Average offered hourly wage</x:v>
      </x:c>
      <x:c r="I58" s="145"/>
      <x:c r="J58" t="str">
        <x:v>Dollars</x:v>
      </x:c>
      <x:c r="K58" s="153" t="n">
        <x:v>46112</x:v>
      </x:c>
      <x:c r="L58" t="str">
        <x:v>observed</x:v>
      </x:c>
      <x:c r="M58" t="str">
        <x:v>STATCAN_JVWS_14100444</x:v>
      </x:c>
      <x:c r="N58" t="str">
        <x:v>TR_STATCAN_JVWS_CA_PROVINCES_NOC_1_0_0</x:v>
      </x:c>
      <x:c r="O58" t="str">
        <x:v>status:..|value_missing_or_suppressed</x:v>
      </x:c>
      <x:c r="P58" t="str">
        <x:v>https://www150.statcan.gc.ca/t1/tbl1/en/tv.action?pid=1410044401</x:v>
      </x:c>
      <x:c r="Q58" t="str">
        <x:v>PASS</x:v>
      </x:c>
    </x:row>
    <x:row r="59">
      <x:c r="A59" t="str">
        <x:v>OBS_JVWS_7784B8F2F27ABD007751</x:v>
      </x:c>
      <x:c r="B59" t="str">
        <x:v>PR_13</x:v>
      </x:c>
      <x:c r="C59" t="str">
        <x:v>New Brunswick</x:v>
      </x:c>
      <x:c r="D59" t="str">
        <x:v>2021A000213</x:v>
      </x:c>
      <x:c r="E59" t="str">
        <x:v>73100</x:v>
      </x:c>
      <x:c r="F59" t="str">
        <x:v>Concrete finishers</x:v>
      </x:c>
      <x:c r="G59" t="str">
        <x:v>trade_concrete</x:v>
      </x:c>
      <x:c r="H59" t="str">
        <x:v>Job vacancies</x:v>
      </x:c>
      <x:c r="I59" s="145"/>
      <x:c r="J59" t="str">
        <x:v>Number</x:v>
      </x:c>
      <x:c r="K59" s="153" t="n">
        <x:v>46112</x:v>
      </x:c>
      <x:c r="L59" t="str">
        <x:v>observed</x:v>
      </x:c>
      <x:c r="M59" t="str">
        <x:v>STATCAN_JVWS_14100444</x:v>
      </x:c>
      <x:c r="N59" t="str">
        <x:v>TR_STATCAN_JVWS_CA_PROVINCES_NOC_1_0_0</x:v>
      </x:c>
      <x:c r="O59" t="str">
        <x:v>status:..|value_missing_or_suppressed</x:v>
      </x:c>
      <x:c r="P59" t="str">
        <x:v>https://www150.statcan.gc.ca/t1/tbl1/en/tv.action?pid=1410044401</x:v>
      </x:c>
      <x:c r="Q59" t="str">
        <x:v>PASS</x:v>
      </x:c>
    </x:row>
    <x:row r="60">
      <x:c r="A60" t="str">
        <x:v>OBS_JVWS_16E58E1655EE0EE5ED3F</x:v>
      </x:c>
      <x:c r="B60" t="str">
        <x:v>PR_13</x:v>
      </x:c>
      <x:c r="C60" t="str">
        <x:v>New Brunswick</x:v>
      </x:c>
      <x:c r="D60" t="str">
        <x:v>2021A000213</x:v>
      </x:c>
      <x:c r="E60" t="str">
        <x:v>72200</x:v>
      </x:c>
      <x:c r="F60" t="str">
        <x:v>Electricians (except industrial and power system)</x:v>
      </x:c>
      <x:c r="G60" t="str">
        <x:v>trade_electricians</x:v>
      </x:c>
      <x:c r="H60" t="str">
        <x:v>Average offered hourly wage</x:v>
      </x:c>
      <x:c r="I60" s="145" t="n">
        <x:v>29.2</x:v>
      </x:c>
      <x:c r="J60" t="str">
        <x:v>Dollars</x:v>
      </x:c>
      <x:c r="K60" s="153" t="n">
        <x:v>46112</x:v>
      </x:c>
      <x:c r="L60" t="str">
        <x:v>observed</x:v>
      </x:c>
      <x:c r="M60" t="str">
        <x:v>STATCAN_JVWS_14100444</x:v>
      </x:c>
      <x:c r="N60" t="str">
        <x:v>TR_STATCAN_JVWS_CA_PROVINCES_NOC_1_0_0</x:v>
      </x:c>
      <x:c r="O60" t="str">
        <x:v>status:B</x:v>
      </x:c>
      <x:c r="P60" t="str">
        <x:v>https://www150.statcan.gc.ca/t1/tbl1/en/tv.action?pid=1410044401</x:v>
      </x:c>
      <x:c r="Q60" t="str">
        <x:v>PASS</x:v>
      </x:c>
    </x:row>
    <x:row r="61">
      <x:c r="A61" t="str">
        <x:v>OBS_JVWS_BFC723730B5BF0B3D4B8</x:v>
      </x:c>
      <x:c r="B61" t="str">
        <x:v>PR_13</x:v>
      </x:c>
      <x:c r="C61" t="str">
        <x:v>New Brunswick</x:v>
      </x:c>
      <x:c r="D61" t="str">
        <x:v>2021A000213</x:v>
      </x:c>
      <x:c r="E61" t="str">
        <x:v>72200</x:v>
      </x:c>
      <x:c r="F61" t="str">
        <x:v>Electricians (except industrial and power system)</x:v>
      </x:c>
      <x:c r="G61" t="str">
        <x:v>trade_electricians</x:v>
      </x:c>
      <x:c r="H61" t="str">
        <x:v>Job vacancies</x:v>
      </x:c>
      <x:c r="I61" s="145"/>
      <x:c r="J61" t="str">
        <x:v>Number</x:v>
      </x:c>
      <x:c r="K61" s="153" t="n">
        <x:v>46112</x:v>
      </x:c>
      <x:c r="L61" t="str">
        <x:v>observed</x:v>
      </x:c>
      <x:c r="M61" t="str">
        <x:v>STATCAN_JVWS_14100444</x:v>
      </x:c>
      <x:c r="N61" t="str">
        <x:v>TR_STATCAN_JVWS_CA_PROVINCES_NOC_1_0_0</x:v>
      </x:c>
      <x:c r="O61" t="str">
        <x:v>status:F|value_missing_or_suppressed</x:v>
      </x:c>
      <x:c r="P61" t="str">
        <x:v>https://www150.statcan.gc.ca/t1/tbl1/en/tv.action?pid=1410044401</x:v>
      </x:c>
      <x:c r="Q61" t="str">
        <x:v>PASS</x:v>
      </x:c>
    </x:row>
    <x:row r="62">
      <x:c r="A62" t="str">
        <x:v>OBS_JVWS_3F4BA913B7B01594F207</x:v>
      </x:c>
      <x:c r="B62" t="str">
        <x:v>PR_13</x:v>
      </x:c>
      <x:c r="C62" t="str">
        <x:v>New Brunswick</x:v>
      </x:c>
      <x:c r="D62" t="str">
        <x:v>2021A000213</x:v>
      </x:c>
      <x:c r="E62" t="str">
        <x:v>72201</x:v>
      </x:c>
      <x:c r="F62" t="str">
        <x:v>Industrial electricians</x:v>
      </x:c>
      <x:c r="G62" t="str">
        <x:v>trade_electricians</x:v>
      </x:c>
      <x:c r="H62" t="str">
        <x:v>Average offered hourly wage</x:v>
      </x:c>
      <x:c r="I62" s="145" t="n">
        <x:v>35.75</x:v>
      </x:c>
      <x:c r="J62" t="str">
        <x:v>Dollars</x:v>
      </x:c>
      <x:c r="K62" s="153" t="n">
        <x:v>46112</x:v>
      </x:c>
      <x:c r="L62" t="str">
        <x:v>observed</x:v>
      </x:c>
      <x:c r="M62" t="str">
        <x:v>STATCAN_JVWS_14100444</x:v>
      </x:c>
      <x:c r="N62" t="str">
        <x:v>TR_STATCAN_JVWS_CA_PROVINCES_NOC_1_0_0</x:v>
      </x:c>
      <x:c r="O62" t="str">
        <x:v>status:A</x:v>
      </x:c>
      <x:c r="P62" t="str">
        <x:v>https://www150.statcan.gc.ca/t1/tbl1/en/tv.action?pid=1410044401</x:v>
      </x:c>
      <x:c r="Q62" t="str">
        <x:v>PASS</x:v>
      </x:c>
    </x:row>
    <x:row r="63">
      <x:c r="A63" t="str">
        <x:v>OBS_JVWS_DDE1750BCACC33B744DC</x:v>
      </x:c>
      <x:c r="B63" t="str">
        <x:v>PR_13</x:v>
      </x:c>
      <x:c r="C63" t="str">
        <x:v>New Brunswick</x:v>
      </x:c>
      <x:c r="D63" t="str">
        <x:v>2021A000213</x:v>
      </x:c>
      <x:c r="E63" t="str">
        <x:v>72201</x:v>
      </x:c>
      <x:c r="F63" t="str">
        <x:v>Industrial electricians</x:v>
      </x:c>
      <x:c r="G63" t="str">
        <x:v>trade_electricians</x:v>
      </x:c>
      <x:c r="H63" t="str">
        <x:v>Job vacancies</x:v>
      </x:c>
      <x:c r="I63" s="145" t="n">
        <x:v>15</x:v>
      </x:c>
      <x:c r="J63" t="str">
        <x:v>Number</x:v>
      </x:c>
      <x:c r="K63" s="153" t="n">
        <x:v>46112</x:v>
      </x:c>
      <x:c r="L63" t="str">
        <x:v>observed</x:v>
      </x:c>
      <x:c r="M63" t="str">
        <x:v>STATCAN_JVWS_14100444</x:v>
      </x:c>
      <x:c r="N63" t="str">
        <x:v>TR_STATCAN_JVWS_CA_PROVINCES_NOC_1_0_0</x:v>
      </x:c>
      <x:c r="O63" t="str">
        <x:v>status:D</x:v>
      </x:c>
      <x:c r="P63" t="str">
        <x:v>https://www150.statcan.gc.ca/t1/tbl1/en/tv.action?pid=1410044401</x:v>
      </x:c>
      <x:c r="Q63" t="str">
        <x:v>PASS</x:v>
      </x:c>
    </x:row>
    <x:row r="64">
      <x:c r="A64" t="str">
        <x:v>OBS_JVWS_A1BA0C6D2A27FEB82DBB</x:v>
      </x:c>
      <x:c r="B64" t="str">
        <x:v>PR_13</x:v>
      </x:c>
      <x:c r="C64" t="str">
        <x:v>New Brunswick</x:v>
      </x:c>
      <x:c r="D64" t="str">
        <x:v>2021A000213</x:v>
      </x:c>
      <x:c r="E64" t="str">
        <x:v>72402</x:v>
      </x:c>
      <x:c r="F64" t="str">
        <x:v>Heating, refrigeration and air conditioning mechanics</x:v>
      </x:c>
      <x:c r="G64" t="str">
        <x:v>trade_hvac</x:v>
      </x:c>
      <x:c r="H64" t="str">
        <x:v>Average offered hourly wage</x:v>
      </x:c>
      <x:c r="I64" s="145" t="n">
        <x:v>35.1</x:v>
      </x:c>
      <x:c r="J64" t="str">
        <x:v>Dollars</x:v>
      </x:c>
      <x:c r="K64" s="153" t="n">
        <x:v>46112</x:v>
      </x:c>
      <x:c r="L64" t="str">
        <x:v>observed</x:v>
      </x:c>
      <x:c r="M64" t="str">
        <x:v>STATCAN_JVWS_14100444</x:v>
      </x:c>
      <x:c r="N64" t="str">
        <x:v>TR_STATCAN_JVWS_CA_PROVINCES_NOC_1_0_0</x:v>
      </x:c>
      <x:c r="O64" t="str">
        <x:v>status:B</x:v>
      </x:c>
      <x:c r="P64" t="str">
        <x:v>https://www150.statcan.gc.ca/t1/tbl1/en/tv.action?pid=1410044401</x:v>
      </x:c>
      <x:c r="Q64" t="str">
        <x:v>PASS</x:v>
      </x:c>
    </x:row>
    <x:row r="65">
      <x:c r="A65" t="str">
        <x:v>OBS_JVWS_A78C5594D3C542211C30</x:v>
      </x:c>
      <x:c r="B65" t="str">
        <x:v>PR_13</x:v>
      </x:c>
      <x:c r="C65" t="str">
        <x:v>New Brunswick</x:v>
      </x:c>
      <x:c r="D65" t="str">
        <x:v>2021A000213</x:v>
      </x:c>
      <x:c r="E65" t="str">
        <x:v>72402</x:v>
      </x:c>
      <x:c r="F65" t="str">
        <x:v>Heating, refrigeration and air conditioning mechanics</x:v>
      </x:c>
      <x:c r="G65" t="str">
        <x:v>trade_hvac</x:v>
      </x:c>
      <x:c r="H65" t="str">
        <x:v>Job vacancies</x:v>
      </x:c>
      <x:c r="I65" s="145"/>
      <x:c r="J65" t="str">
        <x:v>Number</x:v>
      </x:c>
      <x:c r="K65" s="153" t="n">
        <x:v>46112</x:v>
      </x:c>
      <x:c r="L65" t="str">
        <x:v>observed</x:v>
      </x:c>
      <x:c r="M65" t="str">
        <x:v>STATCAN_JVWS_14100444</x:v>
      </x:c>
      <x:c r="N65" t="str">
        <x:v>TR_STATCAN_JVWS_CA_PROVINCES_NOC_1_0_0</x:v>
      </x:c>
      <x:c r="O65" t="str">
        <x:v>status:F|value_missing_or_suppressed</x:v>
      </x:c>
      <x:c r="P65" t="str">
        <x:v>https://www150.statcan.gc.ca/t1/tbl1/en/tv.action?pid=1410044401</x:v>
      </x:c>
      <x:c r="Q65" t="str">
        <x:v>PASS</x:v>
      </x:c>
    </x:row>
    <x:row r="66">
      <x:c r="A66" t="str">
        <x:v>OBS_JVWS_1A547C93F754C09CA419</x:v>
      </x:c>
      <x:c r="B66" t="str">
        <x:v>PR_13</x:v>
      </x:c>
      <x:c r="C66" t="str">
        <x:v>New Brunswick</x:v>
      </x:c>
      <x:c r="D66" t="str">
        <x:v>2021A000213</x:v>
      </x:c>
      <x:c r="E66" t="str">
        <x:v>72202</x:v>
      </x:c>
      <x:c r="F66" t="str">
        <x:v>Power system electricians</x:v>
      </x:c>
      <x:c r="G66" t="str">
        <x:v>trade_power_line</x:v>
      </x:c>
      <x:c r="H66" t="str">
        <x:v>Average offered hourly wage</x:v>
      </x:c>
      <x:c r="I66" s="145"/>
      <x:c r="J66" t="str">
        <x:v>Dollars</x:v>
      </x:c>
      <x:c r="K66" s="153" t="n">
        <x:v>46112</x:v>
      </x:c>
      <x:c r="L66" t="str">
        <x:v>observed</x:v>
      </x:c>
      <x:c r="M66" t="str">
        <x:v>STATCAN_JVWS_14100444</x:v>
      </x:c>
      <x:c r="N66" t="str">
        <x:v>TR_STATCAN_JVWS_CA_PROVINCES_NOC_1_0_0</x:v>
      </x:c>
      <x:c r="O66" t="str">
        <x:v>status:..|value_missing_or_suppressed</x:v>
      </x:c>
      <x:c r="P66" t="str">
        <x:v>https://www150.statcan.gc.ca/t1/tbl1/en/tv.action?pid=1410044401</x:v>
      </x:c>
      <x:c r="Q66" t="str">
        <x:v>PASS</x:v>
      </x:c>
    </x:row>
    <x:row r="67">
      <x:c r="A67" t="str">
        <x:v>OBS_JVWS_09CA362AF316D0748187</x:v>
      </x:c>
      <x:c r="B67" t="str">
        <x:v>PR_13</x:v>
      </x:c>
      <x:c r="C67" t="str">
        <x:v>New Brunswick</x:v>
      </x:c>
      <x:c r="D67" t="str">
        <x:v>2021A000213</x:v>
      </x:c>
      <x:c r="E67" t="str">
        <x:v>72202</x:v>
      </x:c>
      <x:c r="F67" t="str">
        <x:v>Power system electricians</x:v>
      </x:c>
      <x:c r="G67" t="str">
        <x:v>trade_power_line</x:v>
      </x:c>
      <x:c r="H67" t="str">
        <x:v>Job vacancies</x:v>
      </x:c>
      <x:c r="I67" s="145"/>
      <x:c r="J67" t="str">
        <x:v>Number</x:v>
      </x:c>
      <x:c r="K67" s="153" t="n">
        <x:v>46112</x:v>
      </x:c>
      <x:c r="L67" t="str">
        <x:v>observed</x:v>
      </x:c>
      <x:c r="M67" t="str">
        <x:v>STATCAN_JVWS_14100444</x:v>
      </x:c>
      <x:c r="N67" t="str">
        <x:v>TR_STATCAN_JVWS_CA_PROVINCES_NOC_1_0_0</x:v>
      </x:c>
      <x:c r="O67" t="str">
        <x:v>status:..|value_missing_or_suppressed</x:v>
      </x:c>
      <x:c r="P67" t="str">
        <x:v>https://www150.statcan.gc.ca/t1/tbl1/en/tv.action?pid=1410044401</x:v>
      </x:c>
      <x:c r="Q67" t="str">
        <x:v>PASS</x:v>
      </x:c>
    </x:row>
    <x:row r="68">
      <x:c r="A68" t="str">
        <x:v>OBS_JVWS_D54E3657D5FF204B1120</x:v>
      </x:c>
      <x:c r="B68" t="str">
        <x:v>PR_13</x:v>
      </x:c>
      <x:c r="C68" t="str">
        <x:v>New Brunswick</x:v>
      </x:c>
      <x:c r="D68" t="str">
        <x:v>2021A000213</x:v>
      </x:c>
      <x:c r="E68" t="str">
        <x:v>72203</x:v>
      </x:c>
      <x:c r="F68" t="str">
        <x:v>Electrical power line and cable workers</x:v>
      </x:c>
      <x:c r="G68" t="str">
        <x:v>trade_power_line</x:v>
      </x:c>
      <x:c r="H68" t="str">
        <x:v>Average offered hourly wage</x:v>
      </x:c>
      <x:c r="I68" s="145"/>
      <x:c r="J68" t="str">
        <x:v>Dollars</x:v>
      </x:c>
      <x:c r="K68" s="153" t="n">
        <x:v>46112</x:v>
      </x:c>
      <x:c r="L68" t="str">
        <x:v>observed</x:v>
      </x:c>
      <x:c r="M68" t="str">
        <x:v>STATCAN_JVWS_14100444</x:v>
      </x:c>
      <x:c r="N68" t="str">
        <x:v>TR_STATCAN_JVWS_CA_PROVINCES_NOC_1_0_0</x:v>
      </x:c>
      <x:c r="O68" t="str">
        <x:v>status:F|value_missing_or_suppressed</x:v>
      </x:c>
      <x:c r="P68" t="str">
        <x:v>https://www150.statcan.gc.ca/t1/tbl1/en/tv.action?pid=1410044401</x:v>
      </x:c>
      <x:c r="Q68" t="str">
        <x:v>PASS</x:v>
      </x:c>
    </x:row>
    <x:row r="69">
      <x:c r="A69" t="str">
        <x:v>OBS_JVWS_586A9919EB972BDAF6EE</x:v>
      </x:c>
      <x:c r="B69" t="str">
        <x:v>PR_13</x:v>
      </x:c>
      <x:c r="C69" t="str">
        <x:v>New Brunswick</x:v>
      </x:c>
      <x:c r="D69" t="str">
        <x:v>2021A000213</x:v>
      </x:c>
      <x:c r="E69" t="str">
        <x:v>72203</x:v>
      </x:c>
      <x:c r="F69" t="str">
        <x:v>Electrical power line and cable workers</x:v>
      </x:c>
      <x:c r="G69" t="str">
        <x:v>trade_power_line</x:v>
      </x:c>
      <x:c r="H69" t="str">
        <x:v>Job vacancies</x:v>
      </x:c>
      <x:c r="I69" s="145"/>
      <x:c r="J69" t="str">
        <x:v>Number</x:v>
      </x:c>
      <x:c r="K69" s="153" t="n">
        <x:v>46112</x:v>
      </x:c>
      <x:c r="L69" t="str">
        <x:v>observed</x:v>
      </x:c>
      <x:c r="M69" t="str">
        <x:v>STATCAN_JVWS_14100444</x:v>
      </x:c>
      <x:c r="N69" t="str">
        <x:v>TR_STATCAN_JVWS_CA_PROVINCES_NOC_1_0_0</x:v>
      </x:c>
      <x:c r="O69" t="str">
        <x:v>status:F|value_missing_or_suppressed</x:v>
      </x:c>
      <x:c r="P69" t="str">
        <x:v>https://www150.statcan.gc.ca/t1/tbl1/en/tv.action?pid=1410044401</x:v>
      </x:c>
      <x:c r="Q69" t="str">
        <x:v>PASS</x:v>
      </x:c>
    </x:row>
    <x:row r="70">
      <x:c r="A70" t="str">
        <x:v>OBS_JVWS_3BA7DDF89B78F963316E</x:v>
      </x:c>
      <x:c r="B70" t="str">
        <x:v>PR_24</x:v>
      </x:c>
      <x:c r="C70" t="str">
        <x:v>Quebec</x:v>
      </x:c>
      <x:c r="D70" t="str">
        <x:v>2021A000224</x:v>
      </x:c>
      <x:c r="E70" t="str">
        <x:v>73100</x:v>
      </x:c>
      <x:c r="F70" t="str">
        <x:v>Concrete finishers</x:v>
      </x:c>
      <x:c r="G70" t="str">
        <x:v>trade_concrete</x:v>
      </x:c>
      <x:c r="H70" t="str">
        <x:v>Average offered hourly wage</x:v>
      </x:c>
      <x:c r="I70" s="145"/>
      <x:c r="J70" t="str">
        <x:v>Dollars</x:v>
      </x:c>
      <x:c r="K70" s="153" t="n">
        <x:v>46112</x:v>
      </x:c>
      <x:c r="L70" t="str">
        <x:v>observed</x:v>
      </x:c>
      <x:c r="M70" t="str">
        <x:v>STATCAN_JVWS_14100444</x:v>
      </x:c>
      <x:c r="N70" t="str">
        <x:v>TR_STATCAN_JVWS_CA_PROVINCES_NOC_1_0_0</x:v>
      </x:c>
      <x:c r="O70" t="str">
        <x:v>status:F|value_missing_or_suppressed</x:v>
      </x:c>
      <x:c r="P70" t="str">
        <x:v>https://www150.statcan.gc.ca/t1/tbl1/en/tv.action?pid=1410044401</x:v>
      </x:c>
      <x:c r="Q70" t="str">
        <x:v>PASS</x:v>
      </x:c>
    </x:row>
    <x:row r="71">
      <x:c r="A71" t="str">
        <x:v>OBS_JVWS_835E0ECD753B3DA371F0</x:v>
      </x:c>
      <x:c r="B71" t="str">
        <x:v>PR_24</x:v>
      </x:c>
      <x:c r="C71" t="str">
        <x:v>Quebec</x:v>
      </x:c>
      <x:c r="D71" t="str">
        <x:v>2021A000224</x:v>
      </x:c>
      <x:c r="E71" t="str">
        <x:v>73100</x:v>
      </x:c>
      <x:c r="F71" t="str">
        <x:v>Concrete finishers</x:v>
      </x:c>
      <x:c r="G71" t="str">
        <x:v>trade_concrete</x:v>
      </x:c>
      <x:c r="H71" t="str">
        <x:v>Job vacancies</x:v>
      </x:c>
      <x:c r="I71" s="145"/>
      <x:c r="J71" t="str">
        <x:v>Number</x:v>
      </x:c>
      <x:c r="K71" s="153" t="n">
        <x:v>46112</x:v>
      </x:c>
      <x:c r="L71" t="str">
        <x:v>observed</x:v>
      </x:c>
      <x:c r="M71" t="str">
        <x:v>STATCAN_JVWS_14100444</x:v>
      </x:c>
      <x:c r="N71" t="str">
        <x:v>TR_STATCAN_JVWS_CA_PROVINCES_NOC_1_0_0</x:v>
      </x:c>
      <x:c r="O71" t="str">
        <x:v>status:F|value_missing_or_suppressed</x:v>
      </x:c>
      <x:c r="P71" t="str">
        <x:v>https://www150.statcan.gc.ca/t1/tbl1/en/tv.action?pid=1410044401</x:v>
      </x:c>
      <x:c r="Q71" t="str">
        <x:v>PASS</x:v>
      </x:c>
    </x:row>
    <x:row r="72">
      <x:c r="A72" t="str">
        <x:v>OBS_JVWS_F8543CB4B68C2457D4E5</x:v>
      </x:c>
      <x:c r="B72" t="str">
        <x:v>PR_24</x:v>
      </x:c>
      <x:c r="C72" t="str">
        <x:v>Quebec</x:v>
      </x:c>
      <x:c r="D72" t="str">
        <x:v>2021A000224</x:v>
      </x:c>
      <x:c r="E72" t="str">
        <x:v>72200</x:v>
      </x:c>
      <x:c r="F72" t="str">
        <x:v>Electricians (except industrial and power system)</x:v>
      </x:c>
      <x:c r="G72" t="str">
        <x:v>trade_electricians</x:v>
      </x:c>
      <x:c r="H72" t="str">
        <x:v>Average offered hourly wage</x:v>
      </x:c>
      <x:c r="I72" s="145" t="n">
        <x:v>40.1</x:v>
      </x:c>
      <x:c r="J72" t="str">
        <x:v>Dollars</x:v>
      </x:c>
      <x:c r="K72" s="153" t="n">
        <x:v>46112</x:v>
      </x:c>
      <x:c r="L72" t="str">
        <x:v>observed</x:v>
      </x:c>
      <x:c r="M72" t="str">
        <x:v>STATCAN_JVWS_14100444</x:v>
      </x:c>
      <x:c r="N72" t="str">
        <x:v>TR_STATCAN_JVWS_CA_PROVINCES_NOC_1_0_0</x:v>
      </x:c>
      <x:c r="O72" t="str">
        <x:v>status:B</x:v>
      </x:c>
      <x:c r="P72" t="str">
        <x:v>https://www150.statcan.gc.ca/t1/tbl1/en/tv.action?pid=1410044401</x:v>
      </x:c>
      <x:c r="Q72" t="str">
        <x:v>PASS</x:v>
      </x:c>
    </x:row>
    <x:row r="73">
      <x:c r="A73" t="str">
        <x:v>OBS_JVWS_8CCE7DD4D69FD1F4ED28</x:v>
      </x:c>
      <x:c r="B73" t="str">
        <x:v>PR_24</x:v>
      </x:c>
      <x:c r="C73" t="str">
        <x:v>Quebec</x:v>
      </x:c>
      <x:c r="D73" t="str">
        <x:v>2021A000224</x:v>
      </x:c>
      <x:c r="E73" t="str">
        <x:v>72200</x:v>
      </x:c>
      <x:c r="F73" t="str">
        <x:v>Electricians (except industrial and power system)</x:v>
      </x:c>
      <x:c r="G73" t="str">
        <x:v>trade_electricians</x:v>
      </x:c>
      <x:c r="H73" t="str">
        <x:v>Job vacancies</x:v>
      </x:c>
      <x:c r="I73" s="145" t="n">
        <x:v>645</x:v>
      </x:c>
      <x:c r="J73" t="str">
        <x:v>Number</x:v>
      </x:c>
      <x:c r="K73" s="153" t="n">
        <x:v>46112</x:v>
      </x:c>
      <x:c r="L73" t="str">
        <x:v>observed</x:v>
      </x:c>
      <x:c r="M73" t="str">
        <x:v>STATCAN_JVWS_14100444</x:v>
      </x:c>
      <x:c r="N73" t="str">
        <x:v>TR_STATCAN_JVWS_CA_PROVINCES_NOC_1_0_0</x:v>
      </x:c>
      <x:c r="O73" t="str">
        <x:v>status:D</x:v>
      </x:c>
      <x:c r="P73" t="str">
        <x:v>https://www150.statcan.gc.ca/t1/tbl1/en/tv.action?pid=1410044401</x:v>
      </x:c>
      <x:c r="Q73" t="str">
        <x:v>PASS</x:v>
      </x:c>
    </x:row>
    <x:row r="74">
      <x:c r="A74" t="str">
        <x:v>OBS_JVWS_1587938CC089B764791D</x:v>
      </x:c>
      <x:c r="B74" t="str">
        <x:v>PR_24</x:v>
      </x:c>
      <x:c r="C74" t="str">
        <x:v>Quebec</x:v>
      </x:c>
      <x:c r="D74" t="str">
        <x:v>2021A000224</x:v>
      </x:c>
      <x:c r="E74" t="str">
        <x:v>72201</x:v>
      </x:c>
      <x:c r="F74" t="str">
        <x:v>Industrial electricians</x:v>
      </x:c>
      <x:c r="G74" t="str">
        <x:v>trade_electricians</x:v>
      </x:c>
      <x:c r="H74" t="str">
        <x:v>Average offered hourly wage</x:v>
      </x:c>
      <x:c r="I74" s="145" t="n">
        <x:v>36.55</x:v>
      </x:c>
      <x:c r="J74" t="str">
        <x:v>Dollars</x:v>
      </x:c>
      <x:c r="K74" s="153" t="n">
        <x:v>46112</x:v>
      </x:c>
      <x:c r="L74" t="str">
        <x:v>observed</x:v>
      </x:c>
      <x:c r="M74" t="str">
        <x:v>STATCAN_JVWS_14100444</x:v>
      </x:c>
      <x:c r="N74" t="str">
        <x:v>TR_STATCAN_JVWS_CA_PROVINCES_NOC_1_0_0</x:v>
      </x:c>
      <x:c r="O74" t="str">
        <x:v>status:A</x:v>
      </x:c>
      <x:c r="P74" t="str">
        <x:v>https://www150.statcan.gc.ca/t1/tbl1/en/tv.action?pid=1410044401</x:v>
      </x:c>
      <x:c r="Q74" t="str">
        <x:v>PASS</x:v>
      </x:c>
    </x:row>
    <x:row r="75">
      <x:c r="A75" t="str">
        <x:v>OBS_JVWS_0CB0FD09DE5EB727BFE2</x:v>
      </x:c>
      <x:c r="B75" t="str">
        <x:v>PR_24</x:v>
      </x:c>
      <x:c r="C75" t="str">
        <x:v>Quebec</x:v>
      </x:c>
      <x:c r="D75" t="str">
        <x:v>2021A000224</x:v>
      </x:c>
      <x:c r="E75" t="str">
        <x:v>72201</x:v>
      </x:c>
      <x:c r="F75" t="str">
        <x:v>Industrial electricians</x:v>
      </x:c>
      <x:c r="G75" t="str">
        <x:v>trade_electricians</x:v>
      </x:c>
      <x:c r="H75" t="str">
        <x:v>Job vacancies</x:v>
      </x:c>
      <x:c r="I75" s="145" t="n">
        <x:v>100</x:v>
      </x:c>
      <x:c r="J75" t="str">
        <x:v>Number</x:v>
      </x:c>
      <x:c r="K75" s="153" t="n">
        <x:v>46112</x:v>
      </x:c>
      <x:c r="L75" t="str">
        <x:v>observed</x:v>
      </x:c>
      <x:c r="M75" t="str">
        <x:v>STATCAN_JVWS_14100444</x:v>
      </x:c>
      <x:c r="N75" t="str">
        <x:v>TR_STATCAN_JVWS_CA_PROVINCES_NOC_1_0_0</x:v>
      </x:c>
      <x:c r="O75" t="str">
        <x:v>status:C</x:v>
      </x:c>
      <x:c r="P75" t="str">
        <x:v>https://www150.statcan.gc.ca/t1/tbl1/en/tv.action?pid=1410044401</x:v>
      </x:c>
      <x:c r="Q75" t="str">
        <x:v>PASS</x:v>
      </x:c>
    </x:row>
    <x:row r="76">
      <x:c r="A76" t="str">
        <x:v>OBS_JVWS_3FB1EBF15E900F97AD48</x:v>
      </x:c>
      <x:c r="B76" t="str">
        <x:v>PR_24</x:v>
      </x:c>
      <x:c r="C76" t="str">
        <x:v>Quebec</x:v>
      </x:c>
      <x:c r="D76" t="str">
        <x:v>2021A000224</x:v>
      </x:c>
      <x:c r="E76" t="str">
        <x:v>72402</x:v>
      </x:c>
      <x:c r="F76" t="str">
        <x:v>Heating, refrigeration and air conditioning mechanics</x:v>
      </x:c>
      <x:c r="G76" t="str">
        <x:v>trade_hvac</x:v>
      </x:c>
      <x:c r="H76" t="str">
        <x:v>Average offered hourly wage</x:v>
      </x:c>
      <x:c r="I76" s="145" t="n">
        <x:v>37.65</x:v>
      </x:c>
      <x:c r="J76" t="str">
        <x:v>Dollars</x:v>
      </x:c>
      <x:c r="K76" s="153" t="n">
        <x:v>46112</x:v>
      </x:c>
      <x:c r="L76" t="str">
        <x:v>observed</x:v>
      </x:c>
      <x:c r="M76" t="str">
        <x:v>STATCAN_JVWS_14100444</x:v>
      </x:c>
      <x:c r="N76" t="str">
        <x:v>TR_STATCAN_JVWS_CA_PROVINCES_NOC_1_0_0</x:v>
      </x:c>
      <x:c r="O76" t="str">
        <x:v>status:B</x:v>
      </x:c>
      <x:c r="P76" t="str">
        <x:v>https://www150.statcan.gc.ca/t1/tbl1/en/tv.action?pid=1410044401</x:v>
      </x:c>
      <x:c r="Q76" t="str">
        <x:v>PASS</x:v>
      </x:c>
    </x:row>
    <x:row r="77">
      <x:c r="A77" t="str">
        <x:v>OBS_JVWS_2D7362E68475DCE715D8</x:v>
      </x:c>
      <x:c r="B77" t="str">
        <x:v>PR_24</x:v>
      </x:c>
      <x:c r="C77" t="str">
        <x:v>Quebec</x:v>
      </x:c>
      <x:c r="D77" t="str">
        <x:v>2021A000224</x:v>
      </x:c>
      <x:c r="E77" t="str">
        <x:v>72402</x:v>
      </x:c>
      <x:c r="F77" t="str">
        <x:v>Heating, refrigeration and air conditioning mechanics</x:v>
      </x:c>
      <x:c r="G77" t="str">
        <x:v>trade_hvac</x:v>
      </x:c>
      <x:c r="H77" t="str">
        <x:v>Job vacancies</x:v>
      </x:c>
      <x:c r="I77" s="145" t="n">
        <x:v>145</x:v>
      </x:c>
      <x:c r="J77" t="str">
        <x:v>Number</x:v>
      </x:c>
      <x:c r="K77" s="153" t="n">
        <x:v>46112</x:v>
      </x:c>
      <x:c r="L77" t="str">
        <x:v>observed</x:v>
      </x:c>
      <x:c r="M77" t="str">
        <x:v>STATCAN_JVWS_14100444</x:v>
      </x:c>
      <x:c r="N77" t="str">
        <x:v>TR_STATCAN_JVWS_CA_PROVINCES_NOC_1_0_0</x:v>
      </x:c>
      <x:c r="O77" t="str">
        <x:v>status:E</x:v>
      </x:c>
      <x:c r="P77" t="str">
        <x:v>https://www150.statcan.gc.ca/t1/tbl1/en/tv.action?pid=1410044401</x:v>
      </x:c>
      <x:c r="Q77" t="str">
        <x:v>PASS</x:v>
      </x:c>
    </x:row>
    <x:row r="78">
      <x:c r="A78" t="str">
        <x:v>OBS_JVWS_3835DE65A460AA36ACE8</x:v>
      </x:c>
      <x:c r="B78" t="str">
        <x:v>PR_24</x:v>
      </x:c>
      <x:c r="C78" t="str">
        <x:v>Quebec</x:v>
      </x:c>
      <x:c r="D78" t="str">
        <x:v>2021A000224</x:v>
      </x:c>
      <x:c r="E78" t="str">
        <x:v>72202</x:v>
      </x:c>
      <x:c r="F78" t="str">
        <x:v>Power system electricians</x:v>
      </x:c>
      <x:c r="G78" t="str">
        <x:v>trade_power_line</x:v>
      </x:c>
      <x:c r="H78" t="str">
        <x:v>Average offered hourly wage</x:v>
      </x:c>
      <x:c r="I78" s="145" t="n">
        <x:v>36.75</x:v>
      </x:c>
      <x:c r="J78" t="str">
        <x:v>Dollars</x:v>
      </x:c>
      <x:c r="K78" s="153" t="n">
        <x:v>46112</x:v>
      </x:c>
      <x:c r="L78" t="str">
        <x:v>observed</x:v>
      </x:c>
      <x:c r="M78" t="str">
        <x:v>STATCAN_JVWS_14100444</x:v>
      </x:c>
      <x:c r="N78" t="str">
        <x:v>TR_STATCAN_JVWS_CA_PROVINCES_NOC_1_0_0</x:v>
      </x:c>
      <x:c r="O78" t="str">
        <x:v>status:A</x:v>
      </x:c>
      <x:c r="P78" t="str">
        <x:v>https://www150.statcan.gc.ca/t1/tbl1/en/tv.action?pid=1410044401</x:v>
      </x:c>
      <x:c r="Q78" t="str">
        <x:v>PASS</x:v>
      </x:c>
    </x:row>
    <x:row r="79">
      <x:c r="A79" t="str">
        <x:v>OBS_JVWS_B0EB4CB58635B7997069</x:v>
      </x:c>
      <x:c r="B79" t="str">
        <x:v>PR_24</x:v>
      </x:c>
      <x:c r="C79" t="str">
        <x:v>Quebec</x:v>
      </x:c>
      <x:c r="D79" t="str">
        <x:v>2021A000224</x:v>
      </x:c>
      <x:c r="E79" t="str">
        <x:v>72202</x:v>
      </x:c>
      <x:c r="F79" t="str">
        <x:v>Power system electricians</x:v>
      </x:c>
      <x:c r="G79" t="str">
        <x:v>trade_power_line</x:v>
      </x:c>
      <x:c r="H79" t="str">
        <x:v>Job vacancies</x:v>
      </x:c>
      <x:c r="I79" s="145" t="n">
        <x:v>170</x:v>
      </x:c>
      <x:c r="J79" t="str">
        <x:v>Number</x:v>
      </x:c>
      <x:c r="K79" s="153" t="n">
        <x:v>46112</x:v>
      </x:c>
      <x:c r="L79" t="str">
        <x:v>observed</x:v>
      </x:c>
      <x:c r="M79" t="str">
        <x:v>STATCAN_JVWS_14100444</x:v>
      </x:c>
      <x:c r="N79" t="str">
        <x:v>TR_STATCAN_JVWS_CA_PROVINCES_NOC_1_0_0</x:v>
      </x:c>
      <x:c r="O79" t="str">
        <x:v>status:B</x:v>
      </x:c>
      <x:c r="P79" t="str">
        <x:v>https://www150.statcan.gc.ca/t1/tbl1/en/tv.action?pid=1410044401</x:v>
      </x:c>
      <x:c r="Q79" t="str">
        <x:v>PASS</x:v>
      </x:c>
    </x:row>
    <x:row r="80">
      <x:c r="A80" t="str">
        <x:v>OBS_JVWS_4CA0C79088ED8607346D</x:v>
      </x:c>
      <x:c r="B80" t="str">
        <x:v>PR_24</x:v>
      </x:c>
      <x:c r="C80" t="str">
        <x:v>Quebec</x:v>
      </x:c>
      <x:c r="D80" t="str">
        <x:v>2021A000224</x:v>
      </x:c>
      <x:c r="E80" t="str">
        <x:v>72203</x:v>
      </x:c>
      <x:c r="F80" t="str">
        <x:v>Electrical power line and cable workers</x:v>
      </x:c>
      <x:c r="G80" t="str">
        <x:v>trade_power_line</x:v>
      </x:c>
      <x:c r="H80" t="str">
        <x:v>Average offered hourly wage</x:v>
      </x:c>
      <x:c r="I80" s="145" t="n">
        <x:v>48.45</x:v>
      </x:c>
      <x:c r="J80" t="str">
        <x:v>Dollars</x:v>
      </x:c>
      <x:c r="K80" s="153" t="n">
        <x:v>46112</x:v>
      </x:c>
      <x:c r="L80" t="str">
        <x:v>observed</x:v>
      </x:c>
      <x:c r="M80" t="str">
        <x:v>STATCAN_JVWS_14100444</x:v>
      </x:c>
      <x:c r="N80" t="str">
        <x:v>TR_STATCAN_JVWS_CA_PROVINCES_NOC_1_0_0</x:v>
      </x:c>
      <x:c r="O80" t="str">
        <x:v>status:D</x:v>
      </x:c>
      <x:c r="P80" t="str">
        <x:v>https://www150.statcan.gc.ca/t1/tbl1/en/tv.action?pid=1410044401</x:v>
      </x:c>
      <x:c r="Q80" t="str">
        <x:v>PASS</x:v>
      </x:c>
    </x:row>
    <x:row r="81">
      <x:c r="A81" t="str">
        <x:v>OBS_JVWS_D5B4866CE032AF7148C2</x:v>
      </x:c>
      <x:c r="B81" t="str">
        <x:v>PR_24</x:v>
      </x:c>
      <x:c r="C81" t="str">
        <x:v>Quebec</x:v>
      </x:c>
      <x:c r="D81" t="str">
        <x:v>2021A000224</x:v>
      </x:c>
      <x:c r="E81" t="str">
        <x:v>72203</x:v>
      </x:c>
      <x:c r="F81" t="str">
        <x:v>Electrical power line and cable workers</x:v>
      </x:c>
      <x:c r="G81" t="str">
        <x:v>trade_power_line</x:v>
      </x:c>
      <x:c r="H81" t="str">
        <x:v>Job vacancies</x:v>
      </x:c>
      <x:c r="I81" s="145" t="n">
        <x:v>40</x:v>
      </x:c>
      <x:c r="J81" t="str">
        <x:v>Number</x:v>
      </x:c>
      <x:c r="K81" s="153" t="n">
        <x:v>46112</x:v>
      </x:c>
      <x:c r="L81" t="str">
        <x:v>observed</x:v>
      </x:c>
      <x:c r="M81" t="str">
        <x:v>STATCAN_JVWS_14100444</x:v>
      </x:c>
      <x:c r="N81" t="str">
        <x:v>TR_STATCAN_JVWS_CA_PROVINCES_NOC_1_0_0</x:v>
      </x:c>
      <x:c r="O81" t="str">
        <x:v>status:E</x:v>
      </x:c>
      <x:c r="P81" t="str">
        <x:v>https://www150.statcan.gc.ca/t1/tbl1/en/tv.action?pid=1410044401</x:v>
      </x:c>
      <x:c r="Q81" t="str">
        <x:v>PASS</x:v>
      </x:c>
    </x:row>
    <x:row r="82">
      <x:c r="A82" t="str">
        <x:v>OBS_JVWS_722251079CB8BEE0FD4E</x:v>
      </x:c>
      <x:c r="B82" t="str">
        <x:v>PR_35</x:v>
      </x:c>
      <x:c r="C82" t="str">
        <x:v>Ontario</x:v>
      </x:c>
      <x:c r="D82" t="str">
        <x:v>2021A000235</x:v>
      </x:c>
      <x:c r="E82" t="str">
        <x:v>73100</x:v>
      </x:c>
      <x:c r="F82" t="str">
        <x:v>Concrete finishers</x:v>
      </x:c>
      <x:c r="G82" t="str">
        <x:v>trade_concrete</x:v>
      </x:c>
      <x:c r="H82" t="str">
        <x:v>Average offered hourly wage</x:v>
      </x:c>
      <x:c r="I82" s="145" t="n">
        <x:v>37.15</x:v>
      </x:c>
      <x:c r="J82" t="str">
        <x:v>Dollars</x:v>
      </x:c>
      <x:c r="K82" s="153" t="n">
        <x:v>46112</x:v>
      </x:c>
      <x:c r="L82" t="str">
        <x:v>observed</x:v>
      </x:c>
      <x:c r="M82" t="str">
        <x:v>STATCAN_JVWS_14100444</x:v>
      </x:c>
      <x:c r="N82" t="str">
        <x:v>TR_STATCAN_JVWS_CA_PROVINCES_NOC_1_0_0</x:v>
      </x:c>
      <x:c r="O82" t="str">
        <x:v>status:E</x:v>
      </x:c>
      <x:c r="P82" t="str">
        <x:v>https://www150.statcan.gc.ca/t1/tbl1/en/tv.action?pid=1410044401</x:v>
      </x:c>
      <x:c r="Q82" t="str">
        <x:v>PASS</x:v>
      </x:c>
    </x:row>
    <x:row r="83">
      <x:c r="A83" t="str">
        <x:v>OBS_JVWS_87035D2D2F0AE81C9FB4</x:v>
      </x:c>
      <x:c r="B83" t="str">
        <x:v>PR_35</x:v>
      </x:c>
      <x:c r="C83" t="str">
        <x:v>Ontario</x:v>
      </x:c>
      <x:c r="D83" t="str">
        <x:v>2021A000235</x:v>
      </x:c>
      <x:c r="E83" t="str">
        <x:v>73100</x:v>
      </x:c>
      <x:c r="F83" t="str">
        <x:v>Concrete finishers</x:v>
      </x:c>
      <x:c r="G83" t="str">
        <x:v>trade_concrete</x:v>
      </x:c>
      <x:c r="H83" t="str">
        <x:v>Job vacancies</x:v>
      </x:c>
      <x:c r="I83" s="145"/>
      <x:c r="J83" t="str">
        <x:v>Number</x:v>
      </x:c>
      <x:c r="K83" s="153" t="n">
        <x:v>46112</x:v>
      </x:c>
      <x:c r="L83" t="str">
        <x:v>observed</x:v>
      </x:c>
      <x:c r="M83" t="str">
        <x:v>STATCAN_JVWS_14100444</x:v>
      </x:c>
      <x:c r="N83" t="str">
        <x:v>TR_STATCAN_JVWS_CA_PROVINCES_NOC_1_0_0</x:v>
      </x:c>
      <x:c r="O83" t="str">
        <x:v>status:F|value_missing_or_suppressed</x:v>
      </x:c>
      <x:c r="P83" t="str">
        <x:v>https://www150.statcan.gc.ca/t1/tbl1/en/tv.action?pid=1410044401</x:v>
      </x:c>
      <x:c r="Q83" t="str">
        <x:v>PASS</x:v>
      </x:c>
    </x:row>
    <x:row r="84">
      <x:c r="A84" t="str">
        <x:v>OBS_JVWS_CC4164DDD5CC2B739B73</x:v>
      </x:c>
      <x:c r="B84" t="str">
        <x:v>PR_35</x:v>
      </x:c>
      <x:c r="C84" t="str">
        <x:v>Ontario</x:v>
      </x:c>
      <x:c r="D84" t="str">
        <x:v>2021A000235</x:v>
      </x:c>
      <x:c r="E84" t="str">
        <x:v>72200</x:v>
      </x:c>
      <x:c r="F84" t="str">
        <x:v>Electricians (except industrial and power system)</x:v>
      </x:c>
      <x:c r="G84" t="str">
        <x:v>trade_electricians</x:v>
      </x:c>
      <x:c r="H84" t="str">
        <x:v>Average offered hourly wage</x:v>
      </x:c>
      <x:c r="I84" s="145" t="n">
        <x:v>34.1</x:v>
      </x:c>
      <x:c r="J84" t="str">
        <x:v>Dollars</x:v>
      </x:c>
      <x:c r="K84" s="153" t="n">
        <x:v>46112</x:v>
      </x:c>
      <x:c r="L84" t="str">
        <x:v>observed</x:v>
      </x:c>
      <x:c r="M84" t="str">
        <x:v>STATCAN_JVWS_14100444</x:v>
      </x:c>
      <x:c r="N84" t="str">
        <x:v>TR_STATCAN_JVWS_CA_PROVINCES_NOC_1_0_0</x:v>
      </x:c>
      <x:c r="O84" t="str">
        <x:v>status:B</x:v>
      </x:c>
      <x:c r="P84" t="str">
        <x:v>https://www150.statcan.gc.ca/t1/tbl1/en/tv.action?pid=1410044401</x:v>
      </x:c>
      <x:c r="Q84" t="str">
        <x:v>PASS</x:v>
      </x:c>
    </x:row>
    <x:row r="85">
      <x:c r="A85" t="str">
        <x:v>OBS_JVWS_5B5CCB8909C7FCFB99D1</x:v>
      </x:c>
      <x:c r="B85" t="str">
        <x:v>PR_35</x:v>
      </x:c>
      <x:c r="C85" t="str">
        <x:v>Ontario</x:v>
      </x:c>
      <x:c r="D85" t="str">
        <x:v>2021A000235</x:v>
      </x:c>
      <x:c r="E85" t="str">
        <x:v>72200</x:v>
      </x:c>
      <x:c r="F85" t="str">
        <x:v>Electricians (except industrial and power system)</x:v>
      </x:c>
      <x:c r="G85" t="str">
        <x:v>trade_electricians</x:v>
      </x:c>
      <x:c r="H85" t="str">
        <x:v>Job vacancies</x:v>
      </x:c>
      <x:c r="I85" s="145" t="n">
        <x:v>730</x:v>
      </x:c>
      <x:c r="J85" t="str">
        <x:v>Number</x:v>
      </x:c>
      <x:c r="K85" s="153" t="n">
        <x:v>46112</x:v>
      </x:c>
      <x:c r="L85" t="str">
        <x:v>observed</x:v>
      </x:c>
      <x:c r="M85" t="str">
        <x:v>STATCAN_JVWS_14100444</x:v>
      </x:c>
      <x:c r="N85" t="str">
        <x:v>TR_STATCAN_JVWS_CA_PROVINCES_NOC_1_0_0</x:v>
      </x:c>
      <x:c r="O85" t="str">
        <x:v>status:E</x:v>
      </x:c>
      <x:c r="P85" t="str">
        <x:v>https://www150.statcan.gc.ca/t1/tbl1/en/tv.action?pid=1410044401</x:v>
      </x:c>
      <x:c r="Q85" t="str">
        <x:v>PASS</x:v>
      </x:c>
    </x:row>
    <x:row r="86">
      <x:c r="A86" t="str">
        <x:v>OBS_JVWS_30E9E2FBE88032E65701</x:v>
      </x:c>
      <x:c r="B86" t="str">
        <x:v>PR_35</x:v>
      </x:c>
      <x:c r="C86" t="str">
        <x:v>Ontario</x:v>
      </x:c>
      <x:c r="D86" t="str">
        <x:v>2021A000235</x:v>
      </x:c>
      <x:c r="E86" t="str">
        <x:v>72201</x:v>
      </x:c>
      <x:c r="F86" t="str">
        <x:v>Industrial electricians</x:v>
      </x:c>
      <x:c r="G86" t="str">
        <x:v>trade_electricians</x:v>
      </x:c>
      <x:c r="H86" t="str">
        <x:v>Average offered hourly wage</x:v>
      </x:c>
      <x:c r="I86" s="145" t="n">
        <x:v>42.1</x:v>
      </x:c>
      <x:c r="J86" t="str">
        <x:v>Dollars</x:v>
      </x:c>
      <x:c r="K86" s="153" t="n">
        <x:v>46112</x:v>
      </x:c>
      <x:c r="L86" t="str">
        <x:v>observed</x:v>
      </x:c>
      <x:c r="M86" t="str">
        <x:v>STATCAN_JVWS_14100444</x:v>
      </x:c>
      <x:c r="N86" t="str">
        <x:v>TR_STATCAN_JVWS_CA_PROVINCES_NOC_1_0_0</x:v>
      </x:c>
      <x:c r="O86" t="str">
        <x:v>status:A</x:v>
      </x:c>
      <x:c r="P86" t="str">
        <x:v>https://www150.statcan.gc.ca/t1/tbl1/en/tv.action?pid=1410044401</x:v>
      </x:c>
      <x:c r="Q86" t="str">
        <x:v>PASS</x:v>
      </x:c>
    </x:row>
    <x:row r="87">
      <x:c r="A87" t="str">
        <x:v>OBS_JVWS_C431B0D92A21D3B5257C</x:v>
      </x:c>
      <x:c r="B87" t="str">
        <x:v>PR_35</x:v>
      </x:c>
      <x:c r="C87" t="str">
        <x:v>Ontario</x:v>
      </x:c>
      <x:c r="D87" t="str">
        <x:v>2021A000235</x:v>
      </x:c>
      <x:c r="E87" t="str">
        <x:v>72201</x:v>
      </x:c>
      <x:c r="F87" t="str">
        <x:v>Industrial electricians</x:v>
      </x:c>
      <x:c r="G87" t="str">
        <x:v>trade_electricians</x:v>
      </x:c>
      <x:c r="H87" t="str">
        <x:v>Job vacancies</x:v>
      </x:c>
      <x:c r="I87" s="145" t="n">
        <x:v>290</x:v>
      </x:c>
      <x:c r="J87" t="str">
        <x:v>Number</x:v>
      </x:c>
      <x:c r="K87" s="153" t="n">
        <x:v>46112</x:v>
      </x:c>
      <x:c r="L87" t="str">
        <x:v>observed</x:v>
      </x:c>
      <x:c r="M87" t="str">
        <x:v>STATCAN_JVWS_14100444</x:v>
      </x:c>
      <x:c r="N87" t="str">
        <x:v>TR_STATCAN_JVWS_CA_PROVINCES_NOC_1_0_0</x:v>
      </x:c>
      <x:c r="O87" t="str">
        <x:v>status:C</x:v>
      </x:c>
      <x:c r="P87" t="str">
        <x:v>https://www150.statcan.gc.ca/t1/tbl1/en/tv.action?pid=1410044401</x:v>
      </x:c>
      <x:c r="Q87" t="str">
        <x:v>PASS</x:v>
      </x:c>
    </x:row>
    <x:row r="88">
      <x:c r="A88" t="str">
        <x:v>OBS_JVWS_D3030BC7FAC619DA0670</x:v>
      </x:c>
      <x:c r="B88" t="str">
        <x:v>PR_35</x:v>
      </x:c>
      <x:c r="C88" t="str">
        <x:v>Ontario</x:v>
      </x:c>
      <x:c r="D88" t="str">
        <x:v>2021A000235</x:v>
      </x:c>
      <x:c r="E88" t="str">
        <x:v>72402</x:v>
      </x:c>
      <x:c r="F88" t="str">
        <x:v>Heating, refrigeration and air conditioning mechanics</x:v>
      </x:c>
      <x:c r="G88" t="str">
        <x:v>trade_hvac</x:v>
      </x:c>
      <x:c r="H88" t="str">
        <x:v>Average offered hourly wage</x:v>
      </x:c>
      <x:c r="I88" s="145" t="n">
        <x:v>35.9</x:v>
      </x:c>
      <x:c r="J88" t="str">
        <x:v>Dollars</x:v>
      </x:c>
      <x:c r="K88" s="153" t="n">
        <x:v>46112</x:v>
      </x:c>
      <x:c r="L88" t="str">
        <x:v>observed</x:v>
      </x:c>
      <x:c r="M88" t="str">
        <x:v>STATCAN_JVWS_14100444</x:v>
      </x:c>
      <x:c r="N88" t="str">
        <x:v>TR_STATCAN_JVWS_CA_PROVINCES_NOC_1_0_0</x:v>
      </x:c>
      <x:c r="O88" t="str">
        <x:v>status:B</x:v>
      </x:c>
      <x:c r="P88" t="str">
        <x:v>https://www150.statcan.gc.ca/t1/tbl1/en/tv.action?pid=1410044401</x:v>
      </x:c>
      <x:c r="Q88" t="str">
        <x:v>PASS</x:v>
      </x:c>
    </x:row>
    <x:row r="89">
      <x:c r="A89" t="str">
        <x:v>OBS_JVWS_0DCA7D646014C48CD76B</x:v>
      </x:c>
      <x:c r="B89" t="str">
        <x:v>PR_35</x:v>
      </x:c>
      <x:c r="C89" t="str">
        <x:v>Ontario</x:v>
      </x:c>
      <x:c r="D89" t="str">
        <x:v>2021A000235</x:v>
      </x:c>
      <x:c r="E89" t="str">
        <x:v>72402</x:v>
      </x:c>
      <x:c r="F89" t="str">
        <x:v>Heating, refrigeration and air conditioning mechanics</x:v>
      </x:c>
      <x:c r="G89" t="str">
        <x:v>trade_hvac</x:v>
      </x:c>
      <x:c r="H89" t="str">
        <x:v>Job vacancies</x:v>
      </x:c>
      <x:c r="I89" s="145" t="n">
        <x:v>270</x:v>
      </x:c>
      <x:c r="J89" t="str">
        <x:v>Number</x:v>
      </x:c>
      <x:c r="K89" s="153" t="n">
        <x:v>46112</x:v>
      </x:c>
      <x:c r="L89" t="str">
        <x:v>observed</x:v>
      </x:c>
      <x:c r="M89" t="str">
        <x:v>STATCAN_JVWS_14100444</x:v>
      </x:c>
      <x:c r="N89" t="str">
        <x:v>TR_STATCAN_JVWS_CA_PROVINCES_NOC_1_0_0</x:v>
      </x:c>
      <x:c r="O89" t="str">
        <x:v>status:D</x:v>
      </x:c>
      <x:c r="P89" t="str">
        <x:v>https://www150.statcan.gc.ca/t1/tbl1/en/tv.action?pid=1410044401</x:v>
      </x:c>
      <x:c r="Q89" t="str">
        <x:v>PASS</x:v>
      </x:c>
    </x:row>
    <x:row r="90">
      <x:c r="A90" t="str">
        <x:v>OBS_JVWS_6AEF6C124EE06B40C6E4</x:v>
      </x:c>
      <x:c r="B90" t="str">
        <x:v>PR_35</x:v>
      </x:c>
      <x:c r="C90" t="str">
        <x:v>Ontario</x:v>
      </x:c>
      <x:c r="D90" t="str">
        <x:v>2021A000235</x:v>
      </x:c>
      <x:c r="E90" t="str">
        <x:v>72202</x:v>
      </x:c>
      <x:c r="F90" t="str">
        <x:v>Power system electricians</x:v>
      </x:c>
      <x:c r="G90" t="str">
        <x:v>trade_power_line</x:v>
      </x:c>
      <x:c r="H90" t="str">
        <x:v>Average offered hourly wage</x:v>
      </x:c>
      <x:c r="I90" s="145"/>
      <x:c r="J90" t="str">
        <x:v>Dollars</x:v>
      </x:c>
      <x:c r="K90" s="153" t="n">
        <x:v>46112</x:v>
      </x:c>
      <x:c r="L90" t="str">
        <x:v>observed</x:v>
      </x:c>
      <x:c r="M90" t="str">
        <x:v>STATCAN_JVWS_14100444</x:v>
      </x:c>
      <x:c r="N90" t="str">
        <x:v>TR_STATCAN_JVWS_CA_PROVINCES_NOC_1_0_0</x:v>
      </x:c>
      <x:c r="O90" t="str">
        <x:v>status:F|value_missing_or_suppressed</x:v>
      </x:c>
      <x:c r="P90" t="str">
        <x:v>https://www150.statcan.gc.ca/t1/tbl1/en/tv.action?pid=1410044401</x:v>
      </x:c>
      <x:c r="Q90" t="str">
        <x:v>PASS</x:v>
      </x:c>
    </x:row>
    <x:row r="91">
      <x:c r="A91" t="str">
        <x:v>OBS_JVWS_6D3395E00C3268EA0B00</x:v>
      </x:c>
      <x:c r="B91" t="str">
        <x:v>PR_35</x:v>
      </x:c>
      <x:c r="C91" t="str">
        <x:v>Ontario</x:v>
      </x:c>
      <x:c r="D91" t="str">
        <x:v>2021A000235</x:v>
      </x:c>
      <x:c r="E91" t="str">
        <x:v>72202</x:v>
      </x:c>
      <x:c r="F91" t="str">
        <x:v>Power system electricians</x:v>
      </x:c>
      <x:c r="G91" t="str">
        <x:v>trade_power_line</x:v>
      </x:c>
      <x:c r="H91" t="str">
        <x:v>Job vacancies</x:v>
      </x:c>
      <x:c r="I91" s="145"/>
      <x:c r="J91" t="str">
        <x:v>Number</x:v>
      </x:c>
      <x:c r="K91" s="153" t="n">
        <x:v>46112</x:v>
      </x:c>
      <x:c r="L91" t="str">
        <x:v>observed</x:v>
      </x:c>
      <x:c r="M91" t="str">
        <x:v>STATCAN_JVWS_14100444</x:v>
      </x:c>
      <x:c r="N91" t="str">
        <x:v>TR_STATCAN_JVWS_CA_PROVINCES_NOC_1_0_0</x:v>
      </x:c>
      <x:c r="O91" t="str">
        <x:v>status:F|value_missing_or_suppressed</x:v>
      </x:c>
      <x:c r="P91" t="str">
        <x:v>https://www150.statcan.gc.ca/t1/tbl1/en/tv.action?pid=1410044401</x:v>
      </x:c>
      <x:c r="Q91" t="str">
        <x:v>PASS</x:v>
      </x:c>
    </x:row>
    <x:row r="92">
      <x:c r="A92" t="str">
        <x:v>OBS_JVWS_9EBF59611B35A2823652</x:v>
      </x:c>
      <x:c r="B92" t="str">
        <x:v>PR_35</x:v>
      </x:c>
      <x:c r="C92" t="str">
        <x:v>Ontario</x:v>
      </x:c>
      <x:c r="D92" t="str">
        <x:v>2021A000235</x:v>
      </x:c>
      <x:c r="E92" t="str">
        <x:v>72203</x:v>
      </x:c>
      <x:c r="F92" t="str">
        <x:v>Electrical power line and cable workers</x:v>
      </x:c>
      <x:c r="G92" t="str">
        <x:v>trade_power_line</x:v>
      </x:c>
      <x:c r="H92" t="str">
        <x:v>Average offered hourly wage</x:v>
      </x:c>
      <x:c r="I92" s="145" t="n">
        <x:v>36</x:v>
      </x:c>
      <x:c r="J92" t="str">
        <x:v>Dollars</x:v>
      </x:c>
      <x:c r="K92" s="153" t="n">
        <x:v>46112</x:v>
      </x:c>
      <x:c r="L92" t="str">
        <x:v>observed</x:v>
      </x:c>
      <x:c r="M92" t="str">
        <x:v>STATCAN_JVWS_14100444</x:v>
      </x:c>
      <x:c r="N92" t="str">
        <x:v>TR_STATCAN_JVWS_CA_PROVINCES_NOC_1_0_0</x:v>
      </x:c>
      <x:c r="O92" t="str">
        <x:v>status:A</x:v>
      </x:c>
      <x:c r="P92" t="str">
        <x:v>https://www150.statcan.gc.ca/t1/tbl1/en/tv.action?pid=1410044401</x:v>
      </x:c>
      <x:c r="Q92" t="str">
        <x:v>PASS</x:v>
      </x:c>
    </x:row>
    <x:row r="93">
      <x:c r="A93" t="str">
        <x:v>OBS_JVWS_A5C028FC5F0D3C724881</x:v>
      </x:c>
      <x:c r="B93" t="str">
        <x:v>PR_35</x:v>
      </x:c>
      <x:c r="C93" t="str">
        <x:v>Ontario</x:v>
      </x:c>
      <x:c r="D93" t="str">
        <x:v>2021A000235</x:v>
      </x:c>
      <x:c r="E93" t="str">
        <x:v>72203</x:v>
      </x:c>
      <x:c r="F93" t="str">
        <x:v>Electrical power line and cable workers</x:v>
      </x:c>
      <x:c r="G93" t="str">
        <x:v>trade_power_line</x:v>
      </x:c>
      <x:c r="H93" t="str">
        <x:v>Job vacancies</x:v>
      </x:c>
      <x:c r="I93" s="145" t="n">
        <x:v>55</x:v>
      </x:c>
      <x:c r="J93" t="str">
        <x:v>Number</x:v>
      </x:c>
      <x:c r="K93" s="153" t="n">
        <x:v>46112</x:v>
      </x:c>
      <x:c r="L93" t="str">
        <x:v>observed</x:v>
      </x:c>
      <x:c r="M93" t="str">
        <x:v>STATCAN_JVWS_14100444</x:v>
      </x:c>
      <x:c r="N93" t="str">
        <x:v>TR_STATCAN_JVWS_CA_PROVINCES_NOC_1_0_0</x:v>
      </x:c>
      <x:c r="O93" t="str">
        <x:v>status:D</x:v>
      </x:c>
      <x:c r="P93" t="str">
        <x:v>https://www150.statcan.gc.ca/t1/tbl1/en/tv.action?pid=1410044401</x:v>
      </x:c>
      <x:c r="Q93" t="str">
        <x:v>PASS</x:v>
      </x:c>
    </x:row>
    <x:row r="94">
      <x:c r="A94" t="str">
        <x:v>OBS_JVWS_5F8CD69A9604448ED177</x:v>
      </x:c>
      <x:c r="B94" t="str">
        <x:v>PR_46</x:v>
      </x:c>
      <x:c r="C94" t="str">
        <x:v>Manitoba</x:v>
      </x:c>
      <x:c r="D94" t="str">
        <x:v>2021A000246</x:v>
      </x:c>
      <x:c r="E94" t="str">
        <x:v>73100</x:v>
      </x:c>
      <x:c r="F94" t="str">
        <x:v>Concrete finishers</x:v>
      </x:c>
      <x:c r="G94" t="str">
        <x:v>trade_concrete</x:v>
      </x:c>
      <x:c r="H94" t="str">
        <x:v>Average offered hourly wage</x:v>
      </x:c>
      <x:c r="I94" s="145"/>
      <x:c r="J94" t="str">
        <x:v>Dollars</x:v>
      </x:c>
      <x:c r="K94" s="153" t="n">
        <x:v>46112</x:v>
      </x:c>
      <x:c r="L94" t="str">
        <x:v>observed</x:v>
      </x:c>
      <x:c r="M94" t="str">
        <x:v>STATCAN_JVWS_14100444</x:v>
      </x:c>
      <x:c r="N94" t="str">
        <x:v>TR_STATCAN_JVWS_CA_PROVINCES_NOC_1_0_0</x:v>
      </x:c>
      <x:c r="O94" t="str">
        <x:v>status:F|value_missing_or_suppressed</x:v>
      </x:c>
      <x:c r="P94" t="str">
        <x:v>https://www150.statcan.gc.ca/t1/tbl1/en/tv.action?pid=1410044401</x:v>
      </x:c>
      <x:c r="Q94" t="str">
        <x:v>PASS</x:v>
      </x:c>
    </x:row>
    <x:row r="95">
      <x:c r="A95" t="str">
        <x:v>OBS_JVWS_3624DB6CA06BF5688F61</x:v>
      </x:c>
      <x:c r="B95" t="str">
        <x:v>PR_46</x:v>
      </x:c>
      <x:c r="C95" t="str">
        <x:v>Manitoba</x:v>
      </x:c>
      <x:c r="D95" t="str">
        <x:v>2021A000246</x:v>
      </x:c>
      <x:c r="E95" t="str">
        <x:v>73100</x:v>
      </x:c>
      <x:c r="F95" t="str">
        <x:v>Concrete finishers</x:v>
      </x:c>
      <x:c r="G95" t="str">
        <x:v>trade_concrete</x:v>
      </x:c>
      <x:c r="H95" t="str">
        <x:v>Job vacancies</x:v>
      </x:c>
      <x:c r="I95" s="145"/>
      <x:c r="J95" t="str">
        <x:v>Number</x:v>
      </x:c>
      <x:c r="K95" s="153" t="n">
        <x:v>46112</x:v>
      </x:c>
      <x:c r="L95" t="str">
        <x:v>observed</x:v>
      </x:c>
      <x:c r="M95" t="str">
        <x:v>STATCAN_JVWS_14100444</x:v>
      </x:c>
      <x:c r="N95" t="str">
        <x:v>TR_STATCAN_JVWS_CA_PROVINCES_NOC_1_0_0</x:v>
      </x:c>
      <x:c r="O95" t="str">
        <x:v>status:F|value_missing_or_suppressed</x:v>
      </x:c>
      <x:c r="P95" t="str">
        <x:v>https://www150.statcan.gc.ca/t1/tbl1/en/tv.action?pid=1410044401</x:v>
      </x:c>
      <x:c r="Q95" t="str">
        <x:v>PASS</x:v>
      </x:c>
    </x:row>
    <x:row r="96">
      <x:c r="A96" t="str">
        <x:v>OBS_JVWS_39A80A49662695B9E592</x:v>
      </x:c>
      <x:c r="B96" t="str">
        <x:v>PR_46</x:v>
      </x:c>
      <x:c r="C96" t="str">
        <x:v>Manitoba</x:v>
      </x:c>
      <x:c r="D96" t="str">
        <x:v>2021A000246</x:v>
      </x:c>
      <x:c r="E96" t="str">
        <x:v>72200</x:v>
      </x:c>
      <x:c r="F96" t="str">
        <x:v>Electricians (except industrial and power system)</x:v>
      </x:c>
      <x:c r="G96" t="str">
        <x:v>trade_electricians</x:v>
      </x:c>
      <x:c r="H96" t="str">
        <x:v>Average offered hourly wage</x:v>
      </x:c>
      <x:c r="I96" s="145" t="n">
        <x:v>39.45</x:v>
      </x:c>
      <x:c r="J96" t="str">
        <x:v>Dollars</x:v>
      </x:c>
      <x:c r="K96" s="153" t="n">
        <x:v>46112</x:v>
      </x:c>
      <x:c r="L96" t="str">
        <x:v>observed</x:v>
      </x:c>
      <x:c r="M96" t="str">
        <x:v>STATCAN_JVWS_14100444</x:v>
      </x:c>
      <x:c r="N96" t="str">
        <x:v>TR_STATCAN_JVWS_CA_PROVINCES_NOC_1_0_0</x:v>
      </x:c>
      <x:c r="O96" t="str">
        <x:v>status:B</x:v>
      </x:c>
      <x:c r="P96" t="str">
        <x:v>https://www150.statcan.gc.ca/t1/tbl1/en/tv.action?pid=1410044401</x:v>
      </x:c>
      <x:c r="Q96" t="str">
        <x:v>PASS</x:v>
      </x:c>
    </x:row>
    <x:row r="97">
      <x:c r="A97" t="str">
        <x:v>OBS_JVWS_2AE25419E6AABB2ADFE7</x:v>
      </x:c>
      <x:c r="B97" t="str">
        <x:v>PR_46</x:v>
      </x:c>
      <x:c r="C97" t="str">
        <x:v>Manitoba</x:v>
      </x:c>
      <x:c r="D97" t="str">
        <x:v>2021A000246</x:v>
      </x:c>
      <x:c r="E97" t="str">
        <x:v>72200</x:v>
      </x:c>
      <x:c r="F97" t="str">
        <x:v>Electricians (except industrial and power system)</x:v>
      </x:c>
      <x:c r="G97" t="str">
        <x:v>trade_electricians</x:v>
      </x:c>
      <x:c r="H97" t="str">
        <x:v>Job vacancies</x:v>
      </x:c>
      <x:c r="I97" s="145"/>
      <x:c r="J97" t="str">
        <x:v>Number</x:v>
      </x:c>
      <x:c r="K97" s="153" t="n">
        <x:v>46112</x:v>
      </x:c>
      <x:c r="L97" t="str">
        <x:v>observed</x:v>
      </x:c>
      <x:c r="M97" t="str">
        <x:v>STATCAN_JVWS_14100444</x:v>
      </x:c>
      <x:c r="N97" t="str">
        <x:v>TR_STATCAN_JVWS_CA_PROVINCES_NOC_1_0_0</x:v>
      </x:c>
      <x:c r="O97" t="str">
        <x:v>status:F|value_missing_or_suppressed</x:v>
      </x:c>
      <x:c r="P97" t="str">
        <x:v>https://www150.statcan.gc.ca/t1/tbl1/en/tv.action?pid=1410044401</x:v>
      </x:c>
      <x:c r="Q97" t="str">
        <x:v>PASS</x:v>
      </x:c>
    </x:row>
    <x:row r="98">
      <x:c r="A98" t="str">
        <x:v>OBS_JVWS_5BA1D0F30A3E12577D13</x:v>
      </x:c>
      <x:c r="B98" t="str">
        <x:v>PR_46</x:v>
      </x:c>
      <x:c r="C98" t="str">
        <x:v>Manitoba</x:v>
      </x:c>
      <x:c r="D98" t="str">
        <x:v>2021A000246</x:v>
      </x:c>
      <x:c r="E98" t="str">
        <x:v>72201</x:v>
      </x:c>
      <x:c r="F98" t="str">
        <x:v>Industrial electricians</x:v>
      </x:c>
      <x:c r="G98" t="str">
        <x:v>trade_electricians</x:v>
      </x:c>
      <x:c r="H98" t="str">
        <x:v>Average offered hourly wage</x:v>
      </x:c>
      <x:c r="I98" s="145" t="n">
        <x:v>40.55</x:v>
      </x:c>
      <x:c r="J98" t="str">
        <x:v>Dollars</x:v>
      </x:c>
      <x:c r="K98" s="153" t="n">
        <x:v>46112</x:v>
      </x:c>
      <x:c r="L98" t="str">
        <x:v>observed</x:v>
      </x:c>
      <x:c r="M98" t="str">
        <x:v>STATCAN_JVWS_14100444</x:v>
      </x:c>
      <x:c r="N98" t="str">
        <x:v>TR_STATCAN_JVWS_CA_PROVINCES_NOC_1_0_0</x:v>
      </x:c>
      <x:c r="O98" t="str">
        <x:v>status:A</x:v>
      </x:c>
      <x:c r="P98" t="str">
        <x:v>https://www150.statcan.gc.ca/t1/tbl1/en/tv.action?pid=1410044401</x:v>
      </x:c>
      <x:c r="Q98" t="str">
        <x:v>PASS</x:v>
      </x:c>
    </x:row>
    <x:row r="99">
      <x:c r="A99" t="str">
        <x:v>OBS_JVWS_2AE38216876125EF9C1B</x:v>
      </x:c>
      <x:c r="B99" t="str">
        <x:v>PR_46</x:v>
      </x:c>
      <x:c r="C99" t="str">
        <x:v>Manitoba</x:v>
      </x:c>
      <x:c r="D99" t="str">
        <x:v>2021A000246</x:v>
      </x:c>
      <x:c r="E99" t="str">
        <x:v>72201</x:v>
      </x:c>
      <x:c r="F99" t="str">
        <x:v>Industrial electricians</x:v>
      </x:c>
      <x:c r="G99" t="str">
        <x:v>trade_electricians</x:v>
      </x:c>
      <x:c r="H99" t="str">
        <x:v>Job vacancies</x:v>
      </x:c>
      <x:c r="I99" s="145" t="n">
        <x:v>10</x:v>
      </x:c>
      <x:c r="J99" t="str">
        <x:v>Number</x:v>
      </x:c>
      <x:c r="K99" s="153" t="n">
        <x:v>46112</x:v>
      </x:c>
      <x:c r="L99" t="str">
        <x:v>observed</x:v>
      </x:c>
      <x:c r="M99" t="str">
        <x:v>STATCAN_JVWS_14100444</x:v>
      </x:c>
      <x:c r="N99" t="str">
        <x:v>TR_STATCAN_JVWS_CA_PROVINCES_NOC_1_0_0</x:v>
      </x:c>
      <x:c r="O99" t="str">
        <x:v>status:D</x:v>
      </x:c>
      <x:c r="P99" t="str">
        <x:v>https://www150.statcan.gc.ca/t1/tbl1/en/tv.action?pid=1410044401</x:v>
      </x:c>
      <x:c r="Q99" t="str">
        <x:v>PASS</x:v>
      </x:c>
    </x:row>
    <x:row r="100">
      <x:c r="A100" t="str">
        <x:v>OBS_JVWS_84591264DE23194BDFBC</x:v>
      </x:c>
      <x:c r="B100" t="str">
        <x:v>PR_46</x:v>
      </x:c>
      <x:c r="C100" t="str">
        <x:v>Manitoba</x:v>
      </x:c>
      <x:c r="D100" t="str">
        <x:v>2021A000246</x:v>
      </x:c>
      <x:c r="E100" t="str">
        <x:v>72402</x:v>
      </x:c>
      <x:c r="F100" t="str">
        <x:v>Heating, refrigeration and air conditioning mechanics</x:v>
      </x:c>
      <x:c r="G100" t="str">
        <x:v>trade_hvac</x:v>
      </x:c>
      <x:c r="H100" t="str">
        <x:v>Average offered hourly wage</x:v>
      </x:c>
      <x:c r="I100" s="145" t="n">
        <x:v>28.8</x:v>
      </x:c>
      <x:c r="J100" t="str">
        <x:v>Dollars</x:v>
      </x:c>
      <x:c r="K100" s="153" t="n">
        <x:v>46112</x:v>
      </x:c>
      <x:c r="L100" t="str">
        <x:v>observed</x:v>
      </x:c>
      <x:c r="M100" t="str">
        <x:v>STATCAN_JVWS_14100444</x:v>
      </x:c>
      <x:c r="N100" t="str">
        <x:v>TR_STATCAN_JVWS_CA_PROVINCES_NOC_1_0_0</x:v>
      </x:c>
      <x:c r="O100" t="str">
        <x:v>status:C</x:v>
      </x:c>
      <x:c r="P100" t="str">
        <x:v>https://www150.statcan.gc.ca/t1/tbl1/en/tv.action?pid=1410044401</x:v>
      </x:c>
      <x:c r="Q100" t="str">
        <x:v>PASS</x:v>
      </x:c>
    </x:row>
    <x:row r="101">
      <x:c r="A101" t="str">
        <x:v>OBS_JVWS_02F72A73A8CBA702C88D</x:v>
      </x:c>
      <x:c r="B101" t="str">
        <x:v>PR_46</x:v>
      </x:c>
      <x:c r="C101" t="str">
        <x:v>Manitoba</x:v>
      </x:c>
      <x:c r="D101" t="str">
        <x:v>2021A000246</x:v>
      </x:c>
      <x:c r="E101" t="str">
        <x:v>72402</x:v>
      </x:c>
      <x:c r="F101" t="str">
        <x:v>Heating, refrigeration and air conditioning mechanics</x:v>
      </x:c>
      <x:c r="G101" t="str">
        <x:v>trade_hvac</x:v>
      </x:c>
      <x:c r="H101" t="str">
        <x:v>Job vacancies</x:v>
      </x:c>
      <x:c r="I101" s="145"/>
      <x:c r="J101" t="str">
        <x:v>Number</x:v>
      </x:c>
      <x:c r="K101" s="153" t="n">
        <x:v>46112</x:v>
      </x:c>
      <x:c r="L101" t="str">
        <x:v>observed</x:v>
      </x:c>
      <x:c r="M101" t="str">
        <x:v>STATCAN_JVWS_14100444</x:v>
      </x:c>
      <x:c r="N101" t="str">
        <x:v>TR_STATCAN_JVWS_CA_PROVINCES_NOC_1_0_0</x:v>
      </x:c>
      <x:c r="O101" t="str">
        <x:v>status:F|value_missing_or_suppressed</x:v>
      </x:c>
      <x:c r="P101" t="str">
        <x:v>https://www150.statcan.gc.ca/t1/tbl1/en/tv.action?pid=1410044401</x:v>
      </x:c>
      <x:c r="Q101" t="str">
        <x:v>PASS</x:v>
      </x:c>
    </x:row>
    <x:row r="102">
      <x:c r="A102" t="str">
        <x:v>OBS_JVWS_B0F36F041C30FF454752</x:v>
      </x:c>
      <x:c r="B102" t="str">
        <x:v>PR_46</x:v>
      </x:c>
      <x:c r="C102" t="str">
        <x:v>Manitoba</x:v>
      </x:c>
      <x:c r="D102" t="str">
        <x:v>2021A000246</x:v>
      </x:c>
      <x:c r="E102" t="str">
        <x:v>72202</x:v>
      </x:c>
      <x:c r="F102" t="str">
        <x:v>Power system electricians</x:v>
      </x:c>
      <x:c r="G102" t="str">
        <x:v>trade_power_line</x:v>
      </x:c>
      <x:c r="H102" t="str">
        <x:v>Average offered hourly wage</x:v>
      </x:c>
      <x:c r="I102" s="145"/>
      <x:c r="J102" t="str">
        <x:v>Dollars</x:v>
      </x:c>
      <x:c r="K102" s="153" t="n">
        <x:v>46112</x:v>
      </x:c>
      <x:c r="L102" t="str">
        <x:v>observed</x:v>
      </x:c>
      <x:c r="M102" t="str">
        <x:v>STATCAN_JVWS_14100444</x:v>
      </x:c>
      <x:c r="N102" t="str">
        <x:v>TR_STATCAN_JVWS_CA_PROVINCES_NOC_1_0_0</x:v>
      </x:c>
      <x:c r="O102" t="str">
        <x:v>status:..|value_missing_or_suppressed</x:v>
      </x:c>
      <x:c r="P102" t="str">
        <x:v>https://www150.statcan.gc.ca/t1/tbl1/en/tv.action?pid=1410044401</x:v>
      </x:c>
      <x:c r="Q102" t="str">
        <x:v>PASS</x:v>
      </x:c>
    </x:row>
    <x:row r="103">
      <x:c r="A103" t="str">
        <x:v>OBS_JVWS_EC27C43356440D2423EE</x:v>
      </x:c>
      <x:c r="B103" t="str">
        <x:v>PR_46</x:v>
      </x:c>
      <x:c r="C103" t="str">
        <x:v>Manitoba</x:v>
      </x:c>
      <x:c r="D103" t="str">
        <x:v>2021A000246</x:v>
      </x:c>
      <x:c r="E103" t="str">
        <x:v>72202</x:v>
      </x:c>
      <x:c r="F103" t="str">
        <x:v>Power system electricians</x:v>
      </x:c>
      <x:c r="G103" t="str">
        <x:v>trade_power_line</x:v>
      </x:c>
      <x:c r="H103" t="str">
        <x:v>Job vacancies</x:v>
      </x:c>
      <x:c r="I103" s="145"/>
      <x:c r="J103" t="str">
        <x:v>Number</x:v>
      </x:c>
      <x:c r="K103" s="153" t="n">
        <x:v>46112</x:v>
      </x:c>
      <x:c r="L103" t="str">
        <x:v>observed</x:v>
      </x:c>
      <x:c r="M103" t="str">
        <x:v>STATCAN_JVWS_14100444</x:v>
      </x:c>
      <x:c r="N103" t="str">
        <x:v>TR_STATCAN_JVWS_CA_PROVINCES_NOC_1_0_0</x:v>
      </x:c>
      <x:c r="O103" t="str">
        <x:v>status:..|value_missing_or_suppressed</x:v>
      </x:c>
      <x:c r="P103" t="str">
        <x:v>https://www150.statcan.gc.ca/t1/tbl1/en/tv.action?pid=1410044401</x:v>
      </x:c>
      <x:c r="Q103" t="str">
        <x:v>PASS</x:v>
      </x:c>
    </x:row>
    <x:row r="104">
      <x:c r="A104" t="str">
        <x:v>OBS_JVWS_8A37F9FB5BEB49875282</x:v>
      </x:c>
      <x:c r="B104" t="str">
        <x:v>PR_46</x:v>
      </x:c>
      <x:c r="C104" t="str">
        <x:v>Manitoba</x:v>
      </x:c>
      <x:c r="D104" t="str">
        <x:v>2021A000246</x:v>
      </x:c>
      <x:c r="E104" t="str">
        <x:v>72203</x:v>
      </x:c>
      <x:c r="F104" t="str">
        <x:v>Electrical power line and cable workers</x:v>
      </x:c>
      <x:c r="G104" t="str">
        <x:v>trade_power_line</x:v>
      </x:c>
      <x:c r="H104" t="str">
        <x:v>Average offered hourly wage</x:v>
      </x:c>
      <x:c r="I104" s="145" t="n">
        <x:v>42.45</x:v>
      </x:c>
      <x:c r="J104" t="str">
        <x:v>Dollars</x:v>
      </x:c>
      <x:c r="K104" s="153" t="n">
        <x:v>46112</x:v>
      </x:c>
      <x:c r="L104" t="str">
        <x:v>observed</x:v>
      </x:c>
      <x:c r="M104" t="str">
        <x:v>STATCAN_JVWS_14100444</x:v>
      </x:c>
      <x:c r="N104" t="str">
        <x:v>TR_STATCAN_JVWS_CA_PROVINCES_NOC_1_0_0</x:v>
      </x:c>
      <x:c r="O104" t="str">
        <x:v>status:A</x:v>
      </x:c>
      <x:c r="P104" t="str">
        <x:v>https://www150.statcan.gc.ca/t1/tbl1/en/tv.action?pid=1410044401</x:v>
      </x:c>
      <x:c r="Q104" t="str">
        <x:v>PASS</x:v>
      </x:c>
    </x:row>
    <x:row r="105">
      <x:c r="A105" t="str">
        <x:v>OBS_JVWS_966AF904852CD55A1119</x:v>
      </x:c>
      <x:c r="B105" t="str">
        <x:v>PR_46</x:v>
      </x:c>
      <x:c r="C105" t="str">
        <x:v>Manitoba</x:v>
      </x:c>
      <x:c r="D105" t="str">
        <x:v>2021A000246</x:v>
      </x:c>
      <x:c r="E105" t="str">
        <x:v>72203</x:v>
      </x:c>
      <x:c r="F105" t="str">
        <x:v>Electrical power line and cable workers</x:v>
      </x:c>
      <x:c r="G105" t="str">
        <x:v>trade_power_line</x:v>
      </x:c>
      <x:c r="H105" t="str">
        <x:v>Job vacancies</x:v>
      </x:c>
      <x:c r="I105" s="145" t="n">
        <x:v>0</x:v>
      </x:c>
      <x:c r="J105" t="str">
        <x:v>Number</x:v>
      </x:c>
      <x:c r="K105" s="153" t="n">
        <x:v>46112</x:v>
      </x:c>
      <x:c r="L105" t="str">
        <x:v>observed</x:v>
      </x:c>
      <x:c r="M105" t="str">
        <x:v>STATCAN_JVWS_14100444</x:v>
      </x:c>
      <x:c r="N105" t="str">
        <x:v>TR_STATCAN_JVWS_CA_PROVINCES_NOC_1_0_0</x:v>
      </x:c>
      <x:c r="O105" t="str">
        <x:v>status:A</x:v>
      </x:c>
      <x:c r="P105" t="str">
        <x:v>https://www150.statcan.gc.ca/t1/tbl1/en/tv.action?pid=1410044401</x:v>
      </x:c>
      <x:c r="Q105" t="str">
        <x:v>PASS</x:v>
      </x:c>
    </x:row>
    <x:row r="106">
      <x:c r="A106" t="str">
        <x:v>OBS_JVWS_5DDA80760360CE7DA07A</x:v>
      </x:c>
      <x:c r="B106" t="str">
        <x:v>PR_47</x:v>
      </x:c>
      <x:c r="C106" t="str">
        <x:v>Saskatchewan</x:v>
      </x:c>
      <x:c r="D106" t="str">
        <x:v>2021A000247</x:v>
      </x:c>
      <x:c r="E106" t="str">
        <x:v>73100</x:v>
      </x:c>
      <x:c r="F106" t="str">
        <x:v>Concrete finishers</x:v>
      </x:c>
      <x:c r="G106" t="str">
        <x:v>trade_concrete</x:v>
      </x:c>
      <x:c r="H106" t="str">
        <x:v>Average offered hourly wage</x:v>
      </x:c>
      <x:c r="I106" s="145"/>
      <x:c r="J106" t="str">
        <x:v>Dollars</x:v>
      </x:c>
      <x:c r="K106" s="153" t="n">
        <x:v>46112</x:v>
      </x:c>
      <x:c r="L106" t="str">
        <x:v>observed</x:v>
      </x:c>
      <x:c r="M106" t="str">
        <x:v>STATCAN_JVWS_14100444</x:v>
      </x:c>
      <x:c r="N106" t="str">
        <x:v>TR_STATCAN_JVWS_CA_PROVINCES_NOC_1_0_0</x:v>
      </x:c>
      <x:c r="O106" t="str">
        <x:v>status:..|value_missing_or_suppressed</x:v>
      </x:c>
      <x:c r="P106" t="str">
        <x:v>https://www150.statcan.gc.ca/t1/tbl1/en/tv.action?pid=1410044401</x:v>
      </x:c>
      <x:c r="Q106" t="str">
        <x:v>PASS</x:v>
      </x:c>
    </x:row>
    <x:row r="107">
      <x:c r="A107" t="str">
        <x:v>OBS_JVWS_5CFC354FADAEFAC8965D</x:v>
      </x:c>
      <x:c r="B107" t="str">
        <x:v>PR_47</x:v>
      </x:c>
      <x:c r="C107" t="str">
        <x:v>Saskatchewan</x:v>
      </x:c>
      <x:c r="D107" t="str">
        <x:v>2021A000247</x:v>
      </x:c>
      <x:c r="E107" t="str">
        <x:v>73100</x:v>
      </x:c>
      <x:c r="F107" t="str">
        <x:v>Concrete finishers</x:v>
      </x:c>
      <x:c r="G107" t="str">
        <x:v>trade_concrete</x:v>
      </x:c>
      <x:c r="H107" t="str">
        <x:v>Job vacancies</x:v>
      </x:c>
      <x:c r="I107" s="145"/>
      <x:c r="J107" t="str">
        <x:v>Number</x:v>
      </x:c>
      <x:c r="K107" s="153" t="n">
        <x:v>46112</x:v>
      </x:c>
      <x:c r="L107" t="str">
        <x:v>observed</x:v>
      </x:c>
      <x:c r="M107" t="str">
        <x:v>STATCAN_JVWS_14100444</x:v>
      </x:c>
      <x:c r="N107" t="str">
        <x:v>TR_STATCAN_JVWS_CA_PROVINCES_NOC_1_0_0</x:v>
      </x:c>
      <x:c r="O107" t="str">
        <x:v>status:..|value_missing_or_suppressed</x:v>
      </x:c>
      <x:c r="P107" t="str">
        <x:v>https://www150.statcan.gc.ca/t1/tbl1/en/tv.action?pid=1410044401</x:v>
      </x:c>
      <x:c r="Q107" t="str">
        <x:v>PASS</x:v>
      </x:c>
    </x:row>
    <x:row r="108">
      <x:c r="A108" t="str">
        <x:v>OBS_JVWS_4AC67247027FA66D54D4</x:v>
      </x:c>
      <x:c r="B108" t="str">
        <x:v>PR_47</x:v>
      </x:c>
      <x:c r="C108" t="str">
        <x:v>Saskatchewan</x:v>
      </x:c>
      <x:c r="D108" t="str">
        <x:v>2021A000247</x:v>
      </x:c>
      <x:c r="E108" t="str">
        <x:v>72200</x:v>
      </x:c>
      <x:c r="F108" t="str">
        <x:v>Electricians (except industrial and power system)</x:v>
      </x:c>
      <x:c r="G108" t="str">
        <x:v>trade_electricians</x:v>
      </x:c>
      <x:c r="H108" t="str">
        <x:v>Average offered hourly wage</x:v>
      </x:c>
      <x:c r="I108" s="145" t="n">
        <x:v>31.6</x:v>
      </x:c>
      <x:c r="J108" t="str">
        <x:v>Dollars</x:v>
      </x:c>
      <x:c r="K108" s="153" t="n">
        <x:v>46112</x:v>
      </x:c>
      <x:c r="L108" t="str">
        <x:v>observed</x:v>
      </x:c>
      <x:c r="M108" t="str">
        <x:v>STATCAN_JVWS_14100444</x:v>
      </x:c>
      <x:c r="N108" t="str">
        <x:v>TR_STATCAN_JVWS_CA_PROVINCES_NOC_1_0_0</x:v>
      </x:c>
      <x:c r="O108" t="str">
        <x:v>status:B</x:v>
      </x:c>
      <x:c r="P108" t="str">
        <x:v>https://www150.statcan.gc.ca/t1/tbl1/en/tv.action?pid=1410044401</x:v>
      </x:c>
      <x:c r="Q108" t="str">
        <x:v>PASS</x:v>
      </x:c>
    </x:row>
    <x:row r="109">
      <x:c r="A109" t="str">
        <x:v>OBS_JVWS_2D89283A754A3D947BF4</x:v>
      </x:c>
      <x:c r="B109" t="str">
        <x:v>PR_47</x:v>
      </x:c>
      <x:c r="C109" t="str">
        <x:v>Saskatchewan</x:v>
      </x:c>
      <x:c r="D109" t="str">
        <x:v>2021A000247</x:v>
      </x:c>
      <x:c r="E109" t="str">
        <x:v>72200</x:v>
      </x:c>
      <x:c r="F109" t="str">
        <x:v>Electricians (except industrial and power system)</x:v>
      </x:c>
      <x:c r="G109" t="str">
        <x:v>trade_electricians</x:v>
      </x:c>
      <x:c r="H109" t="str">
        <x:v>Job vacancies</x:v>
      </x:c>
      <x:c r="I109" s="145"/>
      <x:c r="J109" t="str">
        <x:v>Number</x:v>
      </x:c>
      <x:c r="K109" s="153" t="n">
        <x:v>46112</x:v>
      </x:c>
      <x:c r="L109" t="str">
        <x:v>observed</x:v>
      </x:c>
      <x:c r="M109" t="str">
        <x:v>STATCAN_JVWS_14100444</x:v>
      </x:c>
      <x:c r="N109" t="str">
        <x:v>TR_STATCAN_JVWS_CA_PROVINCES_NOC_1_0_0</x:v>
      </x:c>
      <x:c r="O109" t="str">
        <x:v>status:F|value_missing_or_suppressed</x:v>
      </x:c>
      <x:c r="P109" t="str">
        <x:v>https://www150.statcan.gc.ca/t1/tbl1/en/tv.action?pid=1410044401</x:v>
      </x:c>
      <x:c r="Q109" t="str">
        <x:v>PASS</x:v>
      </x:c>
    </x:row>
    <x:row r="110">
      <x:c r="A110" t="str">
        <x:v>OBS_JVWS_259798D4126092FF8E14</x:v>
      </x:c>
      <x:c r="B110" t="str">
        <x:v>PR_47</x:v>
      </x:c>
      <x:c r="C110" t="str">
        <x:v>Saskatchewan</x:v>
      </x:c>
      <x:c r="D110" t="str">
        <x:v>2021A000247</x:v>
      </x:c>
      <x:c r="E110" t="str">
        <x:v>72201</x:v>
      </x:c>
      <x:c r="F110" t="str">
        <x:v>Industrial electricians</x:v>
      </x:c>
      <x:c r="G110" t="str">
        <x:v>trade_electricians</x:v>
      </x:c>
      <x:c r="H110" t="str">
        <x:v>Average offered hourly wage</x:v>
      </x:c>
      <x:c r="I110" s="145" t="n">
        <x:v>48.85</x:v>
      </x:c>
      <x:c r="J110" t="str">
        <x:v>Dollars</x:v>
      </x:c>
      <x:c r="K110" s="153" t="n">
        <x:v>46112</x:v>
      </x:c>
      <x:c r="L110" t="str">
        <x:v>observed</x:v>
      </x:c>
      <x:c r="M110" t="str">
        <x:v>STATCAN_JVWS_14100444</x:v>
      </x:c>
      <x:c r="N110" t="str">
        <x:v>TR_STATCAN_JVWS_CA_PROVINCES_NOC_1_0_0</x:v>
      </x:c>
      <x:c r="O110" t="str">
        <x:v>status:B</x:v>
      </x:c>
      <x:c r="P110" t="str">
        <x:v>https://www150.statcan.gc.ca/t1/tbl1/en/tv.action?pid=1410044401</x:v>
      </x:c>
      <x:c r="Q110" t="str">
        <x:v>PASS</x:v>
      </x:c>
    </x:row>
    <x:row r="111">
      <x:c r="A111" t="str">
        <x:v>OBS_JVWS_864303C93495D3219500</x:v>
      </x:c>
      <x:c r="B111" t="str">
        <x:v>PR_47</x:v>
      </x:c>
      <x:c r="C111" t="str">
        <x:v>Saskatchewan</x:v>
      </x:c>
      <x:c r="D111" t="str">
        <x:v>2021A000247</x:v>
      </x:c>
      <x:c r="E111" t="str">
        <x:v>72201</x:v>
      </x:c>
      <x:c r="F111" t="str">
        <x:v>Industrial electricians</x:v>
      </x:c>
      <x:c r="G111" t="str">
        <x:v>trade_electricians</x:v>
      </x:c>
      <x:c r="H111" t="str">
        <x:v>Job vacancies</x:v>
      </x:c>
      <x:c r="I111" s="145" t="n">
        <x:v>30</x:v>
      </x:c>
      <x:c r="J111" t="str">
        <x:v>Number</x:v>
      </x:c>
      <x:c r="K111" s="153" t="n">
        <x:v>46112</x:v>
      </x:c>
      <x:c r="L111" t="str">
        <x:v>observed</x:v>
      </x:c>
      <x:c r="M111" t="str">
        <x:v>STATCAN_JVWS_14100444</x:v>
      </x:c>
      <x:c r="N111" t="str">
        <x:v>TR_STATCAN_JVWS_CA_PROVINCES_NOC_1_0_0</x:v>
      </x:c>
      <x:c r="O111" t="str">
        <x:v>status:E</x:v>
      </x:c>
      <x:c r="P111" t="str">
        <x:v>https://www150.statcan.gc.ca/t1/tbl1/en/tv.action?pid=1410044401</x:v>
      </x:c>
      <x:c r="Q111" t="str">
        <x:v>PASS</x:v>
      </x:c>
    </x:row>
    <x:row r="112">
      <x:c r="A112" t="str">
        <x:v>OBS_JVWS_D1E2DC898D7FED69645D</x:v>
      </x:c>
      <x:c r="B112" t="str">
        <x:v>PR_47</x:v>
      </x:c>
      <x:c r="C112" t="str">
        <x:v>Saskatchewan</x:v>
      </x:c>
      <x:c r="D112" t="str">
        <x:v>2021A000247</x:v>
      </x:c>
      <x:c r="E112" t="str">
        <x:v>72402</x:v>
      </x:c>
      <x:c r="F112" t="str">
        <x:v>Heating, refrigeration and air conditioning mechanics</x:v>
      </x:c>
      <x:c r="G112" t="str">
        <x:v>trade_hvac</x:v>
      </x:c>
      <x:c r="H112" t="str">
        <x:v>Average offered hourly wage</x:v>
      </x:c>
      <x:c r="I112" s="145" t="n">
        <x:v>57.7</x:v>
      </x:c>
      <x:c r="J112" t="str">
        <x:v>Dollars</x:v>
      </x:c>
      <x:c r="K112" s="153" t="n">
        <x:v>46112</x:v>
      </x:c>
      <x:c r="L112" t="str">
        <x:v>observed</x:v>
      </x:c>
      <x:c r="M112" t="str">
        <x:v>STATCAN_JVWS_14100444</x:v>
      </x:c>
      <x:c r="N112" t="str">
        <x:v>TR_STATCAN_JVWS_CA_PROVINCES_NOC_1_0_0</x:v>
      </x:c>
      <x:c r="O112" t="str">
        <x:v>status:E</x:v>
      </x:c>
      <x:c r="P112" t="str">
        <x:v>https://www150.statcan.gc.ca/t1/tbl1/en/tv.action?pid=1410044401</x:v>
      </x:c>
      <x:c r="Q112" t="str">
        <x:v>PASS</x:v>
      </x:c>
    </x:row>
    <x:row r="113">
      <x:c r="A113" t="str">
        <x:v>OBS_JVWS_870E75F507B0138D0B12</x:v>
      </x:c>
      <x:c r="B113" t="str">
        <x:v>PR_47</x:v>
      </x:c>
      <x:c r="C113" t="str">
        <x:v>Saskatchewan</x:v>
      </x:c>
      <x:c r="D113" t="str">
        <x:v>2021A000247</x:v>
      </x:c>
      <x:c r="E113" t="str">
        <x:v>72402</x:v>
      </x:c>
      <x:c r="F113" t="str">
        <x:v>Heating, refrigeration and air conditioning mechanics</x:v>
      </x:c>
      <x:c r="G113" t="str">
        <x:v>trade_hvac</x:v>
      </x:c>
      <x:c r="H113" t="str">
        <x:v>Job vacancies</x:v>
      </x:c>
      <x:c r="I113" s="145" t="n">
        <x:v>5</x:v>
      </x:c>
      <x:c r="J113" t="str">
        <x:v>Number</x:v>
      </x:c>
      <x:c r="K113" s="153" t="n">
        <x:v>46112</x:v>
      </x:c>
      <x:c r="L113" t="str">
        <x:v>observed</x:v>
      </x:c>
      <x:c r="M113" t="str">
        <x:v>STATCAN_JVWS_14100444</x:v>
      </x:c>
      <x:c r="N113" t="str">
        <x:v>TR_STATCAN_JVWS_CA_PROVINCES_NOC_1_0_0</x:v>
      </x:c>
      <x:c r="O113" t="str">
        <x:v>status:E</x:v>
      </x:c>
      <x:c r="P113" t="str">
        <x:v>https://www150.statcan.gc.ca/t1/tbl1/en/tv.action?pid=1410044401</x:v>
      </x:c>
      <x:c r="Q113" t="str">
        <x:v>PASS</x:v>
      </x:c>
    </x:row>
    <x:row r="114">
      <x:c r="A114" t="str">
        <x:v>OBS_JVWS_154FBE4013AA689BAE2E</x:v>
      </x:c>
      <x:c r="B114" t="str">
        <x:v>PR_47</x:v>
      </x:c>
      <x:c r="C114" t="str">
        <x:v>Saskatchewan</x:v>
      </x:c>
      <x:c r="D114" t="str">
        <x:v>2021A000247</x:v>
      </x:c>
      <x:c r="E114" t="str">
        <x:v>72202</x:v>
      </x:c>
      <x:c r="F114" t="str">
        <x:v>Power system electricians</x:v>
      </x:c>
      <x:c r="G114" t="str">
        <x:v>trade_power_line</x:v>
      </x:c>
      <x:c r="H114" t="str">
        <x:v>Average offered hourly wage</x:v>
      </x:c>
      <x:c r="I114" s="145"/>
      <x:c r="J114" t="str">
        <x:v>Dollars</x:v>
      </x:c>
      <x:c r="K114" s="153" t="n">
        <x:v>46112</x:v>
      </x:c>
      <x:c r="L114" t="str">
        <x:v>observed</x:v>
      </x:c>
      <x:c r="M114" t="str">
        <x:v>STATCAN_JVWS_14100444</x:v>
      </x:c>
      <x:c r="N114" t="str">
        <x:v>TR_STATCAN_JVWS_CA_PROVINCES_NOC_1_0_0</x:v>
      </x:c>
      <x:c r="O114" t="str">
        <x:v>status:..|value_missing_or_suppressed</x:v>
      </x:c>
      <x:c r="P114" t="str">
        <x:v>https://www150.statcan.gc.ca/t1/tbl1/en/tv.action?pid=1410044401</x:v>
      </x:c>
      <x:c r="Q114" t="str">
        <x:v>PASS</x:v>
      </x:c>
    </x:row>
    <x:row r="115">
      <x:c r="A115" t="str">
        <x:v>OBS_JVWS_449C8E577AF91501AEB9</x:v>
      </x:c>
      <x:c r="B115" t="str">
        <x:v>PR_47</x:v>
      </x:c>
      <x:c r="C115" t="str">
        <x:v>Saskatchewan</x:v>
      </x:c>
      <x:c r="D115" t="str">
        <x:v>2021A000247</x:v>
      </x:c>
      <x:c r="E115" t="str">
        <x:v>72202</x:v>
      </x:c>
      <x:c r="F115" t="str">
        <x:v>Power system electricians</x:v>
      </x:c>
      <x:c r="G115" t="str">
        <x:v>trade_power_line</x:v>
      </x:c>
      <x:c r="H115" t="str">
        <x:v>Job vacancies</x:v>
      </x:c>
      <x:c r="I115" s="145"/>
      <x:c r="J115" t="str">
        <x:v>Number</x:v>
      </x:c>
      <x:c r="K115" s="153" t="n">
        <x:v>46112</x:v>
      </x:c>
      <x:c r="L115" t="str">
        <x:v>observed</x:v>
      </x:c>
      <x:c r="M115" t="str">
        <x:v>STATCAN_JVWS_14100444</x:v>
      </x:c>
      <x:c r="N115" t="str">
        <x:v>TR_STATCAN_JVWS_CA_PROVINCES_NOC_1_0_0</x:v>
      </x:c>
      <x:c r="O115" t="str">
        <x:v>status:..|value_missing_or_suppressed</x:v>
      </x:c>
      <x:c r="P115" t="str">
        <x:v>https://www150.statcan.gc.ca/t1/tbl1/en/tv.action?pid=1410044401</x:v>
      </x:c>
      <x:c r="Q115" t="str">
        <x:v>PASS</x:v>
      </x:c>
    </x:row>
    <x:row r="116">
      <x:c r="A116" t="str">
        <x:v>OBS_JVWS_745A3F03AFC64A006F4B</x:v>
      </x:c>
      <x:c r="B116" t="str">
        <x:v>PR_47</x:v>
      </x:c>
      <x:c r="C116" t="str">
        <x:v>Saskatchewan</x:v>
      </x:c>
      <x:c r="D116" t="str">
        <x:v>2021A000247</x:v>
      </x:c>
      <x:c r="E116" t="str">
        <x:v>72203</x:v>
      </x:c>
      <x:c r="F116" t="str">
        <x:v>Electrical power line and cable workers</x:v>
      </x:c>
      <x:c r="G116" t="str">
        <x:v>trade_power_line</x:v>
      </x:c>
      <x:c r="H116" t="str">
        <x:v>Average offered hourly wage</x:v>
      </x:c>
      <x:c r="I116" s="145"/>
      <x:c r="J116" t="str">
        <x:v>Dollars</x:v>
      </x:c>
      <x:c r="K116" s="153" t="n">
        <x:v>46112</x:v>
      </x:c>
      <x:c r="L116" t="str">
        <x:v>observed</x:v>
      </x:c>
      <x:c r="M116" t="str">
        <x:v>STATCAN_JVWS_14100444</x:v>
      </x:c>
      <x:c r="N116" t="str">
        <x:v>TR_STATCAN_JVWS_CA_PROVINCES_NOC_1_0_0</x:v>
      </x:c>
      <x:c r="O116" t="str">
        <x:v>status:..|value_missing_or_suppressed</x:v>
      </x:c>
      <x:c r="P116" t="str">
        <x:v>https://www150.statcan.gc.ca/t1/tbl1/en/tv.action?pid=1410044401</x:v>
      </x:c>
      <x:c r="Q116" t="str">
        <x:v>PASS</x:v>
      </x:c>
    </x:row>
    <x:row r="117">
      <x:c r="A117" t="str">
        <x:v>OBS_JVWS_AF2AA85DA0D69DFF9D19</x:v>
      </x:c>
      <x:c r="B117" t="str">
        <x:v>PR_47</x:v>
      </x:c>
      <x:c r="C117" t="str">
        <x:v>Saskatchewan</x:v>
      </x:c>
      <x:c r="D117" t="str">
        <x:v>2021A000247</x:v>
      </x:c>
      <x:c r="E117" t="str">
        <x:v>72203</x:v>
      </x:c>
      <x:c r="F117" t="str">
        <x:v>Electrical power line and cable workers</x:v>
      </x:c>
      <x:c r="G117" t="str">
        <x:v>trade_power_line</x:v>
      </x:c>
      <x:c r="H117" t="str">
        <x:v>Job vacancies</x:v>
      </x:c>
      <x:c r="I117" s="145"/>
      <x:c r="J117" t="str">
        <x:v>Number</x:v>
      </x:c>
      <x:c r="K117" s="153" t="n">
        <x:v>46112</x:v>
      </x:c>
      <x:c r="L117" t="str">
        <x:v>observed</x:v>
      </x:c>
      <x:c r="M117" t="str">
        <x:v>STATCAN_JVWS_14100444</x:v>
      </x:c>
      <x:c r="N117" t="str">
        <x:v>TR_STATCAN_JVWS_CA_PROVINCES_NOC_1_0_0</x:v>
      </x:c>
      <x:c r="O117" t="str">
        <x:v>status:..|value_missing_or_suppressed</x:v>
      </x:c>
      <x:c r="P117" t="str">
        <x:v>https://www150.statcan.gc.ca/t1/tbl1/en/tv.action?pid=1410044401</x:v>
      </x:c>
      <x:c r="Q117" t="str">
        <x:v>PASS</x:v>
      </x:c>
    </x:row>
    <x:row r="118">
      <x:c r="A118" t="str">
        <x:v>OBS_JVWS_D64CA27766B1D77A23B5</x:v>
      </x:c>
      <x:c r="B118" t="str">
        <x:v>PR_48</x:v>
      </x:c>
      <x:c r="C118" t="str">
        <x:v>Alberta</x:v>
      </x:c>
      <x:c r="D118" t="str">
        <x:v>2021A000248</x:v>
      </x:c>
      <x:c r="E118" t="str">
        <x:v>73100</x:v>
      </x:c>
      <x:c r="F118" t="str">
        <x:v>Concrete finishers</x:v>
      </x:c>
      <x:c r="G118" t="str">
        <x:v>trade_concrete</x:v>
      </x:c>
      <x:c r="H118" t="str">
        <x:v>Average offered hourly wage</x:v>
      </x:c>
      <x:c r="I118" s="145" t="n">
        <x:v>32.85</x:v>
      </x:c>
      <x:c r="J118" t="str">
        <x:v>Dollars</x:v>
      </x:c>
      <x:c r="K118" s="153" t="n">
        <x:v>46112</x:v>
      </x:c>
      <x:c r="L118" t="str">
        <x:v>observed</x:v>
      </x:c>
      <x:c r="M118" t="str">
        <x:v>STATCAN_JVWS_14100444</x:v>
      </x:c>
      <x:c r="N118" t="str">
        <x:v>TR_STATCAN_JVWS_CA_PROVINCES_NOC_1_0_0</x:v>
      </x:c>
      <x:c r="O118" t="str">
        <x:v>status:E</x:v>
      </x:c>
      <x:c r="P118" t="str">
        <x:v>https://www150.statcan.gc.ca/t1/tbl1/en/tv.action?pid=1410044401</x:v>
      </x:c>
      <x:c r="Q118" t="str">
        <x:v>PASS</x:v>
      </x:c>
    </x:row>
    <x:row r="119">
      <x:c r="A119" t="str">
        <x:v>OBS_JVWS_8518C84C98519EB8DA69</x:v>
      </x:c>
      <x:c r="B119" t="str">
        <x:v>PR_48</x:v>
      </x:c>
      <x:c r="C119" t="str">
        <x:v>Alberta</x:v>
      </x:c>
      <x:c r="D119" t="str">
        <x:v>2021A000248</x:v>
      </x:c>
      <x:c r="E119" t="str">
        <x:v>73100</x:v>
      </x:c>
      <x:c r="F119" t="str">
        <x:v>Concrete finishers</x:v>
      </x:c>
      <x:c r="G119" t="str">
        <x:v>trade_concrete</x:v>
      </x:c>
      <x:c r="H119" t="str">
        <x:v>Job vacancies</x:v>
      </x:c>
      <x:c r="I119" s="145"/>
      <x:c r="J119" t="str">
        <x:v>Number</x:v>
      </x:c>
      <x:c r="K119" s="153" t="n">
        <x:v>46112</x:v>
      </x:c>
      <x:c r="L119" t="str">
        <x:v>observed</x:v>
      </x:c>
      <x:c r="M119" t="str">
        <x:v>STATCAN_JVWS_14100444</x:v>
      </x:c>
      <x:c r="N119" t="str">
        <x:v>TR_STATCAN_JVWS_CA_PROVINCES_NOC_1_0_0</x:v>
      </x:c>
      <x:c r="O119" t="str">
        <x:v>status:F|value_missing_or_suppressed</x:v>
      </x:c>
      <x:c r="P119" t="str">
        <x:v>https://www150.statcan.gc.ca/t1/tbl1/en/tv.action?pid=1410044401</x:v>
      </x:c>
      <x:c r="Q119" t="str">
        <x:v>PASS</x:v>
      </x:c>
    </x:row>
    <x:row r="120">
      <x:c r="A120" t="str">
        <x:v>OBS_JVWS_329C2BDEB84516DB1AFE</x:v>
      </x:c>
      <x:c r="B120" t="str">
        <x:v>PR_48</x:v>
      </x:c>
      <x:c r="C120" t="str">
        <x:v>Alberta</x:v>
      </x:c>
      <x:c r="D120" t="str">
        <x:v>2021A000248</x:v>
      </x:c>
      <x:c r="E120" t="str">
        <x:v>72200</x:v>
      </x:c>
      <x:c r="F120" t="str">
        <x:v>Electricians (except industrial and power system)</x:v>
      </x:c>
      <x:c r="G120" t="str">
        <x:v>trade_electricians</x:v>
      </x:c>
      <x:c r="H120" t="str">
        <x:v>Average offered hourly wage</x:v>
      </x:c>
      <x:c r="I120" s="145" t="n">
        <x:v>29.3</x:v>
      </x:c>
      <x:c r="J120" t="str">
        <x:v>Dollars</x:v>
      </x:c>
      <x:c r="K120" s="153" t="n">
        <x:v>46112</x:v>
      </x:c>
      <x:c r="L120" t="str">
        <x:v>observed</x:v>
      </x:c>
      <x:c r="M120" t="str">
        <x:v>STATCAN_JVWS_14100444</x:v>
      </x:c>
      <x:c r="N120" t="str">
        <x:v>TR_STATCAN_JVWS_CA_PROVINCES_NOC_1_0_0</x:v>
      </x:c>
      <x:c r="O120" t="str">
        <x:v>status:B</x:v>
      </x:c>
      <x:c r="P120" t="str">
        <x:v>https://www150.statcan.gc.ca/t1/tbl1/en/tv.action?pid=1410044401</x:v>
      </x:c>
      <x:c r="Q120" t="str">
        <x:v>PASS</x:v>
      </x:c>
    </x:row>
    <x:row r="121">
      <x:c r="A121" t="str">
        <x:v>OBS_JVWS_996307289B305C086EF1</x:v>
      </x:c>
      <x:c r="B121" t="str">
        <x:v>PR_48</x:v>
      </x:c>
      <x:c r="C121" t="str">
        <x:v>Alberta</x:v>
      </x:c>
      <x:c r="D121" t="str">
        <x:v>2021A000248</x:v>
      </x:c>
      <x:c r="E121" t="str">
        <x:v>72200</x:v>
      </x:c>
      <x:c r="F121" t="str">
        <x:v>Electricians (except industrial and power system)</x:v>
      </x:c>
      <x:c r="G121" t="str">
        <x:v>trade_electricians</x:v>
      </x:c>
      <x:c r="H121" t="str">
        <x:v>Job vacancies</x:v>
      </x:c>
      <x:c r="I121" s="145" t="n">
        <x:v>460</x:v>
      </x:c>
      <x:c r="J121" t="str">
        <x:v>Number</x:v>
      </x:c>
      <x:c r="K121" s="153" t="n">
        <x:v>46112</x:v>
      </x:c>
      <x:c r="L121" t="str">
        <x:v>observed</x:v>
      </x:c>
      <x:c r="M121" t="str">
        <x:v>STATCAN_JVWS_14100444</x:v>
      </x:c>
      <x:c r="N121" t="str">
        <x:v>TR_STATCAN_JVWS_CA_PROVINCES_NOC_1_0_0</x:v>
      </x:c>
      <x:c r="O121" t="str">
        <x:v>status:E</x:v>
      </x:c>
      <x:c r="P121" t="str">
        <x:v>https://www150.statcan.gc.ca/t1/tbl1/en/tv.action?pid=1410044401</x:v>
      </x:c>
      <x:c r="Q121" t="str">
        <x:v>PASS</x:v>
      </x:c>
    </x:row>
    <x:row r="122">
      <x:c r="A122" t="str">
        <x:v>OBS_JVWS_AC3E60777ABE191D55B3</x:v>
      </x:c>
      <x:c r="B122" t="str">
        <x:v>PR_48</x:v>
      </x:c>
      <x:c r="C122" t="str">
        <x:v>Alberta</x:v>
      </x:c>
      <x:c r="D122" t="str">
        <x:v>2021A000248</x:v>
      </x:c>
      <x:c r="E122" t="str">
        <x:v>72201</x:v>
      </x:c>
      <x:c r="F122" t="str">
        <x:v>Industrial electricians</x:v>
      </x:c>
      <x:c r="G122" t="str">
        <x:v>trade_electricians</x:v>
      </x:c>
      <x:c r="H122" t="str">
        <x:v>Average offered hourly wage</x:v>
      </x:c>
      <x:c r="I122" s="145" t="n">
        <x:v>45.15</x:v>
      </x:c>
      <x:c r="J122" t="str">
        <x:v>Dollars</x:v>
      </x:c>
      <x:c r="K122" s="153" t="n">
        <x:v>46112</x:v>
      </x:c>
      <x:c r="L122" t="str">
        <x:v>observed</x:v>
      </x:c>
      <x:c r="M122" t="str">
        <x:v>STATCAN_JVWS_14100444</x:v>
      </x:c>
      <x:c r="N122" t="str">
        <x:v>TR_STATCAN_JVWS_CA_PROVINCES_NOC_1_0_0</x:v>
      </x:c>
      <x:c r="O122" t="str">
        <x:v>status:B</x:v>
      </x:c>
      <x:c r="P122" t="str">
        <x:v>https://www150.statcan.gc.ca/t1/tbl1/en/tv.action?pid=1410044401</x:v>
      </x:c>
      <x:c r="Q122" t="str">
        <x:v>PASS</x:v>
      </x:c>
    </x:row>
    <x:row r="123">
      <x:c r="A123" t="str">
        <x:v>OBS_JVWS_640E14AAAF5B4B0E3932</x:v>
      </x:c>
      <x:c r="B123" t="str">
        <x:v>PR_48</x:v>
      </x:c>
      <x:c r="C123" t="str">
        <x:v>Alberta</x:v>
      </x:c>
      <x:c r="D123" t="str">
        <x:v>2021A000248</x:v>
      </x:c>
      <x:c r="E123" t="str">
        <x:v>72201</x:v>
      </x:c>
      <x:c r="F123" t="str">
        <x:v>Industrial electricians</x:v>
      </x:c>
      <x:c r="G123" t="str">
        <x:v>trade_electricians</x:v>
      </x:c>
      <x:c r="H123" t="str">
        <x:v>Job vacancies</x:v>
      </x:c>
      <x:c r="I123" s="145" t="n">
        <x:v>80</x:v>
      </x:c>
      <x:c r="J123" t="str">
        <x:v>Number</x:v>
      </x:c>
      <x:c r="K123" s="153" t="n">
        <x:v>46112</x:v>
      </x:c>
      <x:c r="L123" t="str">
        <x:v>observed</x:v>
      </x:c>
      <x:c r="M123" t="str">
        <x:v>STATCAN_JVWS_14100444</x:v>
      </x:c>
      <x:c r="N123" t="str">
        <x:v>TR_STATCAN_JVWS_CA_PROVINCES_NOC_1_0_0</x:v>
      </x:c>
      <x:c r="O123" t="str">
        <x:v>status:E</x:v>
      </x:c>
      <x:c r="P123" t="str">
        <x:v>https://www150.statcan.gc.ca/t1/tbl1/en/tv.action?pid=1410044401</x:v>
      </x:c>
      <x:c r="Q123" t="str">
        <x:v>PASS</x:v>
      </x:c>
    </x:row>
    <x:row r="124">
      <x:c r="A124" t="str">
        <x:v>OBS_JVWS_F751E089ADE12F6BE3DC</x:v>
      </x:c>
      <x:c r="B124" t="str">
        <x:v>PR_48</x:v>
      </x:c>
      <x:c r="C124" t="str">
        <x:v>Alberta</x:v>
      </x:c>
      <x:c r="D124" t="str">
        <x:v>2021A000248</x:v>
      </x:c>
      <x:c r="E124" t="str">
        <x:v>72402</x:v>
      </x:c>
      <x:c r="F124" t="str">
        <x:v>Heating, refrigeration and air conditioning mechanics</x:v>
      </x:c>
      <x:c r="G124" t="str">
        <x:v>trade_hvac</x:v>
      </x:c>
      <x:c r="H124" t="str">
        <x:v>Average offered hourly wage</x:v>
      </x:c>
      <x:c r="I124" s="145" t="n">
        <x:v>37.1</x:v>
      </x:c>
      <x:c r="J124" t="str">
        <x:v>Dollars</x:v>
      </x:c>
      <x:c r="K124" s="153" t="n">
        <x:v>46112</x:v>
      </x:c>
      <x:c r="L124" t="str">
        <x:v>observed</x:v>
      </x:c>
      <x:c r="M124" t="str">
        <x:v>STATCAN_JVWS_14100444</x:v>
      </x:c>
      <x:c r="N124" t="str">
        <x:v>TR_STATCAN_JVWS_CA_PROVINCES_NOC_1_0_0</x:v>
      </x:c>
      <x:c r="O124" t="str">
        <x:v>status:A</x:v>
      </x:c>
      <x:c r="P124" t="str">
        <x:v>https://www150.statcan.gc.ca/t1/tbl1/en/tv.action?pid=1410044401</x:v>
      </x:c>
      <x:c r="Q124" t="str">
        <x:v>PASS</x:v>
      </x:c>
    </x:row>
    <x:row r="125">
      <x:c r="A125" t="str">
        <x:v>OBS_JVWS_AB9BFCA78334E53B249D</x:v>
      </x:c>
      <x:c r="B125" t="str">
        <x:v>PR_48</x:v>
      </x:c>
      <x:c r="C125" t="str">
        <x:v>Alberta</x:v>
      </x:c>
      <x:c r="D125" t="str">
        <x:v>2021A000248</x:v>
      </x:c>
      <x:c r="E125" t="str">
        <x:v>72402</x:v>
      </x:c>
      <x:c r="F125" t="str">
        <x:v>Heating, refrigeration and air conditioning mechanics</x:v>
      </x:c>
      <x:c r="G125" t="str">
        <x:v>trade_hvac</x:v>
      </x:c>
      <x:c r="H125" t="str">
        <x:v>Job vacancies</x:v>
      </x:c>
      <x:c r="I125" s="145" t="n">
        <x:v>230</x:v>
      </x:c>
      <x:c r="J125" t="str">
        <x:v>Number</x:v>
      </x:c>
      <x:c r="K125" s="153" t="n">
        <x:v>46112</x:v>
      </x:c>
      <x:c r="L125" t="str">
        <x:v>observed</x:v>
      </x:c>
      <x:c r="M125" t="str">
        <x:v>STATCAN_JVWS_14100444</x:v>
      </x:c>
      <x:c r="N125" t="str">
        <x:v>TR_STATCAN_JVWS_CA_PROVINCES_NOC_1_0_0</x:v>
      </x:c>
      <x:c r="O125" t="str">
        <x:v>status:E</x:v>
      </x:c>
      <x:c r="P125" t="str">
        <x:v>https://www150.statcan.gc.ca/t1/tbl1/en/tv.action?pid=1410044401</x:v>
      </x:c>
      <x:c r="Q125" t="str">
        <x:v>PASS</x:v>
      </x:c>
    </x:row>
    <x:row r="126">
      <x:c r="A126" t="str">
        <x:v>OBS_JVWS_700A0E6F9E46DE111DEB</x:v>
      </x:c>
      <x:c r="B126" t="str">
        <x:v>PR_48</x:v>
      </x:c>
      <x:c r="C126" t="str">
        <x:v>Alberta</x:v>
      </x:c>
      <x:c r="D126" t="str">
        <x:v>2021A000248</x:v>
      </x:c>
      <x:c r="E126" t="str">
        <x:v>72202</x:v>
      </x:c>
      <x:c r="F126" t="str">
        <x:v>Power system electricians</x:v>
      </x:c>
      <x:c r="G126" t="str">
        <x:v>trade_power_line</x:v>
      </x:c>
      <x:c r="H126" t="str">
        <x:v>Average offered hourly wage</x:v>
      </x:c>
      <x:c r="I126" s="145"/>
      <x:c r="J126" t="str">
        <x:v>Dollars</x:v>
      </x:c>
      <x:c r="K126" s="153" t="n">
        <x:v>46112</x:v>
      </x:c>
      <x:c r="L126" t="str">
        <x:v>observed</x:v>
      </x:c>
      <x:c r="M126" t="str">
        <x:v>STATCAN_JVWS_14100444</x:v>
      </x:c>
      <x:c r="N126" t="str">
        <x:v>TR_STATCAN_JVWS_CA_PROVINCES_NOC_1_0_0</x:v>
      </x:c>
      <x:c r="O126" t="str">
        <x:v>status:F|value_missing_or_suppressed</x:v>
      </x:c>
      <x:c r="P126" t="str">
        <x:v>https://www150.statcan.gc.ca/t1/tbl1/en/tv.action?pid=1410044401</x:v>
      </x:c>
      <x:c r="Q126" t="str">
        <x:v>PASS</x:v>
      </x:c>
    </x:row>
    <x:row r="127">
      <x:c r="A127" t="str">
        <x:v>OBS_JVWS_75B69B7E87BE50BCF8FC</x:v>
      </x:c>
      <x:c r="B127" t="str">
        <x:v>PR_48</x:v>
      </x:c>
      <x:c r="C127" t="str">
        <x:v>Alberta</x:v>
      </x:c>
      <x:c r="D127" t="str">
        <x:v>2021A000248</x:v>
      </x:c>
      <x:c r="E127" t="str">
        <x:v>72202</x:v>
      </x:c>
      <x:c r="F127" t="str">
        <x:v>Power system electricians</x:v>
      </x:c>
      <x:c r="G127" t="str">
        <x:v>trade_power_line</x:v>
      </x:c>
      <x:c r="H127" t="str">
        <x:v>Job vacancies</x:v>
      </x:c>
      <x:c r="I127" s="145"/>
      <x:c r="J127" t="str">
        <x:v>Number</x:v>
      </x:c>
      <x:c r="K127" s="153" t="n">
        <x:v>46112</x:v>
      </x:c>
      <x:c r="L127" t="str">
        <x:v>observed</x:v>
      </x:c>
      <x:c r="M127" t="str">
        <x:v>STATCAN_JVWS_14100444</x:v>
      </x:c>
      <x:c r="N127" t="str">
        <x:v>TR_STATCAN_JVWS_CA_PROVINCES_NOC_1_0_0</x:v>
      </x:c>
      <x:c r="O127" t="str">
        <x:v>status:F|value_missing_or_suppressed</x:v>
      </x:c>
      <x:c r="P127" t="str">
        <x:v>https://www150.statcan.gc.ca/t1/tbl1/en/tv.action?pid=1410044401</x:v>
      </x:c>
      <x:c r="Q127" t="str">
        <x:v>PASS</x:v>
      </x:c>
    </x:row>
    <x:row r="128">
      <x:c r="A128" t="str">
        <x:v>OBS_JVWS_0BCA937280A1F14B1481</x:v>
      </x:c>
      <x:c r="B128" t="str">
        <x:v>PR_48</x:v>
      </x:c>
      <x:c r="C128" t="str">
        <x:v>Alberta</x:v>
      </x:c>
      <x:c r="D128" t="str">
        <x:v>2021A000248</x:v>
      </x:c>
      <x:c r="E128" t="str">
        <x:v>72203</x:v>
      </x:c>
      <x:c r="F128" t="str">
        <x:v>Electrical power line and cable workers</x:v>
      </x:c>
      <x:c r="G128" t="str">
        <x:v>trade_power_line</x:v>
      </x:c>
      <x:c r="H128" t="str">
        <x:v>Average offered hourly wage</x:v>
      </x:c>
      <x:c r="I128" s="145" t="n">
        <x:v>50.55</x:v>
      </x:c>
      <x:c r="J128" t="str">
        <x:v>Dollars</x:v>
      </x:c>
      <x:c r="K128" s="153" t="n">
        <x:v>46112</x:v>
      </x:c>
      <x:c r="L128" t="str">
        <x:v>observed</x:v>
      </x:c>
      <x:c r="M128" t="str">
        <x:v>STATCAN_JVWS_14100444</x:v>
      </x:c>
      <x:c r="N128" t="str">
        <x:v>TR_STATCAN_JVWS_CA_PROVINCES_NOC_1_0_0</x:v>
      </x:c>
      <x:c r="O128" t="str">
        <x:v>status:C</x:v>
      </x:c>
      <x:c r="P128" t="str">
        <x:v>https://www150.statcan.gc.ca/t1/tbl1/en/tv.action?pid=1410044401</x:v>
      </x:c>
      <x:c r="Q128" t="str">
        <x:v>PASS</x:v>
      </x:c>
    </x:row>
    <x:row r="129">
      <x:c r="A129" t="str">
        <x:v>OBS_JVWS_B95114EA86545CF4EE09</x:v>
      </x:c>
      <x:c r="B129" t="str">
        <x:v>PR_48</x:v>
      </x:c>
      <x:c r="C129" t="str">
        <x:v>Alberta</x:v>
      </x:c>
      <x:c r="D129" t="str">
        <x:v>2021A000248</x:v>
      </x:c>
      <x:c r="E129" t="str">
        <x:v>72203</x:v>
      </x:c>
      <x:c r="F129" t="str">
        <x:v>Electrical power line and cable workers</x:v>
      </x:c>
      <x:c r="G129" t="str">
        <x:v>trade_power_line</x:v>
      </x:c>
      <x:c r="H129" t="str">
        <x:v>Job vacancies</x:v>
      </x:c>
      <x:c r="I129" s="145"/>
      <x:c r="J129" t="str">
        <x:v>Number</x:v>
      </x:c>
      <x:c r="K129" s="153" t="n">
        <x:v>46112</x:v>
      </x:c>
      <x:c r="L129" t="str">
        <x:v>observed</x:v>
      </x:c>
      <x:c r="M129" t="str">
        <x:v>STATCAN_JVWS_14100444</x:v>
      </x:c>
      <x:c r="N129" t="str">
        <x:v>TR_STATCAN_JVWS_CA_PROVINCES_NOC_1_0_0</x:v>
      </x:c>
      <x:c r="O129" t="str">
        <x:v>status:F|value_missing_or_suppressed</x:v>
      </x:c>
      <x:c r="P129" t="str">
        <x:v>https://www150.statcan.gc.ca/t1/tbl1/en/tv.action?pid=1410044401</x:v>
      </x:c>
      <x:c r="Q129" t="str">
        <x:v>PASS</x:v>
      </x:c>
    </x:row>
    <x:row r="130">
      <x:c r="A130" t="str">
        <x:v>OBS_JVWS_EB76CDA2765FD424A2F6</x:v>
      </x:c>
      <x:c r="B130" t="str">
        <x:v>PR_59</x:v>
      </x:c>
      <x:c r="C130" t="str">
        <x:v>British Columbia</x:v>
      </x:c>
      <x:c r="D130" t="str">
        <x:v>2021A000259</x:v>
      </x:c>
      <x:c r="E130" t="str">
        <x:v>73100</x:v>
      </x:c>
      <x:c r="F130" t="str">
        <x:v>Concrete finishers</x:v>
      </x:c>
      <x:c r="G130" t="str">
        <x:v>trade_concrete</x:v>
      </x:c>
      <x:c r="H130" t="str">
        <x:v>Average offered hourly wage</x:v>
      </x:c>
      <x:c r="I130" s="145" t="n">
        <x:v>36.75</x:v>
      </x:c>
      <x:c r="J130" t="str">
        <x:v>Dollars</x:v>
      </x:c>
      <x:c r="K130" s="153" t="n">
        <x:v>46112</x:v>
      </x:c>
      <x:c r="L130" t="str">
        <x:v>observed</x:v>
      </x:c>
      <x:c r="M130" t="str">
        <x:v>STATCAN_JVWS_14100444</x:v>
      </x:c>
      <x:c r="N130" t="str">
        <x:v>TR_STATCAN_JVWS_CA_PROVINCES_NOC_1_0_0</x:v>
      </x:c>
      <x:c r="O130" t="str">
        <x:v>status:E</x:v>
      </x:c>
      <x:c r="P130" t="str">
        <x:v>https://www150.statcan.gc.ca/t1/tbl1/en/tv.action?pid=1410044401</x:v>
      </x:c>
      <x:c r="Q130" t="str">
        <x:v>PASS</x:v>
      </x:c>
    </x:row>
    <x:row r="131">
      <x:c r="A131" t="str">
        <x:v>OBS_JVWS_72BEAC2A4913329CA57B</x:v>
      </x:c>
      <x:c r="B131" t="str">
        <x:v>PR_59</x:v>
      </x:c>
      <x:c r="C131" t="str">
        <x:v>British Columbia</x:v>
      </x:c>
      <x:c r="D131" t="str">
        <x:v>2021A000259</x:v>
      </x:c>
      <x:c r="E131" t="str">
        <x:v>73100</x:v>
      </x:c>
      <x:c r="F131" t="str">
        <x:v>Concrete finishers</x:v>
      </x:c>
      <x:c r="G131" t="str">
        <x:v>trade_concrete</x:v>
      </x:c>
      <x:c r="H131" t="str">
        <x:v>Job vacancies</x:v>
      </x:c>
      <x:c r="I131" s="145"/>
      <x:c r="J131" t="str">
        <x:v>Number</x:v>
      </x:c>
      <x:c r="K131" s="153" t="n">
        <x:v>46112</x:v>
      </x:c>
      <x:c r="L131" t="str">
        <x:v>observed</x:v>
      </x:c>
      <x:c r="M131" t="str">
        <x:v>STATCAN_JVWS_14100444</x:v>
      </x:c>
      <x:c r="N131" t="str">
        <x:v>TR_STATCAN_JVWS_CA_PROVINCES_NOC_1_0_0</x:v>
      </x:c>
      <x:c r="O131" t="str">
        <x:v>status:F|value_missing_or_suppressed</x:v>
      </x:c>
      <x:c r="P131" t="str">
        <x:v>https://www150.statcan.gc.ca/t1/tbl1/en/tv.action?pid=1410044401</x:v>
      </x:c>
      <x:c r="Q131" t="str">
        <x:v>PASS</x:v>
      </x:c>
    </x:row>
    <x:row r="132">
      <x:c r="A132" t="str">
        <x:v>OBS_JVWS_5408A84295BD24AB4762</x:v>
      </x:c>
      <x:c r="B132" t="str">
        <x:v>PR_59</x:v>
      </x:c>
      <x:c r="C132" t="str">
        <x:v>British Columbia</x:v>
      </x:c>
      <x:c r="D132" t="str">
        <x:v>2021A000259</x:v>
      </x:c>
      <x:c r="E132" t="str">
        <x:v>72200</x:v>
      </x:c>
      <x:c r="F132" t="str">
        <x:v>Electricians (except industrial and power system)</x:v>
      </x:c>
      <x:c r="G132" t="str">
        <x:v>trade_electricians</x:v>
      </x:c>
      <x:c r="H132" t="str">
        <x:v>Average offered hourly wage</x:v>
      </x:c>
      <x:c r="I132" s="145" t="n">
        <x:v>36.45</x:v>
      </x:c>
      <x:c r="J132" t="str">
        <x:v>Dollars</x:v>
      </x:c>
      <x:c r="K132" s="153" t="n">
        <x:v>46112</x:v>
      </x:c>
      <x:c r="L132" t="str">
        <x:v>observed</x:v>
      </x:c>
      <x:c r="M132" t="str">
        <x:v>STATCAN_JVWS_14100444</x:v>
      </x:c>
      <x:c r="N132" t="str">
        <x:v>TR_STATCAN_JVWS_CA_PROVINCES_NOC_1_0_0</x:v>
      </x:c>
      <x:c r="O132" t="str">
        <x:v>status:A</x:v>
      </x:c>
      <x:c r="P132" t="str">
        <x:v>https://www150.statcan.gc.ca/t1/tbl1/en/tv.action?pid=1410044401</x:v>
      </x:c>
      <x:c r="Q132" t="str">
        <x:v>PASS</x:v>
      </x:c>
    </x:row>
    <x:row r="133">
      <x:c r="A133" t="str">
        <x:v>OBS_JVWS_27BA5EDC2C20F77838F0</x:v>
      </x:c>
      <x:c r="B133" t="str">
        <x:v>PR_59</x:v>
      </x:c>
      <x:c r="C133" t="str">
        <x:v>British Columbia</x:v>
      </x:c>
      <x:c r="D133" t="str">
        <x:v>2021A000259</x:v>
      </x:c>
      <x:c r="E133" t="str">
        <x:v>72200</x:v>
      </x:c>
      <x:c r="F133" t="str">
        <x:v>Electricians (except industrial and power system)</x:v>
      </x:c>
      <x:c r="G133" t="str">
        <x:v>trade_electricians</x:v>
      </x:c>
      <x:c r="H133" t="str">
        <x:v>Job vacancies</x:v>
      </x:c>
      <x:c r="I133" s="145"/>
      <x:c r="J133" t="str">
        <x:v>Number</x:v>
      </x:c>
      <x:c r="K133" s="153" t="n">
        <x:v>46112</x:v>
      </x:c>
      <x:c r="L133" t="str">
        <x:v>observed</x:v>
      </x:c>
      <x:c r="M133" t="str">
        <x:v>STATCAN_JVWS_14100444</x:v>
      </x:c>
      <x:c r="N133" t="str">
        <x:v>TR_STATCAN_JVWS_CA_PROVINCES_NOC_1_0_0</x:v>
      </x:c>
      <x:c r="O133" t="str">
        <x:v>status:F|value_missing_or_suppressed</x:v>
      </x:c>
      <x:c r="P133" t="str">
        <x:v>https://www150.statcan.gc.ca/t1/tbl1/en/tv.action?pid=1410044401</x:v>
      </x:c>
      <x:c r="Q133" t="str">
        <x:v>PASS</x:v>
      </x:c>
    </x:row>
    <x:row r="134">
      <x:c r="A134" t="str">
        <x:v>OBS_JVWS_1D7B576979C91545207C</x:v>
      </x:c>
      <x:c r="B134" t="str">
        <x:v>PR_59</x:v>
      </x:c>
      <x:c r="C134" t="str">
        <x:v>British Columbia</x:v>
      </x:c>
      <x:c r="D134" t="str">
        <x:v>2021A000259</x:v>
      </x:c>
      <x:c r="E134" t="str">
        <x:v>72201</x:v>
      </x:c>
      <x:c r="F134" t="str">
        <x:v>Industrial electricians</x:v>
      </x:c>
      <x:c r="G134" t="str">
        <x:v>trade_electricians</x:v>
      </x:c>
      <x:c r="H134" t="str">
        <x:v>Average offered hourly wage</x:v>
      </x:c>
      <x:c r="I134" s="145" t="n">
        <x:v>43.2</x:v>
      </x:c>
      <x:c r="J134" t="str">
        <x:v>Dollars</x:v>
      </x:c>
      <x:c r="K134" s="153" t="n">
        <x:v>46112</x:v>
      </x:c>
      <x:c r="L134" t="str">
        <x:v>observed</x:v>
      </x:c>
      <x:c r="M134" t="str">
        <x:v>STATCAN_JVWS_14100444</x:v>
      </x:c>
      <x:c r="N134" t="str">
        <x:v>TR_STATCAN_JVWS_CA_PROVINCES_NOC_1_0_0</x:v>
      </x:c>
      <x:c r="O134" t="str">
        <x:v>status:B</x:v>
      </x:c>
      <x:c r="P134" t="str">
        <x:v>https://www150.statcan.gc.ca/t1/tbl1/en/tv.action?pid=1410044401</x:v>
      </x:c>
      <x:c r="Q134" t="str">
        <x:v>PASS</x:v>
      </x:c>
    </x:row>
    <x:row r="135">
      <x:c r="A135" t="str">
        <x:v>OBS_JVWS_A702D5234B9D63F5E9BF</x:v>
      </x:c>
      <x:c r="B135" t="str">
        <x:v>PR_59</x:v>
      </x:c>
      <x:c r="C135" t="str">
        <x:v>British Columbia</x:v>
      </x:c>
      <x:c r="D135" t="str">
        <x:v>2021A000259</x:v>
      </x:c>
      <x:c r="E135" t="str">
        <x:v>72201</x:v>
      </x:c>
      <x:c r="F135" t="str">
        <x:v>Industrial electricians</x:v>
      </x:c>
      <x:c r="G135" t="str">
        <x:v>trade_electricians</x:v>
      </x:c>
      <x:c r="H135" t="str">
        <x:v>Job vacancies</x:v>
      </x:c>
      <x:c r="I135" s="145"/>
      <x:c r="J135" t="str">
        <x:v>Number</x:v>
      </x:c>
      <x:c r="K135" s="153" t="n">
        <x:v>46112</x:v>
      </x:c>
      <x:c r="L135" t="str">
        <x:v>observed</x:v>
      </x:c>
      <x:c r="M135" t="str">
        <x:v>STATCAN_JVWS_14100444</x:v>
      </x:c>
      <x:c r="N135" t="str">
        <x:v>TR_STATCAN_JVWS_CA_PROVINCES_NOC_1_0_0</x:v>
      </x:c>
      <x:c r="O135" t="str">
        <x:v>status:F|value_missing_or_suppressed</x:v>
      </x:c>
      <x:c r="P135" t="str">
        <x:v>https://www150.statcan.gc.ca/t1/tbl1/en/tv.action?pid=1410044401</x:v>
      </x:c>
      <x:c r="Q135" t="str">
        <x:v>PASS</x:v>
      </x:c>
    </x:row>
    <x:row r="136">
      <x:c r="A136" t="str">
        <x:v>OBS_JVWS_566A85D03DB282B7AB6F</x:v>
      </x:c>
      <x:c r="B136" t="str">
        <x:v>PR_59</x:v>
      </x:c>
      <x:c r="C136" t="str">
        <x:v>British Columbia</x:v>
      </x:c>
      <x:c r="D136" t="str">
        <x:v>2021A000259</x:v>
      </x:c>
      <x:c r="E136" t="str">
        <x:v>72402</x:v>
      </x:c>
      <x:c r="F136" t="str">
        <x:v>Heating, refrigeration and air conditioning mechanics</x:v>
      </x:c>
      <x:c r="G136" t="str">
        <x:v>trade_hvac</x:v>
      </x:c>
      <x:c r="H136" t="str">
        <x:v>Average offered hourly wage</x:v>
      </x:c>
      <x:c r="I136" s="145" t="n">
        <x:v>37.95</x:v>
      </x:c>
      <x:c r="J136" t="str">
        <x:v>Dollars</x:v>
      </x:c>
      <x:c r="K136" s="153" t="n">
        <x:v>46112</x:v>
      </x:c>
      <x:c r="L136" t="str">
        <x:v>observed</x:v>
      </x:c>
      <x:c r="M136" t="str">
        <x:v>STATCAN_JVWS_14100444</x:v>
      </x:c>
      <x:c r="N136" t="str">
        <x:v>TR_STATCAN_JVWS_CA_PROVINCES_NOC_1_0_0</x:v>
      </x:c>
      <x:c r="O136" t="str">
        <x:v>status:B</x:v>
      </x:c>
      <x:c r="P136" t="str">
        <x:v>https://www150.statcan.gc.ca/t1/tbl1/en/tv.action?pid=1410044401</x:v>
      </x:c>
      <x:c r="Q136" t="str">
        <x:v>PASS</x:v>
      </x:c>
    </x:row>
    <x:row r="137">
      <x:c r="A137" t="str">
        <x:v>OBS_JVWS_4A15816D7C69E611A2AB</x:v>
      </x:c>
      <x:c r="B137" t="str">
        <x:v>PR_59</x:v>
      </x:c>
      <x:c r="C137" t="str">
        <x:v>British Columbia</x:v>
      </x:c>
      <x:c r="D137" t="str">
        <x:v>2021A000259</x:v>
      </x:c>
      <x:c r="E137" t="str">
        <x:v>72402</x:v>
      </x:c>
      <x:c r="F137" t="str">
        <x:v>Heating, refrigeration and air conditioning mechanics</x:v>
      </x:c>
      <x:c r="G137" t="str">
        <x:v>trade_hvac</x:v>
      </x:c>
      <x:c r="H137" t="str">
        <x:v>Job vacancies</x:v>
      </x:c>
      <x:c r="I137" s="145"/>
      <x:c r="J137" t="str">
        <x:v>Number</x:v>
      </x:c>
      <x:c r="K137" s="153" t="n">
        <x:v>46112</x:v>
      </x:c>
      <x:c r="L137" t="str">
        <x:v>observed</x:v>
      </x:c>
      <x:c r="M137" t="str">
        <x:v>STATCAN_JVWS_14100444</x:v>
      </x:c>
      <x:c r="N137" t="str">
        <x:v>TR_STATCAN_JVWS_CA_PROVINCES_NOC_1_0_0</x:v>
      </x:c>
      <x:c r="O137" t="str">
        <x:v>status:F|value_missing_or_suppressed</x:v>
      </x:c>
      <x:c r="P137" t="str">
        <x:v>https://www150.statcan.gc.ca/t1/tbl1/en/tv.action?pid=1410044401</x:v>
      </x:c>
      <x:c r="Q137" t="str">
        <x:v>PASS</x:v>
      </x:c>
    </x:row>
    <x:row r="138">
      <x:c r="A138" t="str">
        <x:v>OBS_JVWS_1DF42DCD0169DEB76F79</x:v>
      </x:c>
      <x:c r="B138" t="str">
        <x:v>PR_59</x:v>
      </x:c>
      <x:c r="C138" t="str">
        <x:v>British Columbia</x:v>
      </x:c>
      <x:c r="D138" t="str">
        <x:v>2021A000259</x:v>
      </x:c>
      <x:c r="E138" t="str">
        <x:v>72202</x:v>
      </x:c>
      <x:c r="F138" t="str">
        <x:v>Power system electricians</x:v>
      </x:c>
      <x:c r="G138" t="str">
        <x:v>trade_power_line</x:v>
      </x:c>
      <x:c r="H138" t="str">
        <x:v>Average offered hourly wage</x:v>
      </x:c>
      <x:c r="I138" s="145"/>
      <x:c r="J138" t="str">
        <x:v>Dollars</x:v>
      </x:c>
      <x:c r="K138" s="153" t="n">
        <x:v>46112</x:v>
      </x:c>
      <x:c r="L138" t="str">
        <x:v>observed</x:v>
      </x:c>
      <x:c r="M138" t="str">
        <x:v>STATCAN_JVWS_14100444</x:v>
      </x:c>
      <x:c r="N138" t="str">
        <x:v>TR_STATCAN_JVWS_CA_PROVINCES_NOC_1_0_0</x:v>
      </x:c>
      <x:c r="O138" t="str">
        <x:v>status:..|value_missing_or_suppressed</x:v>
      </x:c>
      <x:c r="P138" t="str">
        <x:v>https://www150.statcan.gc.ca/t1/tbl1/en/tv.action?pid=1410044401</x:v>
      </x:c>
      <x:c r="Q138" t="str">
        <x:v>PASS</x:v>
      </x:c>
    </x:row>
    <x:row r="139">
      <x:c r="A139" t="str">
        <x:v>OBS_JVWS_63588432EA651010A811</x:v>
      </x:c>
      <x:c r="B139" t="str">
        <x:v>PR_59</x:v>
      </x:c>
      <x:c r="C139" t="str">
        <x:v>British Columbia</x:v>
      </x:c>
      <x:c r="D139" t="str">
        <x:v>2021A000259</x:v>
      </x:c>
      <x:c r="E139" t="str">
        <x:v>72202</x:v>
      </x:c>
      <x:c r="F139" t="str">
        <x:v>Power system electricians</x:v>
      </x:c>
      <x:c r="G139" t="str">
        <x:v>trade_power_line</x:v>
      </x:c>
      <x:c r="H139" t="str">
        <x:v>Job vacancies</x:v>
      </x:c>
      <x:c r="I139" s="145"/>
      <x:c r="J139" t="str">
        <x:v>Number</x:v>
      </x:c>
      <x:c r="K139" s="153" t="n">
        <x:v>46112</x:v>
      </x:c>
      <x:c r="L139" t="str">
        <x:v>observed</x:v>
      </x:c>
      <x:c r="M139" t="str">
        <x:v>STATCAN_JVWS_14100444</x:v>
      </x:c>
      <x:c r="N139" t="str">
        <x:v>TR_STATCAN_JVWS_CA_PROVINCES_NOC_1_0_0</x:v>
      </x:c>
      <x:c r="O139" t="str">
        <x:v>status:..|value_missing_or_suppressed</x:v>
      </x:c>
      <x:c r="P139" t="str">
        <x:v>https://www150.statcan.gc.ca/t1/tbl1/en/tv.action?pid=1410044401</x:v>
      </x:c>
      <x:c r="Q139" t="str">
        <x:v>PASS</x:v>
      </x:c>
    </x:row>
    <x:row r="140">
      <x:c r="A140" t="str">
        <x:v>OBS_JVWS_0F8941B59583E6387F02</x:v>
      </x:c>
      <x:c r="B140" t="str">
        <x:v>PR_59</x:v>
      </x:c>
      <x:c r="C140" t="str">
        <x:v>British Columbia</x:v>
      </x:c>
      <x:c r="D140" t="str">
        <x:v>2021A000259</x:v>
      </x:c>
      <x:c r="E140" t="str">
        <x:v>72203</x:v>
      </x:c>
      <x:c r="F140" t="str">
        <x:v>Electrical power line and cable workers</x:v>
      </x:c>
      <x:c r="G140" t="str">
        <x:v>trade_power_line</x:v>
      </x:c>
      <x:c r="H140" t="str">
        <x:v>Average offered hourly wage</x:v>
      </x:c>
      <x:c r="I140" s="145"/>
      <x:c r="J140" t="str">
        <x:v>Dollars</x:v>
      </x:c>
      <x:c r="K140" s="153" t="n">
        <x:v>46112</x:v>
      </x:c>
      <x:c r="L140" t="str">
        <x:v>observed</x:v>
      </x:c>
      <x:c r="M140" t="str">
        <x:v>STATCAN_JVWS_14100444</x:v>
      </x:c>
      <x:c r="N140" t="str">
        <x:v>TR_STATCAN_JVWS_CA_PROVINCES_NOC_1_0_0</x:v>
      </x:c>
      <x:c r="O140" t="str">
        <x:v>status:F|value_missing_or_suppressed</x:v>
      </x:c>
      <x:c r="P140" t="str">
        <x:v>https://www150.statcan.gc.ca/t1/tbl1/en/tv.action?pid=1410044401</x:v>
      </x:c>
      <x:c r="Q140" t="str">
        <x:v>PASS</x:v>
      </x:c>
    </x:row>
    <x:row r="141">
      <x:c r="A141" t="str">
        <x:v>OBS_JVWS_4B883BEB7E7CBB4A7272</x:v>
      </x:c>
      <x:c r="B141" t="str">
        <x:v>PR_59</x:v>
      </x:c>
      <x:c r="C141" t="str">
        <x:v>British Columbia</x:v>
      </x:c>
      <x:c r="D141" t="str">
        <x:v>2021A000259</x:v>
      </x:c>
      <x:c r="E141" t="str">
        <x:v>72203</x:v>
      </x:c>
      <x:c r="F141" t="str">
        <x:v>Electrical power line and cable workers</x:v>
      </x:c>
      <x:c r="G141" t="str">
        <x:v>trade_power_line</x:v>
      </x:c>
      <x:c r="H141" t="str">
        <x:v>Job vacancies</x:v>
      </x:c>
      <x:c r="I141" s="145"/>
      <x:c r="J141" t="str">
        <x:v>Number</x:v>
      </x:c>
      <x:c r="K141" s="153" t="n">
        <x:v>46112</x:v>
      </x:c>
      <x:c r="L141" t="str">
        <x:v>observed</x:v>
      </x:c>
      <x:c r="M141" t="str">
        <x:v>STATCAN_JVWS_14100444</x:v>
      </x:c>
      <x:c r="N141" t="str">
        <x:v>TR_STATCAN_JVWS_CA_PROVINCES_NOC_1_0_0</x:v>
      </x:c>
      <x:c r="O141" t="str">
        <x:v>status:F|value_missing_or_suppressed</x:v>
      </x:c>
      <x:c r="P141" t="str">
        <x:v>https://www150.statcan.gc.ca/t1/tbl1/en/tv.action?pid=1410044401</x:v>
      </x:c>
      <x:c r="Q141" t="str">
        <x:v>PASS</x:v>
      </x:c>
    </x:row>
    <x:row r="142">
      <x:c r="A142" t="str">
        <x:v>OBS_JVWS_F8296AAE6A6A8B341B39</x:v>
      </x:c>
      <x:c r="B142" t="str">
        <x:v>PR_60</x:v>
      </x:c>
      <x:c r="C142" t="str">
        <x:v>Yukon</x:v>
      </x:c>
      <x:c r="D142" t="str">
        <x:v>2021A000260</x:v>
      </x:c>
      <x:c r="E142" t="str">
        <x:v>73100</x:v>
      </x:c>
      <x:c r="F142" t="str">
        <x:v>Concrete finishers</x:v>
      </x:c>
      <x:c r="G142" t="str">
        <x:v>trade_concrete</x:v>
      </x:c>
      <x:c r="H142" t="str">
        <x:v>Average offered hourly wage</x:v>
      </x:c>
      <x:c r="I142" s="145"/>
      <x:c r="J142" t="str">
        <x:v>Dollars</x:v>
      </x:c>
      <x:c r="K142" s="153" t="n">
        <x:v>46112</x:v>
      </x:c>
      <x:c r="L142" t="str">
        <x:v>observed</x:v>
      </x:c>
      <x:c r="M142" t="str">
        <x:v>STATCAN_JVWS_14100444</x:v>
      </x:c>
      <x:c r="N142" t="str">
        <x:v>TR_STATCAN_JVWS_CA_PROVINCES_NOC_1_0_0</x:v>
      </x:c>
      <x:c r="O142" t="str">
        <x:v>status:..|value_missing_or_suppressed</x:v>
      </x:c>
      <x:c r="P142" t="str">
        <x:v>https://www150.statcan.gc.ca/t1/tbl1/en/tv.action?pid=1410044401</x:v>
      </x:c>
      <x:c r="Q142" t="str">
        <x:v>PASS</x:v>
      </x:c>
    </x:row>
    <x:row r="143">
      <x:c r="A143" t="str">
        <x:v>OBS_JVWS_AC22BDE429BE45C6B9B6</x:v>
      </x:c>
      <x:c r="B143" t="str">
        <x:v>PR_60</x:v>
      </x:c>
      <x:c r="C143" t="str">
        <x:v>Yukon</x:v>
      </x:c>
      <x:c r="D143" t="str">
        <x:v>2021A000260</x:v>
      </x:c>
      <x:c r="E143" t="str">
        <x:v>73100</x:v>
      </x:c>
      <x:c r="F143" t="str">
        <x:v>Concrete finishers</x:v>
      </x:c>
      <x:c r="G143" t="str">
        <x:v>trade_concrete</x:v>
      </x:c>
      <x:c r="H143" t="str">
        <x:v>Job vacancies</x:v>
      </x:c>
      <x:c r="I143" s="145"/>
      <x:c r="J143" t="str">
        <x:v>Number</x:v>
      </x:c>
      <x:c r="K143" s="153" t="n">
        <x:v>46112</x:v>
      </x:c>
      <x:c r="L143" t="str">
        <x:v>observed</x:v>
      </x:c>
      <x:c r="M143" t="str">
        <x:v>STATCAN_JVWS_14100444</x:v>
      </x:c>
      <x:c r="N143" t="str">
        <x:v>TR_STATCAN_JVWS_CA_PROVINCES_NOC_1_0_0</x:v>
      </x:c>
      <x:c r="O143" t="str">
        <x:v>status:..|value_missing_or_suppressed</x:v>
      </x:c>
      <x:c r="P143" t="str">
        <x:v>https://www150.statcan.gc.ca/t1/tbl1/en/tv.action?pid=1410044401</x:v>
      </x:c>
      <x:c r="Q143" t="str">
        <x:v>PASS</x:v>
      </x:c>
    </x:row>
    <x:row r="144">
      <x:c r="A144" t="str">
        <x:v>OBS_JVWS_C70E1157D36A95C8C8B2</x:v>
      </x:c>
      <x:c r="B144" t="str">
        <x:v>PR_60</x:v>
      </x:c>
      <x:c r="C144" t="str">
        <x:v>Yukon</x:v>
      </x:c>
      <x:c r="D144" t="str">
        <x:v>2021A000260</x:v>
      </x:c>
      <x:c r="E144" t="str">
        <x:v>72200</x:v>
      </x:c>
      <x:c r="F144" t="str">
        <x:v>Electricians (except industrial and power system)</x:v>
      </x:c>
      <x:c r="G144" t="str">
        <x:v>trade_electricians</x:v>
      </x:c>
      <x:c r="H144" t="str">
        <x:v>Average offered hourly wage</x:v>
      </x:c>
      <x:c r="I144" s="145"/>
      <x:c r="J144" t="str">
        <x:v>Dollars</x:v>
      </x:c>
      <x:c r="K144" s="153" t="n">
        <x:v>46112</x:v>
      </x:c>
      <x:c r="L144" t="str">
        <x:v>observed</x:v>
      </x:c>
      <x:c r="M144" t="str">
        <x:v>STATCAN_JVWS_14100444</x:v>
      </x:c>
      <x:c r="N144" t="str">
        <x:v>TR_STATCAN_JVWS_CA_PROVINCES_NOC_1_0_0</x:v>
      </x:c>
      <x:c r="O144" t="str">
        <x:v>status:F|value_missing_or_suppressed</x:v>
      </x:c>
      <x:c r="P144" t="str">
        <x:v>https://www150.statcan.gc.ca/t1/tbl1/en/tv.action?pid=1410044401</x:v>
      </x:c>
      <x:c r="Q144" t="str">
        <x:v>PASS</x:v>
      </x:c>
    </x:row>
    <x:row r="145">
      <x:c r="A145" t="str">
        <x:v>OBS_JVWS_D5D1BA04DFE40A14E286</x:v>
      </x:c>
      <x:c r="B145" t="str">
        <x:v>PR_60</x:v>
      </x:c>
      <x:c r="C145" t="str">
        <x:v>Yukon</x:v>
      </x:c>
      <x:c r="D145" t="str">
        <x:v>2021A000260</x:v>
      </x:c>
      <x:c r="E145" t="str">
        <x:v>72200</x:v>
      </x:c>
      <x:c r="F145" t="str">
        <x:v>Electricians (except industrial and power system)</x:v>
      </x:c>
      <x:c r="G145" t="str">
        <x:v>trade_electricians</x:v>
      </x:c>
      <x:c r="H145" t="str">
        <x:v>Job vacancies</x:v>
      </x:c>
      <x:c r="I145" s="145"/>
      <x:c r="J145" t="str">
        <x:v>Number</x:v>
      </x:c>
      <x:c r="K145" s="153" t="n">
        <x:v>46112</x:v>
      </x:c>
      <x:c r="L145" t="str">
        <x:v>observed</x:v>
      </x:c>
      <x:c r="M145" t="str">
        <x:v>STATCAN_JVWS_14100444</x:v>
      </x:c>
      <x:c r="N145" t="str">
        <x:v>TR_STATCAN_JVWS_CA_PROVINCES_NOC_1_0_0</x:v>
      </x:c>
      <x:c r="O145" t="str">
        <x:v>status:F|value_missing_or_suppressed</x:v>
      </x:c>
      <x:c r="P145" t="str">
        <x:v>https://www150.statcan.gc.ca/t1/tbl1/en/tv.action?pid=1410044401</x:v>
      </x:c>
      <x:c r="Q145" t="str">
        <x:v>PASS</x:v>
      </x:c>
    </x:row>
    <x:row r="146">
      <x:c r="A146" t="str">
        <x:v>OBS_JVWS_339674C1C015B473DF81</x:v>
      </x:c>
      <x:c r="B146" t="str">
        <x:v>PR_60</x:v>
      </x:c>
      <x:c r="C146" t="str">
        <x:v>Yukon</x:v>
      </x:c>
      <x:c r="D146" t="str">
        <x:v>2021A000260</x:v>
      </x:c>
      <x:c r="E146" t="str">
        <x:v>72201</x:v>
      </x:c>
      <x:c r="F146" t="str">
        <x:v>Industrial electricians</x:v>
      </x:c>
      <x:c r="G146" t="str">
        <x:v>trade_electricians</x:v>
      </x:c>
      <x:c r="H146" t="str">
        <x:v>Average offered hourly wage</x:v>
      </x:c>
      <x:c r="I146" s="145"/>
      <x:c r="J146" t="str">
        <x:v>Dollars</x:v>
      </x:c>
      <x:c r="K146" s="153" t="n">
        <x:v>46112</x:v>
      </x:c>
      <x:c r="L146" t="str">
        <x:v>observed</x:v>
      </x:c>
      <x:c r="M146" t="str">
        <x:v>STATCAN_JVWS_14100444</x:v>
      </x:c>
      <x:c r="N146" t="str">
        <x:v>TR_STATCAN_JVWS_CA_PROVINCES_NOC_1_0_0</x:v>
      </x:c>
      <x:c r="O146" t="str">
        <x:v>status:F|value_missing_or_suppressed</x:v>
      </x:c>
      <x:c r="P146" t="str">
        <x:v>https://www150.statcan.gc.ca/t1/tbl1/en/tv.action?pid=1410044401</x:v>
      </x:c>
      <x:c r="Q146" t="str">
        <x:v>PASS</x:v>
      </x:c>
    </x:row>
    <x:row r="147">
      <x:c r="A147" t="str">
        <x:v>OBS_JVWS_873901CAD185B0A70ECE</x:v>
      </x:c>
      <x:c r="B147" t="str">
        <x:v>PR_60</x:v>
      </x:c>
      <x:c r="C147" t="str">
        <x:v>Yukon</x:v>
      </x:c>
      <x:c r="D147" t="str">
        <x:v>2021A000260</x:v>
      </x:c>
      <x:c r="E147" t="str">
        <x:v>72201</x:v>
      </x:c>
      <x:c r="F147" t="str">
        <x:v>Industrial electricians</x:v>
      </x:c>
      <x:c r="G147" t="str">
        <x:v>trade_electricians</x:v>
      </x:c>
      <x:c r="H147" t="str">
        <x:v>Job vacancies</x:v>
      </x:c>
      <x:c r="I147" s="145"/>
      <x:c r="J147" t="str">
        <x:v>Number</x:v>
      </x:c>
      <x:c r="K147" s="153" t="n">
        <x:v>46112</x:v>
      </x:c>
      <x:c r="L147" t="str">
        <x:v>observed</x:v>
      </x:c>
      <x:c r="M147" t="str">
        <x:v>STATCAN_JVWS_14100444</x:v>
      </x:c>
      <x:c r="N147" t="str">
        <x:v>TR_STATCAN_JVWS_CA_PROVINCES_NOC_1_0_0</x:v>
      </x:c>
      <x:c r="O147" t="str">
        <x:v>status:F|value_missing_or_suppressed</x:v>
      </x:c>
      <x:c r="P147" t="str">
        <x:v>https://www150.statcan.gc.ca/t1/tbl1/en/tv.action?pid=1410044401</x:v>
      </x:c>
      <x:c r="Q147" t="str">
        <x:v>PASS</x:v>
      </x:c>
    </x:row>
    <x:row r="148">
      <x:c r="A148" t="str">
        <x:v>OBS_JVWS_42D919B7D84A7237BE4E</x:v>
      </x:c>
      <x:c r="B148" t="str">
        <x:v>PR_60</x:v>
      </x:c>
      <x:c r="C148" t="str">
        <x:v>Yukon</x:v>
      </x:c>
      <x:c r="D148" t="str">
        <x:v>2021A000260</x:v>
      </x:c>
      <x:c r="E148" t="str">
        <x:v>72402</x:v>
      </x:c>
      <x:c r="F148" t="str">
        <x:v>Heating, refrigeration and air conditioning mechanics</x:v>
      </x:c>
      <x:c r="G148" t="str">
        <x:v>trade_hvac</x:v>
      </x:c>
      <x:c r="H148" t="str">
        <x:v>Average offered hourly wage</x:v>
      </x:c>
      <x:c r="I148" s="145"/>
      <x:c r="J148" t="str">
        <x:v>Dollars</x:v>
      </x:c>
      <x:c r="K148" s="153" t="n">
        <x:v>46112</x:v>
      </x:c>
      <x:c r="L148" t="str">
        <x:v>observed</x:v>
      </x:c>
      <x:c r="M148" t="str">
        <x:v>STATCAN_JVWS_14100444</x:v>
      </x:c>
      <x:c r="N148" t="str">
        <x:v>TR_STATCAN_JVWS_CA_PROVINCES_NOC_1_0_0</x:v>
      </x:c>
      <x:c r="O148" t="str">
        <x:v>status:F|value_missing_or_suppressed</x:v>
      </x:c>
      <x:c r="P148" t="str">
        <x:v>https://www150.statcan.gc.ca/t1/tbl1/en/tv.action?pid=1410044401</x:v>
      </x:c>
      <x:c r="Q148" t="str">
        <x:v>PASS</x:v>
      </x:c>
    </x:row>
    <x:row r="149">
      <x:c r="A149" t="str">
        <x:v>OBS_JVWS_06E9EEEBB5134C0950D6</x:v>
      </x:c>
      <x:c r="B149" t="str">
        <x:v>PR_60</x:v>
      </x:c>
      <x:c r="C149" t="str">
        <x:v>Yukon</x:v>
      </x:c>
      <x:c r="D149" t="str">
        <x:v>2021A000260</x:v>
      </x:c>
      <x:c r="E149" t="str">
        <x:v>72402</x:v>
      </x:c>
      <x:c r="F149" t="str">
        <x:v>Heating, refrigeration and air conditioning mechanics</x:v>
      </x:c>
      <x:c r="G149" t="str">
        <x:v>trade_hvac</x:v>
      </x:c>
      <x:c r="H149" t="str">
        <x:v>Job vacancies</x:v>
      </x:c>
      <x:c r="I149" s="145"/>
      <x:c r="J149" t="str">
        <x:v>Number</x:v>
      </x:c>
      <x:c r="K149" s="153" t="n">
        <x:v>46112</x:v>
      </x:c>
      <x:c r="L149" t="str">
        <x:v>observed</x:v>
      </x:c>
      <x:c r="M149" t="str">
        <x:v>STATCAN_JVWS_14100444</x:v>
      </x:c>
      <x:c r="N149" t="str">
        <x:v>TR_STATCAN_JVWS_CA_PROVINCES_NOC_1_0_0</x:v>
      </x:c>
      <x:c r="O149" t="str">
        <x:v>status:F|value_missing_or_suppressed</x:v>
      </x:c>
      <x:c r="P149" t="str">
        <x:v>https://www150.statcan.gc.ca/t1/tbl1/en/tv.action?pid=1410044401</x:v>
      </x:c>
      <x:c r="Q149" t="str">
        <x:v>PASS</x:v>
      </x:c>
    </x:row>
    <x:row r="150">
      <x:c r="A150" t="str">
        <x:v>OBS_JVWS_3E22CEF0706D254247D0</x:v>
      </x:c>
      <x:c r="B150" t="str">
        <x:v>PR_60</x:v>
      </x:c>
      <x:c r="C150" t="str">
        <x:v>Yukon</x:v>
      </x:c>
      <x:c r="D150" t="str">
        <x:v>2021A000260</x:v>
      </x:c>
      <x:c r="E150" t="str">
        <x:v>72202</x:v>
      </x:c>
      <x:c r="F150" t="str">
        <x:v>Power system electricians</x:v>
      </x:c>
      <x:c r="G150" t="str">
        <x:v>trade_power_line</x:v>
      </x:c>
      <x:c r="H150" t="str">
        <x:v>Average offered hourly wage</x:v>
      </x:c>
      <x:c r="I150" s="145"/>
      <x:c r="J150" t="str">
        <x:v>Dollars</x:v>
      </x:c>
      <x:c r="K150" s="153" t="n">
        <x:v>46112</x:v>
      </x:c>
      <x:c r="L150" t="str">
        <x:v>observed</x:v>
      </x:c>
      <x:c r="M150" t="str">
        <x:v>STATCAN_JVWS_14100444</x:v>
      </x:c>
      <x:c r="N150" t="str">
        <x:v>TR_STATCAN_JVWS_CA_PROVINCES_NOC_1_0_0</x:v>
      </x:c>
      <x:c r="O150" t="str">
        <x:v>status:..|value_missing_or_suppressed</x:v>
      </x:c>
      <x:c r="P150" t="str">
        <x:v>https://www150.statcan.gc.ca/t1/tbl1/en/tv.action?pid=1410044401</x:v>
      </x:c>
      <x:c r="Q150" t="str">
        <x:v>PASS</x:v>
      </x:c>
    </x:row>
    <x:row r="151">
      <x:c r="A151" t="str">
        <x:v>OBS_JVWS_B3B42B089DACBE9CF6D2</x:v>
      </x:c>
      <x:c r="B151" t="str">
        <x:v>PR_60</x:v>
      </x:c>
      <x:c r="C151" t="str">
        <x:v>Yukon</x:v>
      </x:c>
      <x:c r="D151" t="str">
        <x:v>2021A000260</x:v>
      </x:c>
      <x:c r="E151" t="str">
        <x:v>72202</x:v>
      </x:c>
      <x:c r="F151" t="str">
        <x:v>Power system electricians</x:v>
      </x:c>
      <x:c r="G151" t="str">
        <x:v>trade_power_line</x:v>
      </x:c>
      <x:c r="H151" t="str">
        <x:v>Job vacancies</x:v>
      </x:c>
      <x:c r="I151" s="145"/>
      <x:c r="J151" t="str">
        <x:v>Number</x:v>
      </x:c>
      <x:c r="K151" s="153" t="n">
        <x:v>46112</x:v>
      </x:c>
      <x:c r="L151" t="str">
        <x:v>observed</x:v>
      </x:c>
      <x:c r="M151" t="str">
        <x:v>STATCAN_JVWS_14100444</x:v>
      </x:c>
      <x:c r="N151" t="str">
        <x:v>TR_STATCAN_JVWS_CA_PROVINCES_NOC_1_0_0</x:v>
      </x:c>
      <x:c r="O151" t="str">
        <x:v>status:..|value_missing_or_suppressed</x:v>
      </x:c>
      <x:c r="P151" t="str">
        <x:v>https://www150.statcan.gc.ca/t1/tbl1/en/tv.action?pid=1410044401</x:v>
      </x:c>
      <x:c r="Q151" t="str">
        <x:v>PASS</x:v>
      </x:c>
    </x:row>
    <x:row r="152">
      <x:c r="A152" t="str">
        <x:v>OBS_JVWS_6BD3EBBBD747232D5001</x:v>
      </x:c>
      <x:c r="B152" t="str">
        <x:v>PR_60</x:v>
      </x:c>
      <x:c r="C152" t="str">
        <x:v>Yukon</x:v>
      </x:c>
      <x:c r="D152" t="str">
        <x:v>2021A000260</x:v>
      </x:c>
      <x:c r="E152" t="str">
        <x:v>72203</x:v>
      </x:c>
      <x:c r="F152" t="str">
        <x:v>Electrical power line and cable workers</x:v>
      </x:c>
      <x:c r="G152" t="str">
        <x:v>trade_power_line</x:v>
      </x:c>
      <x:c r="H152" t="str">
        <x:v>Average offered hourly wage</x:v>
      </x:c>
      <x:c r="I152" s="145"/>
      <x:c r="J152" t="str">
        <x:v>Dollars</x:v>
      </x:c>
      <x:c r="K152" s="153" t="n">
        <x:v>46112</x:v>
      </x:c>
      <x:c r="L152" t="str">
        <x:v>observed</x:v>
      </x:c>
      <x:c r="M152" t="str">
        <x:v>STATCAN_JVWS_14100444</x:v>
      </x:c>
      <x:c r="N152" t="str">
        <x:v>TR_STATCAN_JVWS_CA_PROVINCES_NOC_1_0_0</x:v>
      </x:c>
      <x:c r="O152" t="str">
        <x:v>status:..|value_missing_or_suppressed</x:v>
      </x:c>
      <x:c r="P152" t="str">
        <x:v>https://www150.statcan.gc.ca/t1/tbl1/en/tv.action?pid=1410044401</x:v>
      </x:c>
      <x:c r="Q152" t="str">
        <x:v>PASS</x:v>
      </x:c>
    </x:row>
    <x:row r="153">
      <x:c r="A153" t="str">
        <x:v>OBS_JVWS_4875BF71327C8043DEED</x:v>
      </x:c>
      <x:c r="B153" t="str">
        <x:v>PR_60</x:v>
      </x:c>
      <x:c r="C153" t="str">
        <x:v>Yukon</x:v>
      </x:c>
      <x:c r="D153" t="str">
        <x:v>2021A000260</x:v>
      </x:c>
      <x:c r="E153" t="str">
        <x:v>72203</x:v>
      </x:c>
      <x:c r="F153" t="str">
        <x:v>Electrical power line and cable workers</x:v>
      </x:c>
      <x:c r="G153" t="str">
        <x:v>trade_power_line</x:v>
      </x:c>
      <x:c r="H153" t="str">
        <x:v>Job vacancies</x:v>
      </x:c>
      <x:c r="I153" s="145"/>
      <x:c r="J153" t="str">
        <x:v>Number</x:v>
      </x:c>
      <x:c r="K153" s="153" t="n">
        <x:v>46112</x:v>
      </x:c>
      <x:c r="L153" t="str">
        <x:v>observed</x:v>
      </x:c>
      <x:c r="M153" t="str">
        <x:v>STATCAN_JVWS_14100444</x:v>
      </x:c>
      <x:c r="N153" t="str">
        <x:v>TR_STATCAN_JVWS_CA_PROVINCES_NOC_1_0_0</x:v>
      </x:c>
      <x:c r="O153" t="str">
        <x:v>status:..|value_missing_or_suppressed</x:v>
      </x:c>
      <x:c r="P153" t="str">
        <x:v>https://www150.statcan.gc.ca/t1/tbl1/en/tv.action?pid=1410044401</x:v>
      </x:c>
      <x:c r="Q153" t="str">
        <x:v>PASS</x:v>
      </x:c>
    </x:row>
    <x:row r="154">
      <x:c r="A154" t="str">
        <x:v>OBS_JVWS_B0A0707FEA71EF309CD6</x:v>
      </x:c>
      <x:c r="B154" t="str">
        <x:v>PR_61</x:v>
      </x:c>
      <x:c r="C154" t="str">
        <x:v>Northwest Territories</x:v>
      </x:c>
      <x:c r="D154" t="str">
        <x:v>2021A000261</x:v>
      </x:c>
      <x:c r="E154" t="str">
        <x:v>73100</x:v>
      </x:c>
      <x:c r="F154" t="str">
        <x:v>Concrete finishers</x:v>
      </x:c>
      <x:c r="G154" t="str">
        <x:v>trade_concrete</x:v>
      </x:c>
      <x:c r="H154" t="str">
        <x:v>Average offered hourly wage</x:v>
      </x:c>
      <x:c r="I154" s="145"/>
      <x:c r="J154" t="str">
        <x:v>Dollars</x:v>
      </x:c>
      <x:c r="K154" s="153" t="n">
        <x:v>46112</x:v>
      </x:c>
      <x:c r="L154" t="str">
        <x:v>observed</x:v>
      </x:c>
      <x:c r="M154" t="str">
        <x:v>STATCAN_JVWS_14100444</x:v>
      </x:c>
      <x:c r="N154" t="str">
        <x:v>TR_STATCAN_JVWS_CA_PROVINCES_NOC_1_0_0</x:v>
      </x:c>
      <x:c r="O154" t="str">
        <x:v>status:..|value_missing_or_suppressed</x:v>
      </x:c>
      <x:c r="P154" t="str">
        <x:v>https://www150.statcan.gc.ca/t1/tbl1/en/tv.action?pid=1410044401</x:v>
      </x:c>
      <x:c r="Q154" t="str">
        <x:v>PASS</x:v>
      </x:c>
    </x:row>
    <x:row r="155">
      <x:c r="A155" t="str">
        <x:v>OBS_JVWS_63255A42C13F028952E5</x:v>
      </x:c>
      <x:c r="B155" t="str">
        <x:v>PR_61</x:v>
      </x:c>
      <x:c r="C155" t="str">
        <x:v>Northwest Territories</x:v>
      </x:c>
      <x:c r="D155" t="str">
        <x:v>2021A000261</x:v>
      </x:c>
      <x:c r="E155" t="str">
        <x:v>73100</x:v>
      </x:c>
      <x:c r="F155" t="str">
        <x:v>Concrete finishers</x:v>
      </x:c>
      <x:c r="G155" t="str">
        <x:v>trade_concrete</x:v>
      </x:c>
      <x:c r="H155" t="str">
        <x:v>Job vacancies</x:v>
      </x:c>
      <x:c r="I155" s="145"/>
      <x:c r="J155" t="str">
        <x:v>Number</x:v>
      </x:c>
      <x:c r="K155" s="153" t="n">
        <x:v>46112</x:v>
      </x:c>
      <x:c r="L155" t="str">
        <x:v>observed</x:v>
      </x:c>
      <x:c r="M155" t="str">
        <x:v>STATCAN_JVWS_14100444</x:v>
      </x:c>
      <x:c r="N155" t="str">
        <x:v>TR_STATCAN_JVWS_CA_PROVINCES_NOC_1_0_0</x:v>
      </x:c>
      <x:c r="O155" t="str">
        <x:v>status:..|value_missing_or_suppressed</x:v>
      </x:c>
      <x:c r="P155" t="str">
        <x:v>https://www150.statcan.gc.ca/t1/tbl1/en/tv.action?pid=1410044401</x:v>
      </x:c>
      <x:c r="Q155" t="str">
        <x:v>PASS</x:v>
      </x:c>
    </x:row>
    <x:row r="156">
      <x:c r="A156" t="str">
        <x:v>OBS_JVWS_6D638EE1DDCDB8D7663C</x:v>
      </x:c>
      <x:c r="B156" t="str">
        <x:v>PR_61</x:v>
      </x:c>
      <x:c r="C156" t="str">
        <x:v>Northwest Territories</x:v>
      </x:c>
      <x:c r="D156" t="str">
        <x:v>2021A000261</x:v>
      </x:c>
      <x:c r="E156" t="str">
        <x:v>72200</x:v>
      </x:c>
      <x:c r="F156" t="str">
        <x:v>Electricians (except industrial and power system)</x:v>
      </x:c>
      <x:c r="G156" t="str">
        <x:v>trade_electricians</x:v>
      </x:c>
      <x:c r="H156" t="str">
        <x:v>Average offered hourly wage</x:v>
      </x:c>
      <x:c r="I156" s="145"/>
      <x:c r="J156" t="str">
        <x:v>Dollars</x:v>
      </x:c>
      <x:c r="K156" s="153" t="n">
        <x:v>46112</x:v>
      </x:c>
      <x:c r="L156" t="str">
        <x:v>observed</x:v>
      </x:c>
      <x:c r="M156" t="str">
        <x:v>STATCAN_JVWS_14100444</x:v>
      </x:c>
      <x:c r="N156" t="str">
        <x:v>TR_STATCAN_JVWS_CA_PROVINCES_NOC_1_0_0</x:v>
      </x:c>
      <x:c r="O156" t="str">
        <x:v>status:F|value_missing_or_suppressed</x:v>
      </x:c>
      <x:c r="P156" t="str">
        <x:v>https://www150.statcan.gc.ca/t1/tbl1/en/tv.action?pid=1410044401</x:v>
      </x:c>
      <x:c r="Q156" t="str">
        <x:v>PASS</x:v>
      </x:c>
    </x:row>
    <x:row r="157">
      <x:c r="A157" t="str">
        <x:v>OBS_JVWS_2104395F360B2442621E</x:v>
      </x:c>
      <x:c r="B157" t="str">
        <x:v>PR_61</x:v>
      </x:c>
      <x:c r="C157" t="str">
        <x:v>Northwest Territories</x:v>
      </x:c>
      <x:c r="D157" t="str">
        <x:v>2021A000261</x:v>
      </x:c>
      <x:c r="E157" t="str">
        <x:v>72200</x:v>
      </x:c>
      <x:c r="F157" t="str">
        <x:v>Electricians (except industrial and power system)</x:v>
      </x:c>
      <x:c r="G157" t="str">
        <x:v>trade_electricians</x:v>
      </x:c>
      <x:c r="H157" t="str">
        <x:v>Job vacancies</x:v>
      </x:c>
      <x:c r="I157" s="145"/>
      <x:c r="J157" t="str">
        <x:v>Number</x:v>
      </x:c>
      <x:c r="K157" s="153" t="n">
        <x:v>46112</x:v>
      </x:c>
      <x:c r="L157" t="str">
        <x:v>observed</x:v>
      </x:c>
      <x:c r="M157" t="str">
        <x:v>STATCAN_JVWS_14100444</x:v>
      </x:c>
      <x:c r="N157" t="str">
        <x:v>TR_STATCAN_JVWS_CA_PROVINCES_NOC_1_0_0</x:v>
      </x:c>
      <x:c r="O157" t="str">
        <x:v>status:F|value_missing_or_suppressed</x:v>
      </x:c>
      <x:c r="P157" t="str">
        <x:v>https://www150.statcan.gc.ca/t1/tbl1/en/tv.action?pid=1410044401</x:v>
      </x:c>
      <x:c r="Q157" t="str">
        <x:v>PASS</x:v>
      </x:c>
    </x:row>
    <x:row r="158">
      <x:c r="A158" t="str">
        <x:v>OBS_JVWS_036CCDC992DCC4527A65</x:v>
      </x:c>
      <x:c r="B158" t="str">
        <x:v>PR_61</x:v>
      </x:c>
      <x:c r="C158" t="str">
        <x:v>Northwest Territories</x:v>
      </x:c>
      <x:c r="D158" t="str">
        <x:v>2021A000261</x:v>
      </x:c>
      <x:c r="E158" t="str">
        <x:v>72201</x:v>
      </x:c>
      <x:c r="F158" t="str">
        <x:v>Industrial electricians</x:v>
      </x:c>
      <x:c r="G158" t="str">
        <x:v>trade_electricians</x:v>
      </x:c>
      <x:c r="H158" t="str">
        <x:v>Average offered hourly wage</x:v>
      </x:c>
      <x:c r="I158" s="145"/>
      <x:c r="J158" t="str">
        <x:v>Dollars</x:v>
      </x:c>
      <x:c r="K158" s="153" t="n">
        <x:v>46112</x:v>
      </x:c>
      <x:c r="L158" t="str">
        <x:v>observed</x:v>
      </x:c>
      <x:c r="M158" t="str">
        <x:v>STATCAN_JVWS_14100444</x:v>
      </x:c>
      <x:c r="N158" t="str">
        <x:v>TR_STATCAN_JVWS_CA_PROVINCES_NOC_1_0_0</x:v>
      </x:c>
      <x:c r="O158" t="str">
        <x:v>status:..|value_missing_or_suppressed</x:v>
      </x:c>
      <x:c r="P158" t="str">
        <x:v>https://www150.statcan.gc.ca/t1/tbl1/en/tv.action?pid=1410044401</x:v>
      </x:c>
      <x:c r="Q158" t="str">
        <x:v>PASS</x:v>
      </x:c>
    </x:row>
    <x:row r="159">
      <x:c r="A159" t="str">
        <x:v>OBS_JVWS_C9D24B1A819D946F71A6</x:v>
      </x:c>
      <x:c r="B159" t="str">
        <x:v>PR_61</x:v>
      </x:c>
      <x:c r="C159" t="str">
        <x:v>Northwest Territories</x:v>
      </x:c>
      <x:c r="D159" t="str">
        <x:v>2021A000261</x:v>
      </x:c>
      <x:c r="E159" t="str">
        <x:v>72201</x:v>
      </x:c>
      <x:c r="F159" t="str">
        <x:v>Industrial electricians</x:v>
      </x:c>
      <x:c r="G159" t="str">
        <x:v>trade_electricians</x:v>
      </x:c>
      <x:c r="H159" t="str">
        <x:v>Job vacancies</x:v>
      </x:c>
      <x:c r="I159" s="145"/>
      <x:c r="J159" t="str">
        <x:v>Number</x:v>
      </x:c>
      <x:c r="K159" s="153" t="n">
        <x:v>46112</x:v>
      </x:c>
      <x:c r="L159" t="str">
        <x:v>observed</x:v>
      </x:c>
      <x:c r="M159" t="str">
        <x:v>STATCAN_JVWS_14100444</x:v>
      </x:c>
      <x:c r="N159" t="str">
        <x:v>TR_STATCAN_JVWS_CA_PROVINCES_NOC_1_0_0</x:v>
      </x:c>
      <x:c r="O159" t="str">
        <x:v>status:..|value_missing_or_suppressed</x:v>
      </x:c>
      <x:c r="P159" t="str">
        <x:v>https://www150.statcan.gc.ca/t1/tbl1/en/tv.action?pid=1410044401</x:v>
      </x:c>
      <x:c r="Q159" t="str">
        <x:v>PASS</x:v>
      </x:c>
    </x:row>
    <x:row r="160">
      <x:c r="A160" t="str">
        <x:v>OBS_JVWS_BA77ACAA9D29F6391301</x:v>
      </x:c>
      <x:c r="B160" t="str">
        <x:v>PR_61</x:v>
      </x:c>
      <x:c r="C160" t="str">
        <x:v>Northwest Territories</x:v>
      </x:c>
      <x:c r="D160" t="str">
        <x:v>2021A000261</x:v>
      </x:c>
      <x:c r="E160" t="str">
        <x:v>72402</x:v>
      </x:c>
      <x:c r="F160" t="str">
        <x:v>Heating, refrigeration and air conditioning mechanics</x:v>
      </x:c>
      <x:c r="G160" t="str">
        <x:v>trade_hvac</x:v>
      </x:c>
      <x:c r="H160" t="str">
        <x:v>Average offered hourly wage</x:v>
      </x:c>
      <x:c r="I160" s="145"/>
      <x:c r="J160" t="str">
        <x:v>Dollars</x:v>
      </x:c>
      <x:c r="K160" s="153" t="n">
        <x:v>46112</x:v>
      </x:c>
      <x:c r="L160" t="str">
        <x:v>observed</x:v>
      </x:c>
      <x:c r="M160" t="str">
        <x:v>STATCAN_JVWS_14100444</x:v>
      </x:c>
      <x:c r="N160" t="str">
        <x:v>TR_STATCAN_JVWS_CA_PROVINCES_NOC_1_0_0</x:v>
      </x:c>
      <x:c r="O160" t="str">
        <x:v>status:..|value_missing_or_suppressed</x:v>
      </x:c>
      <x:c r="P160" t="str">
        <x:v>https://www150.statcan.gc.ca/t1/tbl1/en/tv.action?pid=1410044401</x:v>
      </x:c>
      <x:c r="Q160" t="str">
        <x:v>PASS</x:v>
      </x:c>
    </x:row>
    <x:row r="161">
      <x:c r="A161" t="str">
        <x:v>OBS_JVWS_7B3F0DA72BC473BA3A7D</x:v>
      </x:c>
      <x:c r="B161" t="str">
        <x:v>PR_61</x:v>
      </x:c>
      <x:c r="C161" t="str">
        <x:v>Northwest Territories</x:v>
      </x:c>
      <x:c r="D161" t="str">
        <x:v>2021A000261</x:v>
      </x:c>
      <x:c r="E161" t="str">
        <x:v>72402</x:v>
      </x:c>
      <x:c r="F161" t="str">
        <x:v>Heating, refrigeration and air conditioning mechanics</x:v>
      </x:c>
      <x:c r="G161" t="str">
        <x:v>trade_hvac</x:v>
      </x:c>
      <x:c r="H161" t="str">
        <x:v>Job vacancies</x:v>
      </x:c>
      <x:c r="I161" s="145"/>
      <x:c r="J161" t="str">
        <x:v>Number</x:v>
      </x:c>
      <x:c r="K161" s="153" t="n">
        <x:v>46112</x:v>
      </x:c>
      <x:c r="L161" t="str">
        <x:v>observed</x:v>
      </x:c>
      <x:c r="M161" t="str">
        <x:v>STATCAN_JVWS_14100444</x:v>
      </x:c>
      <x:c r="N161" t="str">
        <x:v>TR_STATCAN_JVWS_CA_PROVINCES_NOC_1_0_0</x:v>
      </x:c>
      <x:c r="O161" t="str">
        <x:v>status:..|value_missing_or_suppressed</x:v>
      </x:c>
      <x:c r="P161" t="str">
        <x:v>https://www150.statcan.gc.ca/t1/tbl1/en/tv.action?pid=1410044401</x:v>
      </x:c>
      <x:c r="Q161" t="str">
        <x:v>PASS</x:v>
      </x:c>
    </x:row>
    <x:row r="162">
      <x:c r="A162" t="str">
        <x:v>OBS_JVWS_F766AEA696001DF0D4A6</x:v>
      </x:c>
      <x:c r="B162" t="str">
        <x:v>PR_61</x:v>
      </x:c>
      <x:c r="C162" t="str">
        <x:v>Northwest Territories</x:v>
      </x:c>
      <x:c r="D162" t="str">
        <x:v>2021A000261</x:v>
      </x:c>
      <x:c r="E162" t="str">
        <x:v>72202</x:v>
      </x:c>
      <x:c r="F162" t="str">
        <x:v>Power system electricians</x:v>
      </x:c>
      <x:c r="G162" t="str">
        <x:v>trade_power_line</x:v>
      </x:c>
      <x:c r="H162" t="str">
        <x:v>Average offered hourly wage</x:v>
      </x:c>
      <x:c r="I162" s="145"/>
      <x:c r="J162" t="str">
        <x:v>Dollars</x:v>
      </x:c>
      <x:c r="K162" s="153" t="n">
        <x:v>46112</x:v>
      </x:c>
      <x:c r="L162" t="str">
        <x:v>observed</x:v>
      </x:c>
      <x:c r="M162" t="str">
        <x:v>STATCAN_JVWS_14100444</x:v>
      </x:c>
      <x:c r="N162" t="str">
        <x:v>TR_STATCAN_JVWS_CA_PROVINCES_NOC_1_0_0</x:v>
      </x:c>
      <x:c r="O162" t="str">
        <x:v>status:..|value_missing_or_suppressed</x:v>
      </x:c>
      <x:c r="P162" t="str">
        <x:v>https://www150.statcan.gc.ca/t1/tbl1/en/tv.action?pid=1410044401</x:v>
      </x:c>
      <x:c r="Q162" t="str">
        <x:v>PASS</x:v>
      </x:c>
    </x:row>
    <x:row r="163">
      <x:c r="A163" t="str">
        <x:v>OBS_JVWS_1AE674FF7ACDEF544E8B</x:v>
      </x:c>
      <x:c r="B163" t="str">
        <x:v>PR_61</x:v>
      </x:c>
      <x:c r="C163" t="str">
        <x:v>Northwest Territories</x:v>
      </x:c>
      <x:c r="D163" t="str">
        <x:v>2021A000261</x:v>
      </x:c>
      <x:c r="E163" t="str">
        <x:v>72202</x:v>
      </x:c>
      <x:c r="F163" t="str">
        <x:v>Power system electricians</x:v>
      </x:c>
      <x:c r="G163" t="str">
        <x:v>trade_power_line</x:v>
      </x:c>
      <x:c r="H163" t="str">
        <x:v>Job vacancies</x:v>
      </x:c>
      <x:c r="I163" s="145"/>
      <x:c r="J163" t="str">
        <x:v>Number</x:v>
      </x:c>
      <x:c r="K163" s="153" t="n">
        <x:v>46112</x:v>
      </x:c>
      <x:c r="L163" t="str">
        <x:v>observed</x:v>
      </x:c>
      <x:c r="M163" t="str">
        <x:v>STATCAN_JVWS_14100444</x:v>
      </x:c>
      <x:c r="N163" t="str">
        <x:v>TR_STATCAN_JVWS_CA_PROVINCES_NOC_1_0_0</x:v>
      </x:c>
      <x:c r="O163" t="str">
        <x:v>status:..|value_missing_or_suppressed</x:v>
      </x:c>
      <x:c r="P163" t="str">
        <x:v>https://www150.statcan.gc.ca/t1/tbl1/en/tv.action?pid=1410044401</x:v>
      </x:c>
      <x:c r="Q163" t="str">
        <x:v>PASS</x:v>
      </x:c>
    </x:row>
    <x:row r="164">
      <x:c r="A164" t="str">
        <x:v>OBS_JVWS_98334689C6F7ABDAB895</x:v>
      </x:c>
      <x:c r="B164" t="str">
        <x:v>PR_61</x:v>
      </x:c>
      <x:c r="C164" t="str">
        <x:v>Northwest Territories</x:v>
      </x:c>
      <x:c r="D164" t="str">
        <x:v>2021A000261</x:v>
      </x:c>
      <x:c r="E164" t="str">
        <x:v>72203</x:v>
      </x:c>
      <x:c r="F164" t="str">
        <x:v>Electrical power line and cable workers</x:v>
      </x:c>
      <x:c r="G164" t="str">
        <x:v>trade_power_line</x:v>
      </x:c>
      <x:c r="H164" t="str">
        <x:v>Average offered hourly wage</x:v>
      </x:c>
      <x:c r="I164" s="145"/>
      <x:c r="J164" t="str">
        <x:v>Dollars</x:v>
      </x:c>
      <x:c r="K164" s="153" t="n">
        <x:v>46112</x:v>
      </x:c>
      <x:c r="L164" t="str">
        <x:v>observed</x:v>
      </x:c>
      <x:c r="M164" t="str">
        <x:v>STATCAN_JVWS_14100444</x:v>
      </x:c>
      <x:c r="N164" t="str">
        <x:v>TR_STATCAN_JVWS_CA_PROVINCES_NOC_1_0_0</x:v>
      </x:c>
      <x:c r="O164" t="str">
        <x:v>status:F|value_missing_or_suppressed</x:v>
      </x:c>
      <x:c r="P164" t="str">
        <x:v>https://www150.statcan.gc.ca/t1/tbl1/en/tv.action?pid=1410044401</x:v>
      </x:c>
      <x:c r="Q164" t="str">
        <x:v>PASS</x:v>
      </x:c>
    </x:row>
    <x:row r="165">
      <x:c r="A165" t="str">
        <x:v>OBS_JVWS_E614BBB68EB5B52E650A</x:v>
      </x:c>
      <x:c r="B165" t="str">
        <x:v>PR_61</x:v>
      </x:c>
      <x:c r="C165" t="str">
        <x:v>Northwest Territories</x:v>
      </x:c>
      <x:c r="D165" t="str">
        <x:v>2021A000261</x:v>
      </x:c>
      <x:c r="E165" t="str">
        <x:v>72203</x:v>
      </x:c>
      <x:c r="F165" t="str">
        <x:v>Electrical power line and cable workers</x:v>
      </x:c>
      <x:c r="G165" t="str">
        <x:v>trade_power_line</x:v>
      </x:c>
      <x:c r="H165" t="str">
        <x:v>Job vacancies</x:v>
      </x:c>
      <x:c r="I165" s="145"/>
      <x:c r="J165" t="str">
        <x:v>Number</x:v>
      </x:c>
      <x:c r="K165" s="153" t="n">
        <x:v>46112</x:v>
      </x:c>
      <x:c r="L165" t="str">
        <x:v>observed</x:v>
      </x:c>
      <x:c r="M165" t="str">
        <x:v>STATCAN_JVWS_14100444</x:v>
      </x:c>
      <x:c r="N165" t="str">
        <x:v>TR_STATCAN_JVWS_CA_PROVINCES_NOC_1_0_0</x:v>
      </x:c>
      <x:c r="O165" t="str">
        <x:v>status:F|value_missing_or_suppressed</x:v>
      </x:c>
      <x:c r="P165" t="str">
        <x:v>https://www150.statcan.gc.ca/t1/tbl1/en/tv.action?pid=1410044401</x:v>
      </x:c>
      <x:c r="Q165" t="str">
        <x:v>PASS</x:v>
      </x:c>
    </x:row>
    <x:row r="166">
      <x:c r="A166" t="str">
        <x:v>OBS_JVWS_EECAAF3AEDFEDE40DC3F</x:v>
      </x:c>
      <x:c r="B166" t="str">
        <x:v>PR_62</x:v>
      </x:c>
      <x:c r="C166" t="str">
        <x:v>Nunavut</x:v>
      </x:c>
      <x:c r="D166" t="str">
        <x:v>2021A000262</x:v>
      </x:c>
      <x:c r="E166" t="str">
        <x:v>73100</x:v>
      </x:c>
      <x:c r="F166" t="str">
        <x:v>Concrete finishers</x:v>
      </x:c>
      <x:c r="G166" t="str">
        <x:v>trade_concrete</x:v>
      </x:c>
      <x:c r="H166" t="str">
        <x:v>Average offered hourly wage</x:v>
      </x:c>
      <x:c r="I166" s="145"/>
      <x:c r="J166" t="str">
        <x:v>Dollars</x:v>
      </x:c>
      <x:c r="K166" s="153" t="n">
        <x:v>46112</x:v>
      </x:c>
      <x:c r="L166" t="str">
        <x:v>observed</x:v>
      </x:c>
      <x:c r="M166" t="str">
        <x:v>STATCAN_JVWS_14100444</x:v>
      </x:c>
      <x:c r="N166" t="str">
        <x:v>TR_STATCAN_JVWS_CA_PROVINCES_NOC_1_0_0</x:v>
      </x:c>
      <x:c r="O166" t="str">
        <x:v>status:..|value_missing_or_suppressed</x:v>
      </x:c>
      <x:c r="P166" t="str">
        <x:v>https://www150.statcan.gc.ca/t1/tbl1/en/tv.action?pid=1410044401</x:v>
      </x:c>
      <x:c r="Q166" t="str">
        <x:v>PASS</x:v>
      </x:c>
    </x:row>
    <x:row r="167">
      <x:c r="A167" t="str">
        <x:v>OBS_JVWS_C99D67318AE8B8E3E18C</x:v>
      </x:c>
      <x:c r="B167" t="str">
        <x:v>PR_62</x:v>
      </x:c>
      <x:c r="C167" t="str">
        <x:v>Nunavut</x:v>
      </x:c>
      <x:c r="D167" t="str">
        <x:v>2021A000262</x:v>
      </x:c>
      <x:c r="E167" t="str">
        <x:v>73100</x:v>
      </x:c>
      <x:c r="F167" t="str">
        <x:v>Concrete finishers</x:v>
      </x:c>
      <x:c r="G167" t="str">
        <x:v>trade_concrete</x:v>
      </x:c>
      <x:c r="H167" t="str">
        <x:v>Job vacancies</x:v>
      </x:c>
      <x:c r="I167" s="145"/>
      <x:c r="J167" t="str">
        <x:v>Number</x:v>
      </x:c>
      <x:c r="K167" s="153" t="n">
        <x:v>46112</x:v>
      </x:c>
      <x:c r="L167" t="str">
        <x:v>observed</x:v>
      </x:c>
      <x:c r="M167" t="str">
        <x:v>STATCAN_JVWS_14100444</x:v>
      </x:c>
      <x:c r="N167" t="str">
        <x:v>TR_STATCAN_JVWS_CA_PROVINCES_NOC_1_0_0</x:v>
      </x:c>
      <x:c r="O167" t="str">
        <x:v>status:..|value_missing_or_suppressed</x:v>
      </x:c>
      <x:c r="P167" t="str">
        <x:v>https://www150.statcan.gc.ca/t1/tbl1/en/tv.action?pid=1410044401</x:v>
      </x:c>
      <x:c r="Q167" t="str">
        <x:v>PASS</x:v>
      </x:c>
    </x:row>
    <x:row r="168">
      <x:c r="A168" t="str">
        <x:v>OBS_JVWS_0D0042696315E51083E9</x:v>
      </x:c>
      <x:c r="B168" t="str">
        <x:v>PR_62</x:v>
      </x:c>
      <x:c r="C168" t="str">
        <x:v>Nunavut</x:v>
      </x:c>
      <x:c r="D168" t="str">
        <x:v>2021A000262</x:v>
      </x:c>
      <x:c r="E168" t="str">
        <x:v>72200</x:v>
      </x:c>
      <x:c r="F168" t="str">
        <x:v>Electricians (except industrial and power system)</x:v>
      </x:c>
      <x:c r="G168" t="str">
        <x:v>trade_electricians</x:v>
      </x:c>
      <x:c r="H168" t="str">
        <x:v>Average offered hourly wage</x:v>
      </x:c>
      <x:c r="I168" s="145"/>
      <x:c r="J168" t="str">
        <x:v>Dollars</x:v>
      </x:c>
      <x:c r="K168" s="153" t="n">
        <x:v>46112</x:v>
      </x:c>
      <x:c r="L168" t="str">
        <x:v>observed</x:v>
      </x:c>
      <x:c r="M168" t="str">
        <x:v>STATCAN_JVWS_14100444</x:v>
      </x:c>
      <x:c r="N168" t="str">
        <x:v>TR_STATCAN_JVWS_CA_PROVINCES_NOC_1_0_0</x:v>
      </x:c>
      <x:c r="O168" t="str">
        <x:v>status:..|value_missing_or_suppressed</x:v>
      </x:c>
      <x:c r="P168" t="str">
        <x:v>https://www150.statcan.gc.ca/t1/tbl1/en/tv.action?pid=1410044401</x:v>
      </x:c>
      <x:c r="Q168" t="str">
        <x:v>PASS</x:v>
      </x:c>
    </x:row>
    <x:row r="169">
      <x:c r="A169" t="str">
        <x:v>OBS_JVWS_38EDA4015B9D971FF5CC</x:v>
      </x:c>
      <x:c r="B169" t="str">
        <x:v>PR_62</x:v>
      </x:c>
      <x:c r="C169" t="str">
        <x:v>Nunavut</x:v>
      </x:c>
      <x:c r="D169" t="str">
        <x:v>2021A000262</x:v>
      </x:c>
      <x:c r="E169" t="str">
        <x:v>72200</x:v>
      </x:c>
      <x:c r="F169" t="str">
        <x:v>Electricians (except industrial and power system)</x:v>
      </x:c>
      <x:c r="G169" t="str">
        <x:v>trade_electricians</x:v>
      </x:c>
      <x:c r="H169" t="str">
        <x:v>Job vacancies</x:v>
      </x:c>
      <x:c r="I169" s="145"/>
      <x:c r="J169" t="str">
        <x:v>Number</x:v>
      </x:c>
      <x:c r="K169" s="153" t="n">
        <x:v>46112</x:v>
      </x:c>
      <x:c r="L169" t="str">
        <x:v>observed</x:v>
      </x:c>
      <x:c r="M169" t="str">
        <x:v>STATCAN_JVWS_14100444</x:v>
      </x:c>
      <x:c r="N169" t="str">
        <x:v>TR_STATCAN_JVWS_CA_PROVINCES_NOC_1_0_0</x:v>
      </x:c>
      <x:c r="O169" t="str">
        <x:v>status:..|value_missing_or_suppressed</x:v>
      </x:c>
      <x:c r="P169" t="str">
        <x:v>https://www150.statcan.gc.ca/t1/tbl1/en/tv.action?pid=1410044401</x:v>
      </x:c>
      <x:c r="Q169" t="str">
        <x:v>PASS</x:v>
      </x:c>
    </x:row>
    <x:row r="170">
      <x:c r="A170" t="str">
        <x:v>OBS_JVWS_51FD4E47DFB776F9CEF1</x:v>
      </x:c>
      <x:c r="B170" t="str">
        <x:v>PR_62</x:v>
      </x:c>
      <x:c r="C170" t="str">
        <x:v>Nunavut</x:v>
      </x:c>
      <x:c r="D170" t="str">
        <x:v>2021A000262</x:v>
      </x:c>
      <x:c r="E170" t="str">
        <x:v>72201</x:v>
      </x:c>
      <x:c r="F170" t="str">
        <x:v>Industrial electricians</x:v>
      </x:c>
      <x:c r="G170" t="str">
        <x:v>trade_electricians</x:v>
      </x:c>
      <x:c r="H170" t="str">
        <x:v>Average offered hourly wage</x:v>
      </x:c>
      <x:c r="I170" s="145"/>
      <x:c r="J170" t="str">
        <x:v>Dollars</x:v>
      </x:c>
      <x:c r="K170" s="153" t="n">
        <x:v>46112</x:v>
      </x:c>
      <x:c r="L170" t="str">
        <x:v>observed</x:v>
      </x:c>
      <x:c r="M170" t="str">
        <x:v>STATCAN_JVWS_14100444</x:v>
      </x:c>
      <x:c r="N170" t="str">
        <x:v>TR_STATCAN_JVWS_CA_PROVINCES_NOC_1_0_0</x:v>
      </x:c>
      <x:c r="O170" t="str">
        <x:v>status:F|value_missing_or_suppressed</x:v>
      </x:c>
      <x:c r="P170" t="str">
        <x:v>https://www150.statcan.gc.ca/t1/tbl1/en/tv.action?pid=1410044401</x:v>
      </x:c>
      <x:c r="Q170" t="str">
        <x:v>PASS</x:v>
      </x:c>
    </x:row>
    <x:row r="171">
      <x:c r="A171" t="str">
        <x:v>OBS_JVWS_96BBAE9E7BE1A922FC2D</x:v>
      </x:c>
      <x:c r="B171" t="str">
        <x:v>PR_62</x:v>
      </x:c>
      <x:c r="C171" t="str">
        <x:v>Nunavut</x:v>
      </x:c>
      <x:c r="D171" t="str">
        <x:v>2021A000262</x:v>
      </x:c>
      <x:c r="E171" t="str">
        <x:v>72201</x:v>
      </x:c>
      <x:c r="F171" t="str">
        <x:v>Industrial electricians</x:v>
      </x:c>
      <x:c r="G171" t="str">
        <x:v>trade_electricians</x:v>
      </x:c>
      <x:c r="H171" t="str">
        <x:v>Job vacancies</x:v>
      </x:c>
      <x:c r="I171" s="145"/>
      <x:c r="J171" t="str">
        <x:v>Number</x:v>
      </x:c>
      <x:c r="K171" s="153" t="n">
        <x:v>46112</x:v>
      </x:c>
      <x:c r="L171" t="str">
        <x:v>observed</x:v>
      </x:c>
      <x:c r="M171" t="str">
        <x:v>STATCAN_JVWS_14100444</x:v>
      </x:c>
      <x:c r="N171" t="str">
        <x:v>TR_STATCAN_JVWS_CA_PROVINCES_NOC_1_0_0</x:v>
      </x:c>
      <x:c r="O171" t="str">
        <x:v>status:F|value_missing_or_suppressed</x:v>
      </x:c>
      <x:c r="P171" t="str">
        <x:v>https://www150.statcan.gc.ca/t1/tbl1/en/tv.action?pid=1410044401</x:v>
      </x:c>
      <x:c r="Q171" t="str">
        <x:v>PASS</x:v>
      </x:c>
    </x:row>
    <x:row r="172">
      <x:c r="A172" t="str">
        <x:v>OBS_JVWS_08D48DC32F14A02C1941</x:v>
      </x:c>
      <x:c r="B172" t="str">
        <x:v>PR_62</x:v>
      </x:c>
      <x:c r="C172" t="str">
        <x:v>Nunavut</x:v>
      </x:c>
      <x:c r="D172" t="str">
        <x:v>2021A000262</x:v>
      </x:c>
      <x:c r="E172" t="str">
        <x:v>72402</x:v>
      </x:c>
      <x:c r="F172" t="str">
        <x:v>Heating, refrigeration and air conditioning mechanics</x:v>
      </x:c>
      <x:c r="G172" t="str">
        <x:v>trade_hvac</x:v>
      </x:c>
      <x:c r="H172" t="str">
        <x:v>Average offered hourly wage</x:v>
      </x:c>
      <x:c r="I172" s="145"/>
      <x:c r="J172" t="str">
        <x:v>Dollars</x:v>
      </x:c>
      <x:c r="K172" s="153" t="n">
        <x:v>46112</x:v>
      </x:c>
      <x:c r="L172" t="str">
        <x:v>observed</x:v>
      </x:c>
      <x:c r="M172" t="str">
        <x:v>STATCAN_JVWS_14100444</x:v>
      </x:c>
      <x:c r="N172" t="str">
        <x:v>TR_STATCAN_JVWS_CA_PROVINCES_NOC_1_0_0</x:v>
      </x:c>
      <x:c r="O172" t="str">
        <x:v>status:F|value_missing_or_suppressed</x:v>
      </x:c>
      <x:c r="P172" t="str">
        <x:v>https://www150.statcan.gc.ca/t1/tbl1/en/tv.action?pid=1410044401</x:v>
      </x:c>
      <x:c r="Q172" t="str">
        <x:v>PASS</x:v>
      </x:c>
    </x:row>
    <x:row r="173">
      <x:c r="A173" t="str">
        <x:v>OBS_JVWS_88086F3F7DBB24FE6E19</x:v>
      </x:c>
      <x:c r="B173" t="str">
        <x:v>PR_62</x:v>
      </x:c>
      <x:c r="C173" t="str">
        <x:v>Nunavut</x:v>
      </x:c>
      <x:c r="D173" t="str">
        <x:v>2021A000262</x:v>
      </x:c>
      <x:c r="E173" t="str">
        <x:v>72402</x:v>
      </x:c>
      <x:c r="F173" t="str">
        <x:v>Heating, refrigeration and air conditioning mechanics</x:v>
      </x:c>
      <x:c r="G173" t="str">
        <x:v>trade_hvac</x:v>
      </x:c>
      <x:c r="H173" t="str">
        <x:v>Job vacancies</x:v>
      </x:c>
      <x:c r="I173" s="145"/>
      <x:c r="J173" t="str">
        <x:v>Number</x:v>
      </x:c>
      <x:c r="K173" s="153" t="n">
        <x:v>46112</x:v>
      </x:c>
      <x:c r="L173" t="str">
        <x:v>observed</x:v>
      </x:c>
      <x:c r="M173" t="str">
        <x:v>STATCAN_JVWS_14100444</x:v>
      </x:c>
      <x:c r="N173" t="str">
        <x:v>TR_STATCAN_JVWS_CA_PROVINCES_NOC_1_0_0</x:v>
      </x:c>
      <x:c r="O173" t="str">
        <x:v>status:F|value_missing_or_suppressed</x:v>
      </x:c>
      <x:c r="P173" t="str">
        <x:v>https://www150.statcan.gc.ca/t1/tbl1/en/tv.action?pid=1410044401</x:v>
      </x:c>
      <x:c r="Q173" t="str">
        <x:v>PASS</x:v>
      </x:c>
    </x:row>
    <x:row r="174">
      <x:c r="A174" t="str">
        <x:v>OBS_JVWS_EA56A15E4EADB429481D</x:v>
      </x:c>
      <x:c r="B174" t="str">
        <x:v>PR_62</x:v>
      </x:c>
      <x:c r="C174" t="str">
        <x:v>Nunavut</x:v>
      </x:c>
      <x:c r="D174" t="str">
        <x:v>2021A000262</x:v>
      </x:c>
      <x:c r="E174" t="str">
        <x:v>72202</x:v>
      </x:c>
      <x:c r="F174" t="str">
        <x:v>Power system electricians</x:v>
      </x:c>
      <x:c r="G174" t="str">
        <x:v>trade_power_line</x:v>
      </x:c>
      <x:c r="H174" t="str">
        <x:v>Average offered hourly wage</x:v>
      </x:c>
      <x:c r="I174" s="145"/>
      <x:c r="J174" t="str">
        <x:v>Dollars</x:v>
      </x:c>
      <x:c r="K174" s="153" t="n">
        <x:v>46112</x:v>
      </x:c>
      <x:c r="L174" t="str">
        <x:v>observed</x:v>
      </x:c>
      <x:c r="M174" t="str">
        <x:v>STATCAN_JVWS_14100444</x:v>
      </x:c>
      <x:c r="N174" t="str">
        <x:v>TR_STATCAN_JVWS_CA_PROVINCES_NOC_1_0_0</x:v>
      </x:c>
      <x:c r="O174" t="str">
        <x:v>status:F|value_missing_or_suppressed</x:v>
      </x:c>
      <x:c r="P174" t="str">
        <x:v>https://www150.statcan.gc.ca/t1/tbl1/en/tv.action?pid=1410044401</x:v>
      </x:c>
      <x:c r="Q174" t="str">
        <x:v>PASS</x:v>
      </x:c>
    </x:row>
    <x:row r="175">
      <x:c r="A175" t="str">
        <x:v>OBS_JVWS_7E34AD465B844C5E2C46</x:v>
      </x:c>
      <x:c r="B175" t="str">
        <x:v>PR_62</x:v>
      </x:c>
      <x:c r="C175" t="str">
        <x:v>Nunavut</x:v>
      </x:c>
      <x:c r="D175" t="str">
        <x:v>2021A000262</x:v>
      </x:c>
      <x:c r="E175" t="str">
        <x:v>72202</x:v>
      </x:c>
      <x:c r="F175" t="str">
        <x:v>Power system electricians</x:v>
      </x:c>
      <x:c r="G175" t="str">
        <x:v>trade_power_line</x:v>
      </x:c>
      <x:c r="H175" t="str">
        <x:v>Job vacancies</x:v>
      </x:c>
      <x:c r="I175" s="145"/>
      <x:c r="J175" t="str">
        <x:v>Number</x:v>
      </x:c>
      <x:c r="K175" s="153" t="n">
        <x:v>46112</x:v>
      </x:c>
      <x:c r="L175" t="str">
        <x:v>observed</x:v>
      </x:c>
      <x:c r="M175" t="str">
        <x:v>STATCAN_JVWS_14100444</x:v>
      </x:c>
      <x:c r="N175" t="str">
        <x:v>TR_STATCAN_JVWS_CA_PROVINCES_NOC_1_0_0</x:v>
      </x:c>
      <x:c r="O175" t="str">
        <x:v>status:F|value_missing_or_suppressed</x:v>
      </x:c>
      <x:c r="P175" t="str">
        <x:v>https://www150.statcan.gc.ca/t1/tbl1/en/tv.action?pid=1410044401</x:v>
      </x:c>
      <x:c r="Q175" t="str">
        <x:v>PASS</x:v>
      </x:c>
    </x:row>
    <x:row r="176">
      <x:c r="A176" t="str">
        <x:v>OBS_JVWS_707B65E8EB9FB0AD3BA6</x:v>
      </x:c>
      <x:c r="B176" t="str">
        <x:v>PR_62</x:v>
      </x:c>
      <x:c r="C176" t="str">
        <x:v>Nunavut</x:v>
      </x:c>
      <x:c r="D176" t="str">
        <x:v>2021A000262</x:v>
      </x:c>
      <x:c r="E176" t="str">
        <x:v>72203</x:v>
      </x:c>
      <x:c r="F176" t="str">
        <x:v>Electrical power line and cable workers</x:v>
      </x:c>
      <x:c r="G176" t="str">
        <x:v>trade_power_line</x:v>
      </x:c>
      <x:c r="H176" t="str">
        <x:v>Average offered hourly wage</x:v>
      </x:c>
      <x:c r="I176" s="145"/>
      <x:c r="J176" t="str">
        <x:v>Dollars</x:v>
      </x:c>
      <x:c r="K176" s="153" t="n">
        <x:v>46112</x:v>
      </x:c>
      <x:c r="L176" t="str">
        <x:v>observed</x:v>
      </x:c>
      <x:c r="M176" t="str">
        <x:v>STATCAN_JVWS_14100444</x:v>
      </x:c>
      <x:c r="N176" t="str">
        <x:v>TR_STATCAN_JVWS_CA_PROVINCES_NOC_1_0_0</x:v>
      </x:c>
      <x:c r="O176" t="str">
        <x:v>status:..|value_missing_or_suppressed</x:v>
      </x:c>
      <x:c r="P176" t="str">
        <x:v>https://www150.statcan.gc.ca/t1/tbl1/en/tv.action?pid=1410044401</x:v>
      </x:c>
      <x:c r="Q176" t="str">
        <x:v>PASS</x:v>
      </x:c>
    </x:row>
    <x:row r="177">
      <x:c r="A177" t="str">
        <x:v>OBS_JVWS_73DA83774FB2C790F56B</x:v>
      </x:c>
      <x:c r="B177" t="str">
        <x:v>PR_62</x:v>
      </x:c>
      <x:c r="C177" t="str">
        <x:v>Nunavut</x:v>
      </x:c>
      <x:c r="D177" t="str">
        <x:v>2021A000262</x:v>
      </x:c>
      <x:c r="E177" t="str">
        <x:v>72203</x:v>
      </x:c>
      <x:c r="F177" t="str">
        <x:v>Electrical power line and cable workers</x:v>
      </x:c>
      <x:c r="G177" t="str">
        <x:v>trade_power_line</x:v>
      </x:c>
      <x:c r="H177" t="str">
        <x:v>Job vacancies</x:v>
      </x:c>
      <x:c r="I177" s="145"/>
      <x:c r="J177" t="str">
        <x:v>Number</x:v>
      </x:c>
      <x:c r="K177" s="153" t="n">
        <x:v>46112</x:v>
      </x:c>
      <x:c r="L177" t="str">
        <x:v>observed</x:v>
      </x:c>
      <x:c r="M177" t="str">
        <x:v>STATCAN_JVWS_14100444</x:v>
      </x:c>
      <x:c r="N177" t="str">
        <x:v>TR_STATCAN_JVWS_CA_PROVINCES_NOC_1_0_0</x:v>
      </x:c>
      <x:c r="O177" t="str">
        <x:v>status:..|value_missing_or_suppressed</x:v>
      </x:c>
      <x:c r="P177" t="str">
        <x:v>https://www150.statcan.gc.ca/t1/tbl1/en/tv.action?pid=1410044401</x:v>
      </x:c>
      <x:c r="Q177" t="str">
        <x:v>PASS</x:v>
      </x:c>
    </x:row>
  </x:sheetData>
  <x:mergeCells>
    <x:mergeCell ref="A1:Q2"/>
    <x:mergeCell ref="A3:Q3"/>
    <x:mergeCell ref="A20:Q20"/>
  </x:mergeCells>
  <x:conditionalFormatting sqref="F5:F17">
    <x:cfRule type="colorScale" priority="1">
      <x:colorScale>
        <x:cfvo type="min"/>
        <x:cfvo type="percentile" val="50"/>
        <x:cfvo type="max"/>
        <x:color rgb="FFF6D5C2"/>
        <x:color rgb="FFF4E7B2"/>
        <x:color rgb="FFB7DED3"/>
      </x:colorScale>
    </x:cfRule>
  </x:conditionalFormatting>
  <x:conditionalFormatting sqref="I5:I17">
    <x:cfRule type="containsText" dxfId="2" priority="2" operator="containsText" text="PASS"/>
    <x:cfRule type="containsText" dxfId="3" priority="3" operator="containsText" text="FAIL"/>
  </x:conditionalFormatting>
  <x:conditionalFormatting sqref="Q22:Q177">
    <x:cfRule type="containsText" dxfId="4" priority="4" operator="containsText" text="PASS"/>
    <x:cfRule type="containsText" dxfId="5" priority="5" operator="containsText" text="FAIL"/>
  </x:conditionalFormatting>
  <x:pageMargins left="0.7" right="0.7" top="0.75" bottom="0.75" header="0.3" footer="0.3"/>
  <x:tableParts count="2">
    <x:tablePart xmlns:r="http://schemas.openxmlformats.org/officeDocument/2006/relationships" r:id="R655c332252834273"/>
    <x:tablePart xmlns:r="http://schemas.openxmlformats.org/officeDocument/2006/relationships" r:id="R4fe862ed77ed4f5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15" hidden="0" customWidth="1"/>
    <x:col min="3" max="3" width="28" hidden="0" customWidth="1"/>
    <x:col min="4" max="4" width="20" hidden="0" customWidth="1"/>
    <x:col min="5" max="5" width="10" hidden="0" customWidth="1"/>
    <x:col min="6" max="6" width="46" hidden="0" customWidth="1"/>
    <x:col min="7" max="7" width="24" hidden="0" customWidth="1"/>
    <x:col min="8" max="8" width="15" hidden="0" customWidth="1"/>
    <x:col min="9" max="9" width="18" hidden="0" customWidth="1"/>
    <x:col min="10" max="10" width="12" hidden="0" customWidth="1"/>
    <x:col min="11" max="11" width="14" hidden="0" customWidth="1"/>
    <x:col min="12" max="12" width="14" hidden="0" customWidth="1"/>
    <x:col min="13" max="13" width="14" hidden="0" customWidth="1"/>
    <x:col min="14" max="14" width="17" hidden="0" customWidth="1"/>
    <x:col min="15" max="15" width="35" hidden="0" customWidth="1"/>
    <x:col min="16" max="16" width="41" hidden="0" customWidth="1"/>
    <x:col min="17" max="17" width="45" hidden="0" customWidth="1"/>
    <x:col min="18" max="18" width="13" hidden="0" customWidth="1"/>
    <x:col min="19" max="19" width="15" hidden="0" customWidth="1"/>
  </x:cols>
  <x:sheetData>
    <x:row r="1" ht="28" customHeight="1">
      <x:c r="A1" s="61" t="str">
        <x:v>Canada detailed-trade workforce stock</x:v>
      </x:c>
      <x:c r="B1" s="61"/>
      <x:c r="C1" s="61"/>
      <x:c r="D1" s="61"/>
      <x:c r="E1" s="61"/>
      <x:c r="F1" s="61"/>
      <x:c r="G1" s="61"/>
      <x:c r="H1" s="61"/>
      <x:c r="I1" s="61"/>
      <x:c r="J1" s="61"/>
      <x:c r="K1" s="61"/>
      <x:c r="L1" s="61"/>
      <x:c r="M1" s="61"/>
      <x:c r="N1" s="61"/>
      <x:c r="O1" s="61"/>
      <x:c r="P1" s="61"/>
      <x:c r="Q1" s="61"/>
      <x:c r="R1" s="61"/>
      <x:c r="S1" s="61"/>
    </x:row>
    <x:row r="2" ht="28" customHeight="1">
      <x:c r="A2" s="61"/>
      <x:c r="B2" s="61"/>
      <x:c r="C2" s="61"/>
      <x:c r="D2" s="61"/>
      <x:c r="E2" s="61"/>
      <x:c r="F2" s="61"/>
      <x:c r="G2" s="61"/>
      <x:c r="H2" s="61"/>
      <x:c r="I2" s="61"/>
      <x:c r="J2" s="61"/>
      <x:c r="K2" s="61"/>
      <x:c r="L2" s="61"/>
      <x:c r="M2" s="61"/>
      <x:c r="N2" s="61"/>
      <x:c r="O2" s="61"/>
      <x:c r="P2" s="61"/>
      <x:c r="Q2" s="61"/>
      <x:c r="R2" s="61"/>
      <x:c r="S2" s="61"/>
    </x:row>
    <x:row r="3" ht="21" customHeight="1">
      <x:c r="A3" s="62" t="str">
        <x:v>2021 Census reference week 2021-05-02 to 2021-05-08 · six NOC unit groups · national totals excluded</x:v>
      </x:c>
      <x:c r="B3" s="62"/>
      <x:c r="C3" s="62"/>
      <x:c r="D3" s="62"/>
      <x:c r="E3" s="62"/>
      <x:c r="F3" s="62"/>
      <x:c r="G3" s="62"/>
      <x:c r="H3" s="62"/>
      <x:c r="I3" s="62"/>
      <x:c r="J3" s="62"/>
      <x:c r="K3" s="62"/>
      <x:c r="L3" s="62"/>
      <x:c r="M3" s="62"/>
      <x:c r="N3" s="62"/>
      <x:c r="O3" s="62"/>
      <x:c r="P3" s="62"/>
      <x:c r="Q3" s="62"/>
      <x:c r="R3" s="62"/>
      <x:c r="S3" s="62"/>
    </x:row>
    <x:row r="4" ht="28" customHeight="1">
      <x:c r="A4" s="44" t="str">
        <x:v>Geography ID</x:v>
      </x:c>
      <x:c r="B4" s="84" t="str">
        <x:v>Province / territory</x:v>
      </x:c>
      <x:c r="C4" s="84" t="str">
        <x:v>Published cells</x:v>
      </x:c>
      <x:c r="D4" s="84" t="str">
        <x:v>Zero fillers</x:v>
      </x:c>
      <x:c r="E4" s="84" t="str">
        <x:v>Total cells</x:v>
      </x:c>
      <x:c r="F4" s="84" t="str">
        <x:v>Coverage</x:v>
      </x:c>
      <x:c r="G4" s="84" t="str">
        <x:v>Expected published</x:v>
      </x:c>
      <x:c r="H4" s="84" t="str">
        <x:v>Expected zero</x:v>
      </x:c>
      <x:c r="I4" s="84" t="str">
        <x:v>Expected total</x:v>
      </x:c>
      <x:c r="J4" s="45" t="str">
        <x:v>Reconciliation</x:v>
      </x:c>
      <x:c r="K4" s="63"/>
      <x:c r="L4" s="63"/>
      <x:c r="M4" s="63"/>
      <x:c r="N4" s="63"/>
      <x:c r="O4" s="63"/>
      <x:c r="P4" s="63"/>
      <x:c r="Q4" s="63"/>
      <x:c r="R4" s="63"/>
      <x:c r="S4" s="63"/>
    </x:row>
    <x:row r="5">
      <x:c r="A5" s="63" t="str">
        <x:v>PR_48</x:v>
      </x:c>
      <x:c r="B5" s="63" t="str">
        <x:v>Alberta</x:v>
      </x:c>
      <x:c r="C5" s="63" t="n">
        <x:f>COUNTIF($B$22:$B$99,$A5)</x:f>
        <x:v>6</x:v>
      </x:c>
      <x:c r="D5" s="63" t="n">
        <x:f>COUNTIFS($B$22:$B$99,$A5,$R$22:$R$99,"YES")</x:f>
        <x:v>0</x:v>
      </x:c>
      <x:c r="E5" s="63" t="n">
        <x:f>C5</x:f>
        <x:v>6</x:v>
      </x:c>
      <x:c r="F5" s="151" t="n">
        <x:f>IF(I5=0,0,C5/I5)</x:f>
        <x:v>1</x:v>
      </x:c>
      <x:c r="G5" s="63" t="n">
        <x:v>6</x:v>
      </x:c>
      <x:c r="H5" s="63" t="n">
        <x:v>0</x:v>
      </x:c>
      <x:c r="I5" s="63" t="n">
        <x:v>6</x:v>
      </x:c>
      <x:c r="J5" s="63" t="str">
        <x:f>IF(AND(C5=G5,D5=H5,E5=I5),"PASS","FAIL")</x:f>
        <x:v>PASS</x:v>
      </x:c>
      <x:c r="K5" s="63"/>
      <x:c r="L5" s="63"/>
      <x:c r="M5" s="63"/>
      <x:c r="N5" s="63"/>
      <x:c r="O5" s="63"/>
      <x:c r="P5" s="63"/>
      <x:c r="Q5" s="63"/>
      <x:c r="R5" s="63"/>
      <x:c r="S5" s="63"/>
    </x:row>
    <x:row r="6">
      <x:c r="A6" s="63" t="str">
        <x:v>PR_59</x:v>
      </x:c>
      <x:c r="B6" s="63" t="str">
        <x:v>British Columbia</x:v>
      </x:c>
      <x:c r="C6" s="63" t="n">
        <x:f>COUNTIF($B$22:$B$99,$A6)</x:f>
        <x:v>6</x:v>
      </x:c>
      <x:c r="D6" s="63" t="n">
        <x:f>COUNTIFS($B$22:$B$99,$A6,$R$22:$R$99,"YES")</x:f>
        <x:v>0</x:v>
      </x:c>
      <x:c r="E6" s="63" t="n">
        <x:f>C6</x:f>
        <x:v>6</x:v>
      </x:c>
      <x:c r="F6" s="151" t="n">
        <x:f>IF(I6=0,0,C6/I6)</x:f>
        <x:v>1</x:v>
      </x:c>
      <x:c r="G6" s="63" t="n">
        <x:v>6</x:v>
      </x:c>
      <x:c r="H6" s="63" t="n">
        <x:v>0</x:v>
      </x:c>
      <x:c r="I6" s="63" t="n">
        <x:v>6</x:v>
      </x:c>
      <x:c r="J6" s="63" t="str">
        <x:f>IF(AND(C6=G6,D6=H6,E6=I6),"PASS","FAIL")</x:f>
        <x:v>PASS</x:v>
      </x:c>
      <x:c r="K6" s="63"/>
      <x:c r="L6" s="63"/>
      <x:c r="M6" s="63"/>
      <x:c r="N6" s="63"/>
      <x:c r="O6" s="63"/>
      <x:c r="P6" s="63"/>
      <x:c r="Q6" s="63"/>
      <x:c r="R6" s="63"/>
      <x:c r="S6" s="63"/>
    </x:row>
    <x:row r="7">
      <x:c r="A7" s="63" t="str">
        <x:v>PR_46</x:v>
      </x:c>
      <x:c r="B7" s="63" t="str">
        <x:v>Manitoba</x:v>
      </x:c>
      <x:c r="C7" s="63" t="n">
        <x:f>COUNTIF($B$22:$B$99,$A7)</x:f>
        <x:v>6</x:v>
      </x:c>
      <x:c r="D7" s="63" t="n">
        <x:f>COUNTIFS($B$22:$B$99,$A7,$R$22:$R$99,"YES")</x:f>
        <x:v>0</x:v>
      </x:c>
      <x:c r="E7" s="63" t="n">
        <x:f>C7</x:f>
        <x:v>6</x:v>
      </x:c>
      <x:c r="F7" s="151" t="n">
        <x:f>IF(I7=0,0,C7/I7)</x:f>
        <x:v>1</x:v>
      </x:c>
      <x:c r="G7" s="63" t="n">
        <x:v>6</x:v>
      </x:c>
      <x:c r="H7" s="63" t="n">
        <x:v>0</x:v>
      </x:c>
      <x:c r="I7" s="63" t="n">
        <x:v>6</x:v>
      </x:c>
      <x:c r="J7" s="63" t="str">
        <x:f>IF(AND(C7=G7,D7=H7,E7=I7),"PASS","FAIL")</x:f>
        <x:v>PASS</x:v>
      </x:c>
      <x:c r="K7" s="63"/>
      <x:c r="L7" s="63"/>
      <x:c r="M7" s="63"/>
      <x:c r="N7" s="63"/>
      <x:c r="O7" s="63"/>
      <x:c r="P7" s="63"/>
      <x:c r="Q7" s="63"/>
      <x:c r="R7" s="63"/>
      <x:c r="S7" s="63"/>
    </x:row>
    <x:row r="8">
      <x:c r="A8" s="63" t="str">
        <x:v>PR_13</x:v>
      </x:c>
      <x:c r="B8" s="63" t="str">
        <x:v>New Brunswick</x:v>
      </x:c>
      <x:c r="C8" s="63" t="n">
        <x:f>COUNTIF($B$22:$B$99,$A8)</x:f>
        <x:v>6</x:v>
      </x:c>
      <x:c r="D8" s="63" t="n">
        <x:f>COUNTIFS($B$22:$B$99,$A8,$R$22:$R$99,"YES")</x:f>
        <x:v>0</x:v>
      </x:c>
      <x:c r="E8" s="63" t="n">
        <x:f>C8</x:f>
        <x:v>6</x:v>
      </x:c>
      <x:c r="F8" s="151" t="n">
        <x:f>IF(I8=0,0,C8/I8)</x:f>
        <x:v>1</x:v>
      </x:c>
      <x:c r="G8" s="63" t="n">
        <x:v>6</x:v>
      </x:c>
      <x:c r="H8" s="63" t="n">
        <x:v>0</x:v>
      </x:c>
      <x:c r="I8" s="63" t="n">
        <x:v>6</x:v>
      </x:c>
      <x:c r="J8" s="63" t="str">
        <x:f>IF(AND(C8=G8,D8=H8,E8=I8),"PASS","FAIL")</x:f>
        <x:v>PASS</x:v>
      </x:c>
      <x:c r="K8" s="63"/>
      <x:c r="L8" s="63"/>
      <x:c r="M8" s="63"/>
      <x:c r="N8" s="63"/>
      <x:c r="O8" s="63"/>
      <x:c r="P8" s="63"/>
      <x:c r="Q8" s="63"/>
      <x:c r="R8" s="63"/>
      <x:c r="S8" s="63"/>
    </x:row>
    <x:row r="9">
      <x:c r="A9" s="63" t="str">
        <x:v>PR_10</x:v>
      </x:c>
      <x:c r="B9" s="63" t="str">
        <x:v>Newfoundland and Labrador</x:v>
      </x:c>
      <x:c r="C9" s="63" t="n">
        <x:f>COUNTIF($B$22:$B$99,$A9)</x:f>
        <x:v>6</x:v>
      </x:c>
      <x:c r="D9" s="63" t="n">
        <x:f>COUNTIFS($B$22:$B$99,$A9,$R$22:$R$99,"YES")</x:f>
        <x:v>0</x:v>
      </x:c>
      <x:c r="E9" s="63" t="n">
        <x:f>C9</x:f>
        <x:v>6</x:v>
      </x:c>
      <x:c r="F9" s="151" t="n">
        <x:f>IF(I9=0,0,C9/I9)</x:f>
        <x:v>1</x:v>
      </x:c>
      <x:c r="G9" s="63" t="n">
        <x:v>6</x:v>
      </x:c>
      <x:c r="H9" s="63" t="n">
        <x:v>0</x:v>
      </x:c>
      <x:c r="I9" s="63" t="n">
        <x:v>6</x:v>
      </x:c>
      <x:c r="J9" s="63" t="str">
        <x:f>IF(AND(C9=G9,D9=H9,E9=I9),"PASS","FAIL")</x:f>
        <x:v>PASS</x:v>
      </x:c>
      <x:c r="K9" s="63"/>
      <x:c r="L9" s="63"/>
      <x:c r="M9" s="63"/>
      <x:c r="N9" s="63"/>
      <x:c r="O9" s="63"/>
      <x:c r="P9" s="63"/>
      <x:c r="Q9" s="63"/>
      <x:c r="R9" s="63"/>
      <x:c r="S9" s="63"/>
    </x:row>
    <x:row r="10">
      <x:c r="A10" s="63" t="str">
        <x:v>PR_61</x:v>
      </x:c>
      <x:c r="B10" s="63" t="str">
        <x:v>Northwest Territories</x:v>
      </x:c>
      <x:c r="C10" s="63" t="n">
        <x:f>COUNTIF($B$22:$B$99,$A10)</x:f>
        <x:v>6</x:v>
      </x:c>
      <x:c r="D10" s="63" t="n">
        <x:f>COUNTIFS($B$22:$B$99,$A10,$R$22:$R$99,"YES")</x:f>
        <x:v>1</x:v>
      </x:c>
      <x:c r="E10" s="63" t="n">
        <x:f>C10</x:f>
        <x:v>6</x:v>
      </x:c>
      <x:c r="F10" s="151" t="n">
        <x:f>IF(I10=0,0,C10/I10)</x:f>
        <x:v>1</x:v>
      </x:c>
      <x:c r="G10" s="63" t="n">
        <x:v>6</x:v>
      </x:c>
      <x:c r="H10" s="63" t="n">
        <x:v>1</x:v>
      </x:c>
      <x:c r="I10" s="63" t="n">
        <x:v>6</x:v>
      </x:c>
      <x:c r="J10" s="63" t="str">
        <x:f>IF(AND(C10=G10,D10=H10,E10=I10),"PASS","FAIL")</x:f>
        <x:v>PASS</x:v>
      </x:c>
      <x:c r="K10" s="63"/>
      <x:c r="L10" s="63"/>
      <x:c r="M10" s="63"/>
      <x:c r="N10" s="63"/>
      <x:c r="O10" s="63"/>
      <x:c r="P10" s="63"/>
      <x:c r="Q10" s="63"/>
      <x:c r="R10" s="63"/>
      <x:c r="S10" s="63"/>
    </x:row>
    <x:row r="11">
      <x:c r="A11" s="63" t="str">
        <x:v>PR_12</x:v>
      </x:c>
      <x:c r="B11" s="63" t="str">
        <x:v>Nova Scotia</x:v>
      </x:c>
      <x:c r="C11" s="63" t="n">
        <x:f>COUNTIF($B$22:$B$99,$A11)</x:f>
        <x:v>6</x:v>
      </x:c>
      <x:c r="D11" s="63" t="n">
        <x:f>COUNTIFS($B$22:$B$99,$A11,$R$22:$R$99,"YES")</x:f>
        <x:v>0</x:v>
      </x:c>
      <x:c r="E11" s="63" t="n">
        <x:f>C11</x:f>
        <x:v>6</x:v>
      </x:c>
      <x:c r="F11" s="151" t="n">
        <x:f>IF(I11=0,0,C11/I11)</x:f>
        <x:v>1</x:v>
      </x:c>
      <x:c r="G11" s="63" t="n">
        <x:v>6</x:v>
      </x:c>
      <x:c r="H11" s="63" t="n">
        <x:v>0</x:v>
      </x:c>
      <x:c r="I11" s="63" t="n">
        <x:v>6</x:v>
      </x:c>
      <x:c r="J11" s="63" t="str">
        <x:f>IF(AND(C11=G11,D11=H11,E11=I11),"PASS","FAIL")</x:f>
        <x:v>PASS</x:v>
      </x:c>
      <x:c r="K11" s="63"/>
      <x:c r="L11" s="63"/>
      <x:c r="M11" s="63"/>
      <x:c r="N11" s="63"/>
      <x:c r="O11" s="63"/>
      <x:c r="P11" s="63"/>
      <x:c r="Q11" s="63"/>
      <x:c r="R11" s="63"/>
      <x:c r="S11" s="63"/>
    </x:row>
    <x:row r="12">
      <x:c r="A12" s="63" t="str">
        <x:v>PR_62</x:v>
      </x:c>
      <x:c r="B12" s="63" t="str">
        <x:v>Nunavut</x:v>
      </x:c>
      <x:c r="C12" s="63" t="n">
        <x:f>COUNTIF($B$22:$B$99,$A12)</x:f>
        <x:v>6</x:v>
      </x:c>
      <x:c r="D12" s="63" t="n">
        <x:f>COUNTIFS($B$22:$B$99,$A12,$R$22:$R$99,"YES")</x:f>
        <x:v>3</x:v>
      </x:c>
      <x:c r="E12" s="63" t="n">
        <x:f>C12</x:f>
        <x:v>6</x:v>
      </x:c>
      <x:c r="F12" s="151" t="n">
        <x:f>IF(I12=0,0,C12/I12)</x:f>
        <x:v>1</x:v>
      </x:c>
      <x:c r="G12" s="63" t="n">
        <x:v>6</x:v>
      </x:c>
      <x:c r="H12" s="63" t="n">
        <x:v>3</x:v>
      </x:c>
      <x:c r="I12" s="63" t="n">
        <x:v>6</x:v>
      </x:c>
      <x:c r="J12" s="63" t="str">
        <x:f>IF(AND(C12=G12,D12=H12,E12=I12),"PASS","FAIL")</x:f>
        <x:v>PASS</x:v>
      </x:c>
      <x:c r="K12" s="63"/>
      <x:c r="L12" s="63"/>
      <x:c r="M12" s="63"/>
      <x:c r="N12" s="63"/>
      <x:c r="O12" s="63"/>
      <x:c r="P12" s="63"/>
      <x:c r="Q12" s="63"/>
      <x:c r="R12" s="63"/>
      <x:c r="S12" s="63"/>
    </x:row>
    <x:row r="13">
      <x:c r="A13" s="63" t="str">
        <x:v>PR_35</x:v>
      </x:c>
      <x:c r="B13" s="63" t="str">
        <x:v>Ontario</x:v>
      </x:c>
      <x:c r="C13" s="63" t="n">
        <x:f>COUNTIF($B$22:$B$99,$A13)</x:f>
        <x:v>6</x:v>
      </x:c>
      <x:c r="D13" s="63" t="n">
        <x:f>COUNTIFS($B$22:$B$99,$A13,$R$22:$R$99,"YES")</x:f>
        <x:v>0</x:v>
      </x:c>
      <x:c r="E13" s="63" t="n">
        <x:f>C13</x:f>
        <x:v>6</x:v>
      </x:c>
      <x:c r="F13" s="151" t="n">
        <x:f>IF(I13=0,0,C13/I13)</x:f>
        <x:v>1</x:v>
      </x:c>
      <x:c r="G13" s="63" t="n">
        <x:v>6</x:v>
      </x:c>
      <x:c r="H13" s="63" t="n">
        <x:v>0</x:v>
      </x:c>
      <x:c r="I13" s="63" t="n">
        <x:v>6</x:v>
      </x:c>
      <x:c r="J13" s="63" t="str">
        <x:f>IF(AND(C13=G13,D13=H13,E13=I13),"PASS","FAIL")</x:f>
        <x:v>PASS</x:v>
      </x:c>
      <x:c r="K13" s="63"/>
      <x:c r="L13" s="63"/>
      <x:c r="M13" s="63"/>
      <x:c r="N13" s="63"/>
      <x:c r="O13" s="63"/>
      <x:c r="P13" s="63"/>
      <x:c r="Q13" s="63"/>
      <x:c r="R13" s="63"/>
      <x:c r="S13" s="63"/>
    </x:row>
    <x:row r="14">
      <x:c r="A14" s="63" t="str">
        <x:v>PR_11</x:v>
      </x:c>
      <x:c r="B14" s="63" t="str">
        <x:v>Prince Edward Island</x:v>
      </x:c>
      <x:c r="C14" s="63" t="n">
        <x:f>COUNTIF($B$22:$B$99,$A14)</x:f>
        <x:v>6</x:v>
      </x:c>
      <x:c r="D14" s="63" t="n">
        <x:f>COUNTIFS($B$22:$B$99,$A14,$R$22:$R$99,"YES")</x:f>
        <x:v>1</x:v>
      </x:c>
      <x:c r="E14" s="63" t="n">
        <x:f>C14</x:f>
        <x:v>6</x:v>
      </x:c>
      <x:c r="F14" s="151" t="n">
        <x:f>IF(I14=0,0,C14/I14)</x:f>
        <x:v>1</x:v>
      </x:c>
      <x:c r="G14" s="63" t="n">
        <x:v>6</x:v>
      </x:c>
      <x:c r="H14" s="63" t="n">
        <x:v>1</x:v>
      </x:c>
      <x:c r="I14" s="63" t="n">
        <x:v>6</x:v>
      </x:c>
      <x:c r="J14" s="63" t="str">
        <x:f>IF(AND(C14=G14,D14=H14,E14=I14),"PASS","FAIL")</x:f>
        <x:v>PASS</x:v>
      </x:c>
      <x:c r="K14" s="63"/>
      <x:c r="L14" s="63"/>
      <x:c r="M14" s="63"/>
      <x:c r="N14" s="63"/>
      <x:c r="O14" s="63"/>
      <x:c r="P14" s="63"/>
      <x:c r="Q14" s="63"/>
      <x:c r="R14" s="63"/>
      <x:c r="S14" s="63"/>
    </x:row>
    <x:row r="15">
      <x:c r="A15" s="63" t="str">
        <x:v>PR_24</x:v>
      </x:c>
      <x:c r="B15" s="63" t="str">
        <x:v>Quebec</x:v>
      </x:c>
      <x:c r="C15" s="63" t="n">
        <x:f>COUNTIF($B$22:$B$99,$A15)</x:f>
        <x:v>6</x:v>
      </x:c>
      <x:c r="D15" s="63" t="n">
        <x:f>COUNTIFS($B$22:$B$99,$A15,$R$22:$R$99,"YES")</x:f>
        <x:v>0</x:v>
      </x:c>
      <x:c r="E15" s="63" t="n">
        <x:f>C15</x:f>
        <x:v>6</x:v>
      </x:c>
      <x:c r="F15" s="151" t="n">
        <x:f>IF(I15=0,0,C15/I15)</x:f>
        <x:v>1</x:v>
      </x:c>
      <x:c r="G15" s="63" t="n">
        <x:v>6</x:v>
      </x:c>
      <x:c r="H15" s="63" t="n">
        <x:v>0</x:v>
      </x:c>
      <x:c r="I15" s="63" t="n">
        <x:v>6</x:v>
      </x:c>
      <x:c r="J15" s="63" t="str">
        <x:f>IF(AND(C15=G15,D15=H15,E15=I15),"PASS","FAIL")</x:f>
        <x:v>PASS</x:v>
      </x:c>
      <x:c r="K15" s="63"/>
      <x:c r="L15" s="63"/>
      <x:c r="M15" s="63"/>
      <x:c r="N15" s="63"/>
      <x:c r="O15" s="63"/>
      <x:c r="P15" s="63"/>
      <x:c r="Q15" s="63"/>
      <x:c r="R15" s="63"/>
      <x:c r="S15" s="63"/>
    </x:row>
    <x:row r="16">
      <x:c r="A16" s="63" t="str">
        <x:v>PR_47</x:v>
      </x:c>
      <x:c r="B16" s="63" t="str">
        <x:v>Saskatchewan</x:v>
      </x:c>
      <x:c r="C16" s="63" t="n">
        <x:f>COUNTIF($B$22:$B$99,$A16)</x:f>
        <x:v>6</x:v>
      </x:c>
      <x:c r="D16" s="63" t="n">
        <x:f>COUNTIFS($B$22:$B$99,$A16,$R$22:$R$99,"YES")</x:f>
        <x:v>0</x:v>
      </x:c>
      <x:c r="E16" s="63" t="n">
        <x:f>C16</x:f>
        <x:v>6</x:v>
      </x:c>
      <x:c r="F16" s="151" t="n">
        <x:f>IF(I16=0,0,C16/I16)</x:f>
        <x:v>1</x:v>
      </x:c>
      <x:c r="G16" s="63" t="n">
        <x:v>6</x:v>
      </x:c>
      <x:c r="H16" s="63" t="n">
        <x:v>0</x:v>
      </x:c>
      <x:c r="I16" s="63" t="n">
        <x:v>6</x:v>
      </x:c>
      <x:c r="J16" s="63" t="str">
        <x:f>IF(AND(C16=G16,D16=H16,E16=I16),"PASS","FAIL")</x:f>
        <x:v>PASS</x:v>
      </x:c>
      <x:c r="K16" s="63"/>
      <x:c r="L16" s="63"/>
      <x:c r="M16" s="63"/>
      <x:c r="N16" s="63"/>
      <x:c r="O16" s="63"/>
      <x:c r="P16" s="63"/>
      <x:c r="Q16" s="63"/>
      <x:c r="R16" s="63"/>
      <x:c r="S16" s="63"/>
    </x:row>
    <x:row r="17">
      <x:c r="A17" s="63" t="str">
        <x:v>PR_60</x:v>
      </x:c>
      <x:c r="B17" s="63" t="str">
        <x:v>Yukon</x:v>
      </x:c>
      <x:c r="C17" s="63" t="n">
        <x:f>COUNTIF($B$22:$B$99,$A17)</x:f>
        <x:v>6</x:v>
      </x:c>
      <x:c r="D17" s="63" t="n">
        <x:f>COUNTIFS($B$22:$B$99,$A17,$R$22:$R$99,"YES")</x:f>
        <x:v>1</x:v>
      </x:c>
      <x:c r="E17" s="63" t="n">
        <x:f>C17</x:f>
        <x:v>6</x:v>
      </x:c>
      <x:c r="F17" s="151" t="n">
        <x:f>IF(I17=0,0,C17/I17)</x:f>
        <x:v>1</x:v>
      </x:c>
      <x:c r="G17" s="63" t="n">
        <x:v>6</x:v>
      </x:c>
      <x:c r="H17" s="63" t="n">
        <x:v>1</x:v>
      </x:c>
      <x:c r="I17" s="63" t="n">
        <x:v>6</x:v>
      </x:c>
      <x:c r="J17" s="63" t="str">
        <x:f>IF(AND(C17=G17,D17=H17,E17=I17),"PASS","FAIL")</x:f>
        <x:v>PASS</x:v>
      </x:c>
      <x:c r="K17" s="63"/>
      <x:c r="L17" s="63"/>
      <x:c r="M17" s="63"/>
      <x:c r="N17" s="63"/>
      <x:c r="O17" s="63"/>
      <x:c r="P17" s="63"/>
      <x:c r="Q17" s="63"/>
      <x:c r="R17" s="63"/>
      <x:c r="S17" s="63"/>
    </x:row>
    <x:row r="18">
      <x:c r="A18" s="63"/>
      <x:c r="B18" s="63"/>
      <x:c r="C18" s="63"/>
      <x:c r="D18" s="63"/>
      <x:c r="E18" s="63"/>
      <x:c r="F18" s="63"/>
      <x:c r="G18" s="63"/>
      <x:c r="H18" s="63"/>
      <x:c r="I18" s="63"/>
      <x:c r="J18" s="63"/>
      <x:c r="K18" s="63"/>
      <x:c r="L18" s="63"/>
      <x:c r="M18" s="63"/>
      <x:c r="N18" s="63"/>
      <x:c r="O18" s="63"/>
      <x:c r="P18" s="63"/>
      <x:c r="Q18" s="63"/>
      <x:c r="R18" s="63"/>
      <x:c r="S18" s="63"/>
    </x:row>
    <x:row r="19">
      <x:c r="A19" s="63"/>
      <x:c r="B19" s="63"/>
      <x:c r="C19" s="63"/>
      <x:c r="D19" s="63"/>
      <x:c r="E19" s="63"/>
      <x:c r="F19" s="63"/>
      <x:c r="G19" s="63"/>
      <x:c r="H19" s="63"/>
      <x:c r="I19" s="63"/>
      <x:c r="J19" s="63"/>
      <x:c r="K19" s="63"/>
      <x:c r="L19" s="63"/>
      <x:c r="M19" s="63"/>
      <x:c r="N19" s="63"/>
      <x:c r="O19" s="63"/>
      <x:c r="P19" s="63"/>
      <x:c r="Q19" s="63"/>
      <x:c r="R19" s="63"/>
      <x:c r="S19" s="63"/>
    </x:row>
    <x:row r="20" ht="48" customHeight="1">
      <x:c r="A20" s="164" t="str">
        <x:v>This is a structural workforce stock from the 2021 Census reference week, not a current estimate of available workers. Counts use the 25% long-form sample and random rounding. They must not be combined with current vacancies and labelled a current vacancy rate without a disclosed temporal adjustment and survey bridge.</x:v>
      </x:c>
      <x:c r="B20" s="165"/>
      <x:c r="C20" s="165"/>
      <x:c r="D20" s="165"/>
      <x:c r="E20" s="165"/>
      <x:c r="F20" s="165"/>
      <x:c r="G20" s="165"/>
      <x:c r="H20" s="165"/>
      <x:c r="I20" s="165"/>
      <x:c r="J20" s="165"/>
      <x:c r="K20" s="165"/>
      <x:c r="L20" s="165"/>
      <x:c r="M20" s="165"/>
      <x:c r="N20" s="165"/>
      <x:c r="O20" s="165"/>
      <x:c r="P20" s="165"/>
      <x:c r="Q20" s="165"/>
      <x:c r="R20" s="165"/>
      <x:c r="S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Employed persons</x:v>
      </x:c>
      <x:c r="J21" s="84" t="str">
        <x:v>Unit</x:v>
      </x:c>
      <x:c r="K21" s="84" t="str">
        <x:v>Period start</x:v>
      </x:c>
      <x:c r="L21" s="84" t="str">
        <x:v>Period end</x:v>
      </x:c>
      <x:c r="M21" s="84" t="str">
        <x:v>Release date</x:v>
      </x:c>
      <x:c r="N21" s="84" t="str">
        <x:v>Evidence status</x:v>
      </x:c>
      <x:c r="O21" s="84" t="str">
        <x:v>Source ID</x:v>
      </x:c>
      <x:c r="P21" s="84" t="str">
        <x:v>Transformation ID</x:v>
      </x:c>
      <x:c r="Q21" s="84" t="str">
        <x:v>Quality flags</x:v>
      </x:c>
      <x:c r="R21" s="84" t="str">
        <x:v>Zero filler</x:v>
      </x:c>
      <x:c r="S21" s="45" t="str">
        <x:v>Cell check</x:v>
      </x:c>
    </x:row>
    <x:row r="22">
      <x:c r="A22" s="63" t="str">
        <x:v>OBS_CENSUS_WORKFORCE_2ACB32B33D5E9D4C446F</x:v>
      </x:c>
      <x:c r="B22" s="63" t="str">
        <x:v>PR_10</x:v>
      </x:c>
      <x:c r="C22" s="63" t="str">
        <x:v>Newfoundland and Labrador</x:v>
      </x:c>
      <x:c r="D22" s="63" t="str">
        <x:v>2021A000210</x:v>
      </x:c>
      <x:c r="E22" s="63" t="str">
        <x:v>73100</x:v>
      </x:c>
      <x:c r="F22" s="63" t="str">
        <x:v>Concrete finishers</x:v>
      </x:c>
      <x:c r="G22" s="63" t="str">
        <x:v>trade_concrete</x:v>
      </x:c>
      <x:c r="H22" s="63" t="str">
        <x:v>Employed</x:v>
      </x:c>
      <x:c r="I22" s="168" t="n">
        <x:v>70</x:v>
      </x:c>
      <x:c r="J22" s="63" t="str">
        <x:v>Persons</x:v>
      </x:c>
      <x:c r="K22" s="155" t="n">
        <x:v>44318</x:v>
      </x:c>
      <x:c r="L22" s="155" t="n">
        <x:v>44324</x:v>
      </x:c>
      <x:c r="M22" s="155" t="n">
        <x:v>44895</x:v>
      </x:c>
      <x:c r="N22" s="63" t="str">
        <x:v>observed</x:v>
      </x:c>
      <x:c r="O22" s="63" t="str">
        <x:v>STATCAN_CENSUS_OCCUPATION_98100449</x:v>
      </x:c>
      <x:c r="P22" s="63" t="str">
        <x:v>TR_STATCAN_CENSUS_WORKFORCE_CA_NOC_1_0_0</x:v>
      </x:c>
      <x:c r="Q22" s="63" t="str">
        <x:v>census_long_form_25pct_sample|random_rounding</x:v>
      </x:c>
      <x:c r="R22" s="63" t="str">
        <x:v>NO</x:v>
      </x:c>
      <x:c r="S22" s="63" t="str">
        <x:f>IF(OR(AND(I22&gt;0,R22="NO"),AND(I22=0,R22="YES")),"PASS","FAIL")</x:f>
        <x:v>PASS</x:v>
      </x:c>
    </x:row>
    <x:row r="23">
      <x:c r="A23" s="63" t="str">
        <x:v>OBS_CENSUS_WORKFORCE_DCC66740E52DEA129DB7</x:v>
      </x:c>
      <x:c r="B23" s="63" t="str">
        <x:v>PR_10</x:v>
      </x:c>
      <x:c r="C23" s="63" t="str">
        <x:v>Newfoundland and Labrador</x:v>
      </x:c>
      <x:c r="D23" s="63" t="str">
        <x:v>2021A000210</x:v>
      </x:c>
      <x:c r="E23" s="63" t="str">
        <x:v>72200</x:v>
      </x:c>
      <x:c r="F23" s="63" t="str">
        <x:v>Electricians (except industrial and power system)</x:v>
      </x:c>
      <x:c r="G23" s="63" t="str">
        <x:v>trade_electricians</x:v>
      </x:c>
      <x:c r="H23" s="63" t="str">
        <x:v>Employed</x:v>
      </x:c>
      <x:c r="I23" s="168" t="n">
        <x:v>1150</x:v>
      </x:c>
      <x:c r="J23" s="63" t="str">
        <x:v>Persons</x:v>
      </x:c>
      <x:c r="K23" s="155" t="n">
        <x:v>44318</x:v>
      </x:c>
      <x:c r="L23" s="155" t="n">
        <x:v>44324</x:v>
      </x:c>
      <x:c r="M23" s="155" t="n">
        <x:v>44895</x:v>
      </x:c>
      <x:c r="N23" s="63" t="str">
        <x:v>observed</x:v>
      </x:c>
      <x:c r="O23" s="63" t="str">
        <x:v>STATCAN_CENSUS_OCCUPATION_98100449</x:v>
      </x:c>
      <x:c r="P23" s="63" t="str">
        <x:v>TR_STATCAN_CENSUS_WORKFORCE_CA_NOC_1_0_0</x:v>
      </x:c>
      <x:c r="Q23" s="63" t="str">
        <x:v>census_long_form_25pct_sample|random_rounding</x:v>
      </x:c>
      <x:c r="R23" s="63" t="str">
        <x:v>NO</x:v>
      </x:c>
      <x:c r="S23" s="63" t="str">
        <x:f>IF(OR(AND(I23&gt;0,R23="NO"),AND(I23=0,R23="YES")),"PASS","FAIL")</x:f>
        <x:v>PASS</x:v>
      </x:c>
    </x:row>
    <x:row r="24">
      <x:c r="A24" s="63" t="str">
        <x:v>OBS_CENSUS_WORKFORCE_43070EAD174F1F7C650A</x:v>
      </x:c>
      <x:c r="B24" s="63" t="str">
        <x:v>PR_10</x:v>
      </x:c>
      <x:c r="C24" s="63" t="str">
        <x:v>Newfoundland and Labrador</x:v>
      </x:c>
      <x:c r="D24" s="63" t="str">
        <x:v>2021A000210</x:v>
      </x:c>
      <x:c r="E24" s="63" t="str">
        <x:v>72201</x:v>
      </x:c>
      <x:c r="F24" s="63" t="str">
        <x:v>Industrial electricians</x:v>
      </x:c>
      <x:c r="G24" s="63" t="str">
        <x:v>trade_electricians</x:v>
      </x:c>
      <x:c r="H24" s="63" t="str">
        <x:v>Employed</x:v>
      </x:c>
      <x:c r="I24" s="168" t="n">
        <x:v>500</x:v>
      </x:c>
      <x:c r="J24" s="63" t="str">
        <x:v>Persons</x:v>
      </x:c>
      <x:c r="K24" s="155" t="n">
        <x:v>44318</x:v>
      </x:c>
      <x:c r="L24" s="155" t="n">
        <x:v>44324</x:v>
      </x:c>
      <x:c r="M24" s="155" t="n">
        <x:v>44895</x:v>
      </x:c>
      <x:c r="N24" s="63" t="str">
        <x:v>observed</x:v>
      </x:c>
      <x:c r="O24" s="63" t="str">
        <x:v>STATCAN_CENSUS_OCCUPATION_98100449</x:v>
      </x:c>
      <x:c r="P24" s="63" t="str">
        <x:v>TR_STATCAN_CENSUS_WORKFORCE_CA_NOC_1_0_0</x:v>
      </x:c>
      <x:c r="Q24" s="63" t="str">
        <x:v>census_long_form_25pct_sample|random_rounding</x:v>
      </x:c>
      <x:c r="R24" s="63" t="str">
        <x:v>NO</x:v>
      </x:c>
      <x:c r="S24" s="63" t="str">
        <x:f>IF(OR(AND(I24&gt;0,R24="NO"),AND(I24=0,R24="YES")),"PASS","FAIL")</x:f>
        <x:v>PASS</x:v>
      </x:c>
    </x:row>
    <x:row r="25">
      <x:c r="A25" s="63" t="str">
        <x:v>OBS_CENSUS_WORKFORCE_1503FAFC1B0338177333</x:v>
      </x:c>
      <x:c r="B25" s="63" t="str">
        <x:v>PR_10</x:v>
      </x:c>
      <x:c r="C25" s="63" t="str">
        <x:v>Newfoundland and Labrador</x:v>
      </x:c>
      <x:c r="D25" s="63" t="str">
        <x:v>2021A000210</x:v>
      </x:c>
      <x:c r="E25" s="63" t="str">
        <x:v>72402</x:v>
      </x:c>
      <x:c r="F25" s="63" t="str">
        <x:v>Heating, refrigeration and air conditioning mechanics</x:v>
      </x:c>
      <x:c r="G25" s="63" t="str">
        <x:v>trade_hvac</x:v>
      </x:c>
      <x:c r="H25" s="63" t="str">
        <x:v>Employed</x:v>
      </x:c>
      <x:c r="I25" s="168" t="n">
        <x:v>190</x:v>
      </x:c>
      <x:c r="J25" s="63" t="str">
        <x:v>Persons</x:v>
      </x:c>
      <x:c r="K25" s="155" t="n">
        <x:v>44318</x:v>
      </x:c>
      <x:c r="L25" s="155" t="n">
        <x:v>44324</x:v>
      </x:c>
      <x:c r="M25" s="155" t="n">
        <x:v>44895</x:v>
      </x:c>
      <x:c r="N25" s="63" t="str">
        <x:v>observed</x:v>
      </x:c>
      <x:c r="O25" s="63" t="str">
        <x:v>STATCAN_CENSUS_OCCUPATION_98100449</x:v>
      </x:c>
      <x:c r="P25" s="63" t="str">
        <x:v>TR_STATCAN_CENSUS_WORKFORCE_CA_NOC_1_0_0</x:v>
      </x:c>
      <x:c r="Q25" s="63" t="str">
        <x:v>census_long_form_25pct_sample|random_rounding</x:v>
      </x:c>
      <x:c r="R25" s="63" t="str">
        <x:v>NO</x:v>
      </x:c>
      <x:c r="S25" s="63" t="str">
        <x:f>IF(OR(AND(I25&gt;0,R25="NO"),AND(I25=0,R25="YES")),"PASS","FAIL")</x:f>
        <x:v>PASS</x:v>
      </x:c>
    </x:row>
    <x:row r="26">
      <x:c r="A26" s="63" t="str">
        <x:v>OBS_CENSUS_WORKFORCE_A4F74B9B22B4522D709C</x:v>
      </x:c>
      <x:c r="B26" s="63" t="str">
        <x:v>PR_10</x:v>
      </x:c>
      <x:c r="C26" s="63" t="str">
        <x:v>Newfoundland and Labrador</x:v>
      </x:c>
      <x:c r="D26" s="63" t="str">
        <x:v>2021A000210</x:v>
      </x:c>
      <x:c r="E26" s="63" t="str">
        <x:v>72202</x:v>
      </x:c>
      <x:c r="F26" s="63" t="str">
        <x:v>Power system electricians</x:v>
      </x:c>
      <x:c r="G26" s="63" t="str">
        <x:v>trade_power_line</x:v>
      </x:c>
      <x:c r="H26" s="63" t="str">
        <x:v>Employed</x:v>
      </x:c>
      <x:c r="I26" s="168" t="n">
        <x:v>120</x:v>
      </x:c>
      <x:c r="J26" s="63" t="str">
        <x:v>Persons</x:v>
      </x:c>
      <x:c r="K26" s="155" t="n">
        <x:v>44318</x:v>
      </x:c>
      <x:c r="L26" s="155" t="n">
        <x:v>44324</x:v>
      </x:c>
      <x:c r="M26" s="155" t="n">
        <x:v>44895</x:v>
      </x:c>
      <x:c r="N26" s="63" t="str">
        <x:v>observed</x:v>
      </x:c>
      <x:c r="O26" s="63" t="str">
        <x:v>STATCAN_CENSUS_OCCUPATION_98100449</x:v>
      </x:c>
      <x:c r="P26" s="63" t="str">
        <x:v>TR_STATCAN_CENSUS_WORKFORCE_CA_NOC_1_0_0</x:v>
      </x:c>
      <x:c r="Q26" s="63" t="str">
        <x:v>census_long_form_25pct_sample|random_rounding</x:v>
      </x:c>
      <x:c r="R26" s="63" t="str">
        <x:v>NO</x:v>
      </x:c>
      <x:c r="S26" s="63" t="str">
        <x:f>IF(OR(AND(I26&gt;0,R26="NO"),AND(I26=0,R26="YES")),"PASS","FAIL")</x:f>
        <x:v>PASS</x:v>
      </x:c>
    </x:row>
    <x:row r="27">
      <x:c r="A27" s="63" t="str">
        <x:v>OBS_CENSUS_WORKFORCE_3A427C7FECE116F37E72</x:v>
      </x:c>
      <x:c r="B27" s="63" t="str">
        <x:v>PR_10</x:v>
      </x:c>
      <x:c r="C27" s="63" t="str">
        <x:v>Newfoundland and Labrador</x:v>
      </x:c>
      <x:c r="D27" s="63" t="str">
        <x:v>2021A000210</x:v>
      </x:c>
      <x:c r="E27" s="63" t="str">
        <x:v>72203</x:v>
      </x:c>
      <x:c r="F27" s="63" t="str">
        <x:v>Electrical power line and cable workers</x:v>
      </x:c>
      <x:c r="G27" s="63" t="str">
        <x:v>trade_power_line</x:v>
      </x:c>
      <x:c r="H27" s="63" t="str">
        <x:v>Employed</x:v>
      </x:c>
      <x:c r="I27" s="168" t="n">
        <x:v>320</x:v>
      </x:c>
      <x:c r="J27" s="63" t="str">
        <x:v>Persons</x:v>
      </x:c>
      <x:c r="K27" s="155" t="n">
        <x:v>44318</x:v>
      </x:c>
      <x:c r="L27" s="155" t="n">
        <x:v>44324</x:v>
      </x:c>
      <x:c r="M27" s="155" t="n">
        <x:v>44895</x:v>
      </x:c>
      <x:c r="N27" s="63" t="str">
        <x:v>observed</x:v>
      </x:c>
      <x:c r="O27" s="63" t="str">
        <x:v>STATCAN_CENSUS_OCCUPATION_98100449</x:v>
      </x:c>
      <x:c r="P27" s="63" t="str">
        <x:v>TR_STATCAN_CENSUS_WORKFORCE_CA_NOC_1_0_0</x:v>
      </x:c>
      <x:c r="Q27" s="63" t="str">
        <x:v>census_long_form_25pct_sample|random_rounding</x:v>
      </x:c>
      <x:c r="R27" s="63" t="str">
        <x:v>NO</x:v>
      </x:c>
      <x:c r="S27" s="63" t="str">
        <x:f>IF(OR(AND(I27&gt;0,R27="NO"),AND(I27=0,R27="YES")),"PASS","FAIL")</x:f>
        <x:v>PASS</x:v>
      </x:c>
    </x:row>
    <x:row r="28">
      <x:c r="A28" s="63" t="str">
        <x:v>OBS_CENSUS_WORKFORCE_266114E12BFD4F603A6A</x:v>
      </x:c>
      <x:c r="B28" s="63" t="str">
        <x:v>PR_11</x:v>
      </x:c>
      <x:c r="C28" s="63" t="str">
        <x:v>Prince Edward Island</x:v>
      </x:c>
      <x:c r="D28" s="63" t="str">
        <x:v>2021A000211</x:v>
      </x:c>
      <x:c r="E28" s="63" t="str">
        <x:v>73100</x:v>
      </x:c>
      <x:c r="F28" s="63" t="str">
        <x:v>Concrete finishers</x:v>
      </x:c>
      <x:c r="G28" s="63" t="str">
        <x:v>trade_concrete</x:v>
      </x:c>
      <x:c r="H28" s="63" t="str">
        <x:v>Employed</x:v>
      </x:c>
      <x:c r="I28" s="168" t="n">
        <x:v>20</x:v>
      </x:c>
      <x:c r="J28" s="63" t="str">
        <x:v>Persons</x:v>
      </x:c>
      <x:c r="K28" s="155" t="n">
        <x:v>44318</x:v>
      </x:c>
      <x:c r="L28" s="155" t="n">
        <x:v>44324</x:v>
      </x:c>
      <x:c r="M28" s="155" t="n">
        <x:v>44895</x:v>
      </x:c>
      <x:c r="N28" s="63" t="str">
        <x:v>observed</x:v>
      </x:c>
      <x:c r="O28" s="63" t="str">
        <x:v>STATCAN_CENSUS_OCCUPATION_98100449</x:v>
      </x:c>
      <x:c r="P28" s="63" t="str">
        <x:v>TR_STATCAN_CENSUS_WORKFORCE_CA_NOC_1_0_0</x:v>
      </x:c>
      <x:c r="Q28" s="63" t="str">
        <x:v>census_long_form_25pct_sample|random_rounding</x:v>
      </x:c>
      <x:c r="R28" s="63" t="str">
        <x:v>NO</x:v>
      </x:c>
      <x:c r="S28" s="63" t="str">
        <x:f>IF(OR(AND(I28&gt;0,R28="NO"),AND(I28=0,R28="YES")),"PASS","FAIL")</x:f>
        <x:v>PASS</x:v>
      </x:c>
    </x:row>
    <x:row r="29">
      <x:c r="A29" t="str">
        <x:v>OBS_CENSUS_WORKFORCE_BD98D61107DF0BB5A266</x:v>
      </x:c>
      <x:c r="B29" t="str">
        <x:v>PR_11</x:v>
      </x:c>
      <x:c r="C29" t="str">
        <x:v>Prince Edward Island</x:v>
      </x:c>
      <x:c r="D29" t="str">
        <x:v>2021A000211</x:v>
      </x:c>
      <x:c r="E29" t="str">
        <x:v>72200</x:v>
      </x:c>
      <x:c r="F29" t="str">
        <x:v>Electricians (except industrial and power system)</x:v>
      </x:c>
      <x:c r="G29" t="str">
        <x:v>trade_electricians</x:v>
      </x:c>
      <x:c r="H29" t="str">
        <x:v>Employed</x:v>
      </x:c>
      <x:c r="I29" s="167" t="n">
        <x:v>410</x:v>
      </x:c>
      <x:c r="J29" t="str">
        <x:v>Persons</x:v>
      </x:c>
      <x:c r="K29" s="153" t="n">
        <x:v>44318</x:v>
      </x:c>
      <x:c r="L29" s="153" t="n">
        <x:v>44324</x:v>
      </x:c>
      <x:c r="M29" s="153" t="n">
        <x:v>44895</x:v>
      </x:c>
      <x:c r="N29" t="str">
        <x:v>observed</x:v>
      </x:c>
      <x:c r="O29" t="str">
        <x:v>STATCAN_CENSUS_OCCUPATION_98100449</x:v>
      </x:c>
      <x:c r="P29" t="str">
        <x:v>TR_STATCAN_CENSUS_WORKFORCE_CA_NOC_1_0_0</x:v>
      </x:c>
      <x:c r="Q29" t="str">
        <x:v>census_long_form_25pct_sample|random_rounding</x:v>
      </x:c>
      <x:c r="R29" t="str">
        <x:v>NO</x:v>
      </x:c>
      <x:c r="S29" t="str">
        <x:f>IF(OR(AND(I29&gt;0,R29="NO"),AND(I29=0,R29="YES")),"PASS","FAIL")</x:f>
        <x:v>PASS</x:v>
      </x:c>
    </x:row>
    <x:row r="30">
      <x:c r="A30" t="str">
        <x:v>OBS_CENSUS_WORKFORCE_B531A2CE3705B816E3C3</x:v>
      </x:c>
      <x:c r="B30" t="str">
        <x:v>PR_11</x:v>
      </x:c>
      <x:c r="C30" t="str">
        <x:v>Prince Edward Island</x:v>
      </x:c>
      <x:c r="D30" t="str">
        <x:v>2021A000211</x:v>
      </x:c>
      <x:c r="E30" t="str">
        <x:v>72201</x:v>
      </x:c>
      <x:c r="F30" t="str">
        <x:v>Industrial electricians</x:v>
      </x:c>
      <x:c r="G30" t="str">
        <x:v>trade_electricians</x:v>
      </x:c>
      <x:c r="H30" t="str">
        <x:v>Employed</x:v>
      </x:c>
      <x:c r="I30" s="167" t="n">
        <x:v>40</x:v>
      </x:c>
      <x:c r="J30" t="str">
        <x:v>Persons</x:v>
      </x:c>
      <x:c r="K30" s="153" t="n">
        <x:v>44318</x:v>
      </x:c>
      <x:c r="L30" s="153" t="n">
        <x:v>44324</x:v>
      </x:c>
      <x:c r="M30" s="153" t="n">
        <x:v>44895</x:v>
      </x:c>
      <x:c r="N30" t="str">
        <x:v>observed</x:v>
      </x:c>
      <x:c r="O30" t="str">
        <x:v>STATCAN_CENSUS_OCCUPATION_98100449</x:v>
      </x:c>
      <x:c r="P30" t="str">
        <x:v>TR_STATCAN_CENSUS_WORKFORCE_CA_NOC_1_0_0</x:v>
      </x:c>
      <x:c r="Q30" t="str">
        <x:v>census_long_form_25pct_sample|random_rounding</x:v>
      </x:c>
      <x:c r="R30" t="str">
        <x:v>NO</x:v>
      </x:c>
      <x:c r="S30" t="str">
        <x:f>IF(OR(AND(I30&gt;0,R30="NO"),AND(I30=0,R30="YES")),"PASS","FAIL")</x:f>
        <x:v>PASS</x:v>
      </x:c>
    </x:row>
    <x:row r="31">
      <x:c r="A31" t="str">
        <x:v>OBS_CENSUS_WORKFORCE_99FFAABBF30BFB755D76</x:v>
      </x:c>
      <x:c r="B31" t="str">
        <x:v>PR_11</x:v>
      </x:c>
      <x:c r="C31" t="str">
        <x:v>Prince Edward Island</x:v>
      </x:c>
      <x:c r="D31" t="str">
        <x:v>2021A000211</x:v>
      </x:c>
      <x:c r="E31" t="str">
        <x:v>72402</x:v>
      </x:c>
      <x:c r="F31" t="str">
        <x:v>Heating, refrigeration and air conditioning mechanics</x:v>
      </x:c>
      <x:c r="G31" t="str">
        <x:v>trade_hvac</x:v>
      </x:c>
      <x:c r="H31" t="str">
        <x:v>Employed</x:v>
      </x:c>
      <x:c r="I31" s="167" t="n">
        <x:v>80</x:v>
      </x:c>
      <x:c r="J31" t="str">
        <x:v>Persons</x:v>
      </x:c>
      <x:c r="K31" s="153" t="n">
        <x:v>44318</x:v>
      </x:c>
      <x:c r="L31" s="153" t="n">
        <x:v>44324</x:v>
      </x:c>
      <x:c r="M31" s="153" t="n">
        <x:v>44895</x:v>
      </x:c>
      <x:c r="N31" t="str">
        <x:v>observed</x:v>
      </x:c>
      <x:c r="O31" t="str">
        <x:v>STATCAN_CENSUS_OCCUPATION_98100449</x:v>
      </x:c>
      <x:c r="P31" t="str">
        <x:v>TR_STATCAN_CENSUS_WORKFORCE_CA_NOC_1_0_0</x:v>
      </x:c>
      <x:c r="Q31" t="str">
        <x:v>census_long_form_25pct_sample|random_rounding</x:v>
      </x:c>
      <x:c r="R31" t="str">
        <x:v>NO</x:v>
      </x:c>
      <x:c r="S31" t="str">
        <x:f>IF(OR(AND(I31&gt;0,R31="NO"),AND(I31=0,R31="YES")),"PASS","FAIL")</x:f>
        <x:v>PASS</x:v>
      </x:c>
    </x:row>
    <x:row r="32">
      <x:c r="A32" t="str">
        <x:v>OBS_CENSUS_WORKFORCE_B4F4AA63AF152BB75179</x:v>
      </x:c>
      <x:c r="B32" t="str">
        <x:v>PR_11</x:v>
      </x:c>
      <x:c r="C32" t="str">
        <x:v>Prince Edward Island</x:v>
      </x:c>
      <x:c r="D32" t="str">
        <x:v>2021A000211</x:v>
      </x:c>
      <x:c r="E32" t="str">
        <x:v>72202</x:v>
      </x:c>
      <x:c r="F32" t="str">
        <x:v>Power system electricians</x:v>
      </x:c>
      <x:c r="G32" t="str">
        <x:v>trade_power_line</x:v>
      </x:c>
      <x:c r="H32" t="str">
        <x:v>Employed</x:v>
      </x:c>
      <x:c r="I32" s="167" t="n">
        <x:v>0</x:v>
      </x:c>
      <x:c r="J32" t="str">
        <x:v>Persons</x:v>
      </x:c>
      <x:c r="K32" s="153" t="n">
        <x:v>44318</x:v>
      </x:c>
      <x:c r="L32" s="153" t="n">
        <x:v>44324</x:v>
      </x:c>
      <x:c r="M32" s="153" t="n">
        <x:v>44895</x:v>
      </x:c>
      <x:c r="N32" t="str">
        <x:v>observed</x:v>
      </x:c>
      <x:c r="O32" t="str">
        <x:v>STATCAN_CENSUS_OCCUPATION_98100449</x:v>
      </x:c>
      <x:c r="P32" t="str">
        <x:v>TR_STATCAN_CENSUS_WORKFORCE_CA_NOC_1_0_0</x:v>
      </x:c>
      <x:c r="Q32" t="str">
        <x:v>census_long_form_25pct_sample|random_rounding|wds_response_status_code:2|census_zero_filler</x:v>
      </x:c>
      <x:c r="R32" t="str">
        <x:v>YES</x:v>
      </x:c>
      <x:c r="S32" t="str">
        <x:f>IF(OR(AND(I32&gt;0,R32="NO"),AND(I32=0,R32="YES")),"PASS","FAIL")</x:f>
        <x:v>PASS</x:v>
      </x:c>
    </x:row>
    <x:row r="33">
      <x:c r="A33" t="str">
        <x:v>OBS_CENSUS_WORKFORCE_DF200482DCF2CA04FF13</x:v>
      </x:c>
      <x:c r="B33" t="str">
        <x:v>PR_11</x:v>
      </x:c>
      <x:c r="C33" t="str">
        <x:v>Prince Edward Island</x:v>
      </x:c>
      <x:c r="D33" t="str">
        <x:v>2021A000211</x:v>
      </x:c>
      <x:c r="E33" t="str">
        <x:v>72203</x:v>
      </x:c>
      <x:c r="F33" t="str">
        <x:v>Electrical power line and cable workers</x:v>
      </x:c>
      <x:c r="G33" t="str">
        <x:v>trade_power_line</x:v>
      </x:c>
      <x:c r="H33" t="str">
        <x:v>Employed</x:v>
      </x:c>
      <x:c r="I33" s="167" t="n">
        <x:v>65</x:v>
      </x:c>
      <x:c r="J33" t="str">
        <x:v>Persons</x:v>
      </x:c>
      <x:c r="K33" s="153" t="n">
        <x:v>44318</x:v>
      </x:c>
      <x:c r="L33" s="153" t="n">
        <x:v>44324</x:v>
      </x:c>
      <x:c r="M33" s="153" t="n">
        <x:v>44895</x:v>
      </x:c>
      <x:c r="N33" t="str">
        <x:v>observed</x:v>
      </x:c>
      <x:c r="O33" t="str">
        <x:v>STATCAN_CENSUS_OCCUPATION_98100449</x:v>
      </x:c>
      <x:c r="P33" t="str">
        <x:v>TR_STATCAN_CENSUS_WORKFORCE_CA_NOC_1_0_0</x:v>
      </x:c>
      <x:c r="Q33" t="str">
        <x:v>census_long_form_25pct_sample|random_rounding</x:v>
      </x:c>
      <x:c r="R33" t="str">
        <x:v>NO</x:v>
      </x:c>
      <x:c r="S33" t="str">
        <x:f>IF(OR(AND(I33&gt;0,R33="NO"),AND(I33=0,R33="YES")),"PASS","FAIL")</x:f>
        <x:v>PASS</x:v>
      </x:c>
    </x:row>
    <x:row r="34">
      <x:c r="A34" t="str">
        <x:v>OBS_CENSUS_WORKFORCE_9EDDE70641A7E7E833F5</x:v>
      </x:c>
      <x:c r="B34" t="str">
        <x:v>PR_12</x:v>
      </x:c>
      <x:c r="C34" t="str">
        <x:v>Nova Scotia</x:v>
      </x:c>
      <x:c r="D34" t="str">
        <x:v>2021A000212</x:v>
      </x:c>
      <x:c r="E34" t="str">
        <x:v>73100</x:v>
      </x:c>
      <x:c r="F34" t="str">
        <x:v>Concrete finishers</x:v>
      </x:c>
      <x:c r="G34" t="str">
        <x:v>trade_concrete</x:v>
      </x:c>
      <x:c r="H34" t="str">
        <x:v>Employed</x:v>
      </x:c>
      <x:c r="I34" s="167" t="n">
        <x:v>95</x:v>
      </x:c>
      <x:c r="J34" t="str">
        <x:v>Persons</x:v>
      </x:c>
      <x:c r="K34" s="153" t="n">
        <x:v>44318</x:v>
      </x:c>
      <x:c r="L34" s="153" t="n">
        <x:v>44324</x:v>
      </x:c>
      <x:c r="M34" s="153" t="n">
        <x:v>44895</x:v>
      </x:c>
      <x:c r="N34" t="str">
        <x:v>observed</x:v>
      </x:c>
      <x:c r="O34" t="str">
        <x:v>STATCAN_CENSUS_OCCUPATION_98100449</x:v>
      </x:c>
      <x:c r="P34" t="str">
        <x:v>TR_STATCAN_CENSUS_WORKFORCE_CA_NOC_1_0_0</x:v>
      </x:c>
      <x:c r="Q34" t="str">
        <x:v>census_long_form_25pct_sample|random_rounding</x:v>
      </x:c>
      <x:c r="R34" t="str">
        <x:v>NO</x:v>
      </x:c>
      <x:c r="S34" t="str">
        <x:f>IF(OR(AND(I34&gt;0,R34="NO"),AND(I34=0,R34="YES")),"PASS","FAIL")</x:f>
        <x:v>PASS</x:v>
      </x:c>
    </x:row>
    <x:row r="35">
      <x:c r="A35" t="str">
        <x:v>OBS_CENSUS_WORKFORCE_54BB7378D0DABFF43138</x:v>
      </x:c>
      <x:c r="B35" t="str">
        <x:v>PR_12</x:v>
      </x:c>
      <x:c r="C35" t="str">
        <x:v>Nova Scotia</x:v>
      </x:c>
      <x:c r="D35" t="str">
        <x:v>2021A000212</x:v>
      </x:c>
      <x:c r="E35" t="str">
        <x:v>72200</x:v>
      </x:c>
      <x:c r="F35" t="str">
        <x:v>Electricians (except industrial and power system)</x:v>
      </x:c>
      <x:c r="G35" t="str">
        <x:v>trade_electricians</x:v>
      </x:c>
      <x:c r="H35" t="str">
        <x:v>Employed</x:v>
      </x:c>
      <x:c r="I35" s="167" t="n">
        <x:v>2185</x:v>
      </x:c>
      <x:c r="J35" t="str">
        <x:v>Persons</x:v>
      </x:c>
      <x:c r="K35" s="153" t="n">
        <x:v>44318</x:v>
      </x:c>
      <x:c r="L35" s="153" t="n">
        <x:v>44324</x:v>
      </x:c>
      <x:c r="M35" s="153" t="n">
        <x:v>44895</x:v>
      </x:c>
      <x:c r="N35" t="str">
        <x:v>observed</x:v>
      </x:c>
      <x:c r="O35" t="str">
        <x:v>STATCAN_CENSUS_OCCUPATION_98100449</x:v>
      </x:c>
      <x:c r="P35" t="str">
        <x:v>TR_STATCAN_CENSUS_WORKFORCE_CA_NOC_1_0_0</x:v>
      </x:c>
      <x:c r="Q35" t="str">
        <x:v>census_long_form_25pct_sample|random_rounding</x:v>
      </x:c>
      <x:c r="R35" t="str">
        <x:v>NO</x:v>
      </x:c>
      <x:c r="S35" t="str">
        <x:f>IF(OR(AND(I35&gt;0,R35="NO"),AND(I35=0,R35="YES")),"PASS","FAIL")</x:f>
        <x:v>PASS</x:v>
      </x:c>
    </x:row>
    <x:row r="36">
      <x:c r="A36" t="str">
        <x:v>OBS_CENSUS_WORKFORCE_EAFB57897AC7828F63D3</x:v>
      </x:c>
      <x:c r="B36" t="str">
        <x:v>PR_12</x:v>
      </x:c>
      <x:c r="C36" t="str">
        <x:v>Nova Scotia</x:v>
      </x:c>
      <x:c r="D36" t="str">
        <x:v>2021A000212</x:v>
      </x:c>
      <x:c r="E36" t="str">
        <x:v>72201</x:v>
      </x:c>
      <x:c r="F36" t="str">
        <x:v>Industrial electricians</x:v>
      </x:c>
      <x:c r="G36" t="str">
        <x:v>trade_electricians</x:v>
      </x:c>
      <x:c r="H36" t="str">
        <x:v>Employed</x:v>
      </x:c>
      <x:c r="I36" s="167" t="n">
        <x:v>610</x:v>
      </x:c>
      <x:c r="J36" t="str">
        <x:v>Persons</x:v>
      </x:c>
      <x:c r="K36" s="153" t="n">
        <x:v>44318</x:v>
      </x:c>
      <x:c r="L36" s="153" t="n">
        <x:v>44324</x:v>
      </x:c>
      <x:c r="M36" s="153" t="n">
        <x:v>44895</x:v>
      </x:c>
      <x:c r="N36" t="str">
        <x:v>observed</x:v>
      </x:c>
      <x:c r="O36" t="str">
        <x:v>STATCAN_CENSUS_OCCUPATION_98100449</x:v>
      </x:c>
      <x:c r="P36" t="str">
        <x:v>TR_STATCAN_CENSUS_WORKFORCE_CA_NOC_1_0_0</x:v>
      </x:c>
      <x:c r="Q36" t="str">
        <x:v>census_long_form_25pct_sample|random_rounding</x:v>
      </x:c>
      <x:c r="R36" t="str">
        <x:v>NO</x:v>
      </x:c>
      <x:c r="S36" t="str">
        <x:f>IF(OR(AND(I36&gt;0,R36="NO"),AND(I36=0,R36="YES")),"PASS","FAIL")</x:f>
        <x:v>PASS</x:v>
      </x:c>
    </x:row>
    <x:row r="37">
      <x:c r="A37" t="str">
        <x:v>OBS_CENSUS_WORKFORCE_B3C68E533C046A0754DD</x:v>
      </x:c>
      <x:c r="B37" t="str">
        <x:v>PR_12</x:v>
      </x:c>
      <x:c r="C37" t="str">
        <x:v>Nova Scotia</x:v>
      </x:c>
      <x:c r="D37" t="str">
        <x:v>2021A000212</x:v>
      </x:c>
      <x:c r="E37" t="str">
        <x:v>72402</x:v>
      </x:c>
      <x:c r="F37" t="str">
        <x:v>Heating, refrigeration and air conditioning mechanics</x:v>
      </x:c>
      <x:c r="G37" t="str">
        <x:v>trade_hvac</x:v>
      </x:c>
      <x:c r="H37" t="str">
        <x:v>Employed</x:v>
      </x:c>
      <x:c r="I37" s="167" t="n">
        <x:v>630</x:v>
      </x:c>
      <x:c r="J37" t="str">
        <x:v>Persons</x:v>
      </x:c>
      <x:c r="K37" s="153" t="n">
        <x:v>44318</x:v>
      </x:c>
      <x:c r="L37" s="153" t="n">
        <x:v>44324</x:v>
      </x:c>
      <x:c r="M37" s="153" t="n">
        <x:v>44895</x:v>
      </x:c>
      <x:c r="N37" t="str">
        <x:v>observed</x:v>
      </x:c>
      <x:c r="O37" t="str">
        <x:v>STATCAN_CENSUS_OCCUPATION_98100449</x:v>
      </x:c>
      <x:c r="P37" t="str">
        <x:v>TR_STATCAN_CENSUS_WORKFORCE_CA_NOC_1_0_0</x:v>
      </x:c>
      <x:c r="Q37" t="str">
        <x:v>census_long_form_25pct_sample|random_rounding</x:v>
      </x:c>
      <x:c r="R37" t="str">
        <x:v>NO</x:v>
      </x:c>
      <x:c r="S37" t="str">
        <x:f>IF(OR(AND(I37&gt;0,R37="NO"),AND(I37=0,R37="YES")),"PASS","FAIL")</x:f>
        <x:v>PASS</x:v>
      </x:c>
    </x:row>
    <x:row r="38">
      <x:c r="A38" t="str">
        <x:v>OBS_CENSUS_WORKFORCE_ABF61FC9B1FB802AD691</x:v>
      </x:c>
      <x:c r="B38" t="str">
        <x:v>PR_12</x:v>
      </x:c>
      <x:c r="C38" t="str">
        <x:v>Nova Scotia</x:v>
      </x:c>
      <x:c r="D38" t="str">
        <x:v>2021A000212</x:v>
      </x:c>
      <x:c r="E38" t="str">
        <x:v>72202</x:v>
      </x:c>
      <x:c r="F38" t="str">
        <x:v>Power system electricians</x:v>
      </x:c>
      <x:c r="G38" t="str">
        <x:v>trade_power_line</x:v>
      </x:c>
      <x:c r="H38" t="str">
        <x:v>Employed</x:v>
      </x:c>
      <x:c r="I38" s="167" t="n">
        <x:v>40</x:v>
      </x:c>
      <x:c r="J38" t="str">
        <x:v>Persons</x:v>
      </x:c>
      <x:c r="K38" s="153" t="n">
        <x:v>44318</x:v>
      </x:c>
      <x:c r="L38" s="153" t="n">
        <x:v>44324</x:v>
      </x:c>
      <x:c r="M38" s="153" t="n">
        <x:v>44895</x:v>
      </x:c>
      <x:c r="N38" t="str">
        <x:v>observed</x:v>
      </x:c>
      <x:c r="O38" t="str">
        <x:v>STATCAN_CENSUS_OCCUPATION_98100449</x:v>
      </x:c>
      <x:c r="P38" t="str">
        <x:v>TR_STATCAN_CENSUS_WORKFORCE_CA_NOC_1_0_0</x:v>
      </x:c>
      <x:c r="Q38" t="str">
        <x:v>census_long_form_25pct_sample|random_rounding</x:v>
      </x:c>
      <x:c r="R38" t="str">
        <x:v>NO</x:v>
      </x:c>
      <x:c r="S38" t="str">
        <x:f>IF(OR(AND(I38&gt;0,R38="NO"),AND(I38=0,R38="YES")),"PASS","FAIL")</x:f>
        <x:v>PASS</x:v>
      </x:c>
    </x:row>
    <x:row r="39">
      <x:c r="A39" t="str">
        <x:v>OBS_CENSUS_WORKFORCE_0639D24C1B4249674E9F</x:v>
      </x:c>
      <x:c r="B39" t="str">
        <x:v>PR_12</x:v>
      </x:c>
      <x:c r="C39" t="str">
        <x:v>Nova Scotia</x:v>
      </x:c>
      <x:c r="D39" t="str">
        <x:v>2021A000212</x:v>
      </x:c>
      <x:c r="E39" t="str">
        <x:v>72203</x:v>
      </x:c>
      <x:c r="F39" t="str">
        <x:v>Electrical power line and cable workers</x:v>
      </x:c>
      <x:c r="G39" t="str">
        <x:v>trade_power_line</x:v>
      </x:c>
      <x:c r="H39" t="str">
        <x:v>Employed</x:v>
      </x:c>
      <x:c r="I39" s="167" t="n">
        <x:v>305</x:v>
      </x:c>
      <x:c r="J39" t="str">
        <x:v>Persons</x:v>
      </x:c>
      <x:c r="K39" s="153" t="n">
        <x:v>44318</x:v>
      </x:c>
      <x:c r="L39" s="153" t="n">
        <x:v>44324</x:v>
      </x:c>
      <x:c r="M39" s="153" t="n">
        <x:v>44895</x:v>
      </x:c>
      <x:c r="N39" t="str">
        <x:v>observed</x:v>
      </x:c>
      <x:c r="O39" t="str">
        <x:v>STATCAN_CENSUS_OCCUPATION_98100449</x:v>
      </x:c>
      <x:c r="P39" t="str">
        <x:v>TR_STATCAN_CENSUS_WORKFORCE_CA_NOC_1_0_0</x:v>
      </x:c>
      <x:c r="Q39" t="str">
        <x:v>census_long_form_25pct_sample|random_rounding</x:v>
      </x:c>
      <x:c r="R39" t="str">
        <x:v>NO</x:v>
      </x:c>
      <x:c r="S39" t="str">
        <x:f>IF(OR(AND(I39&gt;0,R39="NO"),AND(I39=0,R39="YES")),"PASS","FAIL")</x:f>
        <x:v>PASS</x:v>
      </x:c>
    </x:row>
    <x:row r="40">
      <x:c r="A40" t="str">
        <x:v>OBS_CENSUS_WORKFORCE_4B27E98A92193529697E</x:v>
      </x:c>
      <x:c r="B40" t="str">
        <x:v>PR_13</x:v>
      </x:c>
      <x:c r="C40" t="str">
        <x:v>New Brunswick</x:v>
      </x:c>
      <x:c r="D40" t="str">
        <x:v>2021A000213</x:v>
      </x:c>
      <x:c r="E40" t="str">
        <x:v>73100</x:v>
      </x:c>
      <x:c r="F40" t="str">
        <x:v>Concrete finishers</x:v>
      </x:c>
      <x:c r="G40" t="str">
        <x:v>trade_concrete</x:v>
      </x:c>
      <x:c r="H40" t="str">
        <x:v>Employed</x:v>
      </x:c>
      <x:c r="I40" s="167" t="n">
        <x:v>75</x:v>
      </x:c>
      <x:c r="J40" t="str">
        <x:v>Persons</x:v>
      </x:c>
      <x:c r="K40" s="153" t="n">
        <x:v>44318</x:v>
      </x:c>
      <x:c r="L40" s="153" t="n">
        <x:v>44324</x:v>
      </x:c>
      <x:c r="M40" s="153" t="n">
        <x:v>44895</x:v>
      </x:c>
      <x:c r="N40" t="str">
        <x:v>observed</x:v>
      </x:c>
      <x:c r="O40" t="str">
        <x:v>STATCAN_CENSUS_OCCUPATION_98100449</x:v>
      </x:c>
      <x:c r="P40" t="str">
        <x:v>TR_STATCAN_CENSUS_WORKFORCE_CA_NOC_1_0_0</x:v>
      </x:c>
      <x:c r="Q40" t="str">
        <x:v>census_long_form_25pct_sample|random_rounding</x:v>
      </x:c>
      <x:c r="R40" t="str">
        <x:v>NO</x:v>
      </x:c>
      <x:c r="S40" t="str">
        <x:f>IF(OR(AND(I40&gt;0,R40="NO"),AND(I40=0,R40="YES")),"PASS","FAIL")</x:f>
        <x:v>PASS</x:v>
      </x:c>
    </x:row>
    <x:row r="41">
      <x:c r="A41" t="str">
        <x:v>OBS_CENSUS_WORKFORCE_F45B8A53B3623071B5BD</x:v>
      </x:c>
      <x:c r="B41" t="str">
        <x:v>PR_13</x:v>
      </x:c>
      <x:c r="C41" t="str">
        <x:v>New Brunswick</x:v>
      </x:c>
      <x:c r="D41" t="str">
        <x:v>2021A000213</x:v>
      </x:c>
      <x:c r="E41" t="str">
        <x:v>72200</x:v>
      </x:c>
      <x:c r="F41" t="str">
        <x:v>Electricians (except industrial and power system)</x:v>
      </x:c>
      <x:c r="G41" t="str">
        <x:v>trade_electricians</x:v>
      </x:c>
      <x:c r="H41" t="str">
        <x:v>Employed</x:v>
      </x:c>
      <x:c r="I41" s="167" t="n">
        <x:v>1795</x:v>
      </x:c>
      <x:c r="J41" t="str">
        <x:v>Persons</x:v>
      </x:c>
      <x:c r="K41" s="153" t="n">
        <x:v>44318</x:v>
      </x:c>
      <x:c r="L41" s="153" t="n">
        <x:v>44324</x:v>
      </x:c>
      <x:c r="M41" s="153" t="n">
        <x:v>44895</x:v>
      </x:c>
      <x:c r="N41" t="str">
        <x:v>observed</x:v>
      </x:c>
      <x:c r="O41" t="str">
        <x:v>STATCAN_CENSUS_OCCUPATION_98100449</x:v>
      </x:c>
      <x:c r="P41" t="str">
        <x:v>TR_STATCAN_CENSUS_WORKFORCE_CA_NOC_1_0_0</x:v>
      </x:c>
      <x:c r="Q41" t="str">
        <x:v>census_long_form_25pct_sample|random_rounding</x:v>
      </x:c>
      <x:c r="R41" t="str">
        <x:v>NO</x:v>
      </x:c>
      <x:c r="S41" t="str">
        <x:f>IF(OR(AND(I41&gt;0,R41="NO"),AND(I41=0,R41="YES")),"PASS","FAIL")</x:f>
        <x:v>PASS</x:v>
      </x:c>
    </x:row>
    <x:row r="42">
      <x:c r="A42" t="str">
        <x:v>OBS_CENSUS_WORKFORCE_B15461366878D0A92886</x:v>
      </x:c>
      <x:c r="B42" t="str">
        <x:v>PR_13</x:v>
      </x:c>
      <x:c r="C42" t="str">
        <x:v>New Brunswick</x:v>
      </x:c>
      <x:c r="D42" t="str">
        <x:v>2021A000213</x:v>
      </x:c>
      <x:c r="E42" t="str">
        <x:v>72201</x:v>
      </x:c>
      <x:c r="F42" t="str">
        <x:v>Industrial electricians</x:v>
      </x:c>
      <x:c r="G42" t="str">
        <x:v>trade_electricians</x:v>
      </x:c>
      <x:c r="H42" t="str">
        <x:v>Employed</x:v>
      </x:c>
      <x:c r="I42" s="167" t="n">
        <x:v>405</x:v>
      </x:c>
      <x:c r="J42" t="str">
        <x:v>Persons</x:v>
      </x:c>
      <x:c r="K42" s="153" t="n">
        <x:v>44318</x:v>
      </x:c>
      <x:c r="L42" s="153" t="n">
        <x:v>44324</x:v>
      </x:c>
      <x:c r="M42" s="153" t="n">
        <x:v>44895</x:v>
      </x:c>
      <x:c r="N42" t="str">
        <x:v>observed</x:v>
      </x:c>
      <x:c r="O42" t="str">
        <x:v>STATCAN_CENSUS_OCCUPATION_98100449</x:v>
      </x:c>
      <x:c r="P42" t="str">
        <x:v>TR_STATCAN_CENSUS_WORKFORCE_CA_NOC_1_0_0</x:v>
      </x:c>
      <x:c r="Q42" t="str">
        <x:v>census_long_form_25pct_sample|random_rounding</x:v>
      </x:c>
      <x:c r="R42" t="str">
        <x:v>NO</x:v>
      </x:c>
      <x:c r="S42" t="str">
        <x:f>IF(OR(AND(I42&gt;0,R42="NO"),AND(I42=0,R42="YES")),"PASS","FAIL")</x:f>
        <x:v>PASS</x:v>
      </x:c>
    </x:row>
    <x:row r="43">
      <x:c r="A43" t="str">
        <x:v>OBS_CENSUS_WORKFORCE_7E72DC5E1619F380B8A5</x:v>
      </x:c>
      <x:c r="B43" t="str">
        <x:v>PR_13</x:v>
      </x:c>
      <x:c r="C43" t="str">
        <x:v>New Brunswick</x:v>
      </x:c>
      <x:c r="D43" t="str">
        <x:v>2021A000213</x:v>
      </x:c>
      <x:c r="E43" t="str">
        <x:v>72402</x:v>
      </x:c>
      <x:c r="F43" t="str">
        <x:v>Heating, refrigeration and air conditioning mechanics</x:v>
      </x:c>
      <x:c r="G43" t="str">
        <x:v>trade_hvac</x:v>
      </x:c>
      <x:c r="H43" t="str">
        <x:v>Employed</x:v>
      </x:c>
      <x:c r="I43" s="167" t="n">
        <x:v>445</x:v>
      </x:c>
      <x:c r="J43" t="str">
        <x:v>Persons</x:v>
      </x:c>
      <x:c r="K43" s="153" t="n">
        <x:v>44318</x:v>
      </x:c>
      <x:c r="L43" s="153" t="n">
        <x:v>44324</x:v>
      </x:c>
      <x:c r="M43" s="153" t="n">
        <x:v>44895</x:v>
      </x:c>
      <x:c r="N43" t="str">
        <x:v>observed</x:v>
      </x:c>
      <x:c r="O43" t="str">
        <x:v>STATCAN_CENSUS_OCCUPATION_98100449</x:v>
      </x:c>
      <x:c r="P43" t="str">
        <x:v>TR_STATCAN_CENSUS_WORKFORCE_CA_NOC_1_0_0</x:v>
      </x:c>
      <x:c r="Q43" t="str">
        <x:v>census_long_form_25pct_sample|random_rounding</x:v>
      </x:c>
      <x:c r="R43" t="str">
        <x:v>NO</x:v>
      </x:c>
      <x:c r="S43" t="str">
        <x:f>IF(OR(AND(I43&gt;0,R43="NO"),AND(I43=0,R43="YES")),"PASS","FAIL")</x:f>
        <x:v>PASS</x:v>
      </x:c>
    </x:row>
    <x:row r="44">
      <x:c r="A44" t="str">
        <x:v>OBS_CENSUS_WORKFORCE_96FC75CBED1716972BEF</x:v>
      </x:c>
      <x:c r="B44" t="str">
        <x:v>PR_13</x:v>
      </x:c>
      <x:c r="C44" t="str">
        <x:v>New Brunswick</x:v>
      </x:c>
      <x:c r="D44" t="str">
        <x:v>2021A000213</x:v>
      </x:c>
      <x:c r="E44" t="str">
        <x:v>72202</x:v>
      </x:c>
      <x:c r="F44" t="str">
        <x:v>Power system electricians</x:v>
      </x:c>
      <x:c r="G44" t="str">
        <x:v>trade_power_line</x:v>
      </x:c>
      <x:c r="H44" t="str">
        <x:v>Employed</x:v>
      </x:c>
      <x:c r="I44" s="167" t="n">
        <x:v>105</x:v>
      </x:c>
      <x:c r="J44" t="str">
        <x:v>Persons</x:v>
      </x:c>
      <x:c r="K44" s="153" t="n">
        <x:v>44318</x:v>
      </x:c>
      <x:c r="L44" s="153" t="n">
        <x:v>44324</x:v>
      </x:c>
      <x:c r="M44" s="153" t="n">
        <x:v>44895</x:v>
      </x:c>
      <x:c r="N44" t="str">
        <x:v>observed</x:v>
      </x:c>
      <x:c r="O44" t="str">
        <x:v>STATCAN_CENSUS_OCCUPATION_98100449</x:v>
      </x:c>
      <x:c r="P44" t="str">
        <x:v>TR_STATCAN_CENSUS_WORKFORCE_CA_NOC_1_0_0</x:v>
      </x:c>
      <x:c r="Q44" t="str">
        <x:v>census_long_form_25pct_sample|random_rounding</x:v>
      </x:c>
      <x:c r="R44" t="str">
        <x:v>NO</x:v>
      </x:c>
      <x:c r="S44" t="str">
        <x:f>IF(OR(AND(I44&gt;0,R44="NO"),AND(I44=0,R44="YES")),"PASS","FAIL")</x:f>
        <x:v>PASS</x:v>
      </x:c>
    </x:row>
    <x:row r="45">
      <x:c r="A45" t="str">
        <x:v>OBS_CENSUS_WORKFORCE_BA4E551F1E9F44828EDB</x:v>
      </x:c>
      <x:c r="B45" t="str">
        <x:v>PR_13</x:v>
      </x:c>
      <x:c r="C45" t="str">
        <x:v>New Brunswick</x:v>
      </x:c>
      <x:c r="D45" t="str">
        <x:v>2021A000213</x:v>
      </x:c>
      <x:c r="E45" t="str">
        <x:v>72203</x:v>
      </x:c>
      <x:c r="F45" t="str">
        <x:v>Electrical power line and cable workers</x:v>
      </x:c>
      <x:c r="G45" t="str">
        <x:v>trade_power_line</x:v>
      </x:c>
      <x:c r="H45" t="str">
        <x:v>Employed</x:v>
      </x:c>
      <x:c r="I45" s="167" t="n">
        <x:v>410</x:v>
      </x:c>
      <x:c r="J45" t="str">
        <x:v>Persons</x:v>
      </x:c>
      <x:c r="K45" s="153" t="n">
        <x:v>44318</x:v>
      </x:c>
      <x:c r="L45" s="153" t="n">
        <x:v>44324</x:v>
      </x:c>
      <x:c r="M45" s="153" t="n">
        <x:v>44895</x:v>
      </x:c>
      <x:c r="N45" t="str">
        <x:v>observed</x:v>
      </x:c>
      <x:c r="O45" t="str">
        <x:v>STATCAN_CENSUS_OCCUPATION_98100449</x:v>
      </x:c>
      <x:c r="P45" t="str">
        <x:v>TR_STATCAN_CENSUS_WORKFORCE_CA_NOC_1_0_0</x:v>
      </x:c>
      <x:c r="Q45" t="str">
        <x:v>census_long_form_25pct_sample|random_rounding</x:v>
      </x:c>
      <x:c r="R45" t="str">
        <x:v>NO</x:v>
      </x:c>
      <x:c r="S45" t="str">
        <x:f>IF(OR(AND(I45&gt;0,R45="NO"),AND(I45=0,R45="YES")),"PASS","FAIL")</x:f>
        <x:v>PASS</x:v>
      </x:c>
    </x:row>
    <x:row r="46">
      <x:c r="A46" t="str">
        <x:v>OBS_CENSUS_WORKFORCE_28DBEAC94E0610641F67</x:v>
      </x:c>
      <x:c r="B46" t="str">
        <x:v>PR_24</x:v>
      </x:c>
      <x:c r="C46" t="str">
        <x:v>Quebec</x:v>
      </x:c>
      <x:c r="D46" t="str">
        <x:v>2021A000224</x:v>
      </x:c>
      <x:c r="E46" t="str">
        <x:v>73100</x:v>
      </x:c>
      <x:c r="F46" t="str">
        <x:v>Concrete finishers</x:v>
      </x:c>
      <x:c r="G46" t="str">
        <x:v>trade_concrete</x:v>
      </x:c>
      <x:c r="H46" t="str">
        <x:v>Employed</x:v>
      </x:c>
      <x:c r="I46" s="167" t="n">
        <x:v>2505</x:v>
      </x:c>
      <x:c r="J46" t="str">
        <x:v>Persons</x:v>
      </x:c>
      <x:c r="K46" s="153" t="n">
        <x:v>44318</x:v>
      </x:c>
      <x:c r="L46" s="153" t="n">
        <x:v>44324</x:v>
      </x:c>
      <x:c r="M46" s="153" t="n">
        <x:v>44895</x:v>
      </x:c>
      <x:c r="N46" t="str">
        <x:v>observed</x:v>
      </x:c>
      <x:c r="O46" t="str">
        <x:v>STATCAN_CENSUS_OCCUPATION_98100449</x:v>
      </x:c>
      <x:c r="P46" t="str">
        <x:v>TR_STATCAN_CENSUS_WORKFORCE_CA_NOC_1_0_0</x:v>
      </x:c>
      <x:c r="Q46" t="str">
        <x:v>census_long_form_25pct_sample|random_rounding</x:v>
      </x:c>
      <x:c r="R46" t="str">
        <x:v>NO</x:v>
      </x:c>
      <x:c r="S46" t="str">
        <x:f>IF(OR(AND(I46&gt;0,R46="NO"),AND(I46=0,R46="YES")),"PASS","FAIL")</x:f>
        <x:v>PASS</x:v>
      </x:c>
    </x:row>
    <x:row r="47">
      <x:c r="A47" t="str">
        <x:v>OBS_CENSUS_WORKFORCE_CB0DFDD99684239C202F</x:v>
      </x:c>
      <x:c r="B47" t="str">
        <x:v>PR_24</x:v>
      </x:c>
      <x:c r="C47" t="str">
        <x:v>Quebec</x:v>
      </x:c>
      <x:c r="D47" t="str">
        <x:v>2021A000224</x:v>
      </x:c>
      <x:c r="E47" t="str">
        <x:v>72200</x:v>
      </x:c>
      <x:c r="F47" t="str">
        <x:v>Electricians (except industrial and power system)</x:v>
      </x:c>
      <x:c r="G47" t="str">
        <x:v>trade_electricians</x:v>
      </x:c>
      <x:c r="H47" t="str">
        <x:v>Employed</x:v>
      </x:c>
      <x:c r="I47" s="167" t="n">
        <x:v>18140</x:v>
      </x:c>
      <x:c r="J47" t="str">
        <x:v>Persons</x:v>
      </x:c>
      <x:c r="K47" s="153" t="n">
        <x:v>44318</x:v>
      </x:c>
      <x:c r="L47" s="153" t="n">
        <x:v>44324</x:v>
      </x:c>
      <x:c r="M47" s="153" t="n">
        <x:v>44895</x:v>
      </x:c>
      <x:c r="N47" t="str">
        <x:v>observed</x:v>
      </x:c>
      <x:c r="O47" t="str">
        <x:v>STATCAN_CENSUS_OCCUPATION_98100449</x:v>
      </x:c>
      <x:c r="P47" t="str">
        <x:v>TR_STATCAN_CENSUS_WORKFORCE_CA_NOC_1_0_0</x:v>
      </x:c>
      <x:c r="Q47" t="str">
        <x:v>census_long_form_25pct_sample|random_rounding</x:v>
      </x:c>
      <x:c r="R47" t="str">
        <x:v>NO</x:v>
      </x:c>
      <x:c r="S47" t="str">
        <x:f>IF(OR(AND(I47&gt;0,R47="NO"),AND(I47=0,R47="YES")),"PASS","FAIL")</x:f>
        <x:v>PASS</x:v>
      </x:c>
    </x:row>
    <x:row r="48">
      <x:c r="A48" t="str">
        <x:v>OBS_CENSUS_WORKFORCE_CD354A4E4677451C8016</x:v>
      </x:c>
      <x:c r="B48" t="str">
        <x:v>PR_24</x:v>
      </x:c>
      <x:c r="C48" t="str">
        <x:v>Quebec</x:v>
      </x:c>
      <x:c r="D48" t="str">
        <x:v>2021A000224</x:v>
      </x:c>
      <x:c r="E48" t="str">
        <x:v>72201</x:v>
      </x:c>
      <x:c r="F48" t="str">
        <x:v>Industrial electricians</x:v>
      </x:c>
      <x:c r="G48" t="str">
        <x:v>trade_electricians</x:v>
      </x:c>
      <x:c r="H48" t="str">
        <x:v>Employed</x:v>
      </x:c>
      <x:c r="I48" s="167" t="n">
        <x:v>2315</x:v>
      </x:c>
      <x:c r="J48" t="str">
        <x:v>Persons</x:v>
      </x:c>
      <x:c r="K48" s="153" t="n">
        <x:v>44318</x:v>
      </x:c>
      <x:c r="L48" s="153" t="n">
        <x:v>44324</x:v>
      </x:c>
      <x:c r="M48" s="153" t="n">
        <x:v>44895</x:v>
      </x:c>
      <x:c r="N48" t="str">
        <x:v>observed</x:v>
      </x:c>
      <x:c r="O48" t="str">
        <x:v>STATCAN_CENSUS_OCCUPATION_98100449</x:v>
      </x:c>
      <x:c r="P48" t="str">
        <x:v>TR_STATCAN_CENSUS_WORKFORCE_CA_NOC_1_0_0</x:v>
      </x:c>
      <x:c r="Q48" t="str">
        <x:v>census_long_form_25pct_sample|random_rounding</x:v>
      </x:c>
      <x:c r="R48" t="str">
        <x:v>NO</x:v>
      </x:c>
      <x:c r="S48" t="str">
        <x:f>IF(OR(AND(I48&gt;0,R48="NO"),AND(I48=0,R48="YES")),"PASS","FAIL")</x:f>
        <x:v>PASS</x:v>
      </x:c>
    </x:row>
    <x:row r="49">
      <x:c r="A49" t="str">
        <x:v>OBS_CENSUS_WORKFORCE_B83782B762962EA851AB</x:v>
      </x:c>
      <x:c r="B49" t="str">
        <x:v>PR_24</x:v>
      </x:c>
      <x:c r="C49" t="str">
        <x:v>Quebec</x:v>
      </x:c>
      <x:c r="D49" t="str">
        <x:v>2021A000224</x:v>
      </x:c>
      <x:c r="E49" t="str">
        <x:v>72402</x:v>
      </x:c>
      <x:c r="F49" t="str">
        <x:v>Heating, refrigeration and air conditioning mechanics</x:v>
      </x:c>
      <x:c r="G49" t="str">
        <x:v>trade_hvac</x:v>
      </x:c>
      <x:c r="H49" t="str">
        <x:v>Employed</x:v>
      </x:c>
      <x:c r="I49" s="167" t="n">
        <x:v>5455</x:v>
      </x:c>
      <x:c r="J49" t="str">
        <x:v>Persons</x:v>
      </x:c>
      <x:c r="K49" s="153" t="n">
        <x:v>44318</x:v>
      </x:c>
      <x:c r="L49" s="153" t="n">
        <x:v>44324</x:v>
      </x:c>
      <x:c r="M49" s="153" t="n">
        <x:v>44895</x:v>
      </x:c>
      <x:c r="N49" t="str">
        <x:v>observed</x:v>
      </x:c>
      <x:c r="O49" t="str">
        <x:v>STATCAN_CENSUS_OCCUPATION_98100449</x:v>
      </x:c>
      <x:c r="P49" t="str">
        <x:v>TR_STATCAN_CENSUS_WORKFORCE_CA_NOC_1_0_0</x:v>
      </x:c>
      <x:c r="Q49" t="str">
        <x:v>census_long_form_25pct_sample|random_rounding</x:v>
      </x:c>
      <x:c r="R49" t="str">
        <x:v>NO</x:v>
      </x:c>
      <x:c r="S49" t="str">
        <x:f>IF(OR(AND(I49&gt;0,R49="NO"),AND(I49=0,R49="YES")),"PASS","FAIL")</x:f>
        <x:v>PASS</x:v>
      </x:c>
    </x:row>
    <x:row r="50">
      <x:c r="A50" t="str">
        <x:v>OBS_CENSUS_WORKFORCE_F8B981FCBF96BEB7F067</x:v>
      </x:c>
      <x:c r="B50" t="str">
        <x:v>PR_24</x:v>
      </x:c>
      <x:c r="C50" t="str">
        <x:v>Quebec</x:v>
      </x:c>
      <x:c r="D50" t="str">
        <x:v>2021A000224</x:v>
      </x:c>
      <x:c r="E50" t="str">
        <x:v>72202</x:v>
      </x:c>
      <x:c r="F50" t="str">
        <x:v>Power system electricians</x:v>
      </x:c>
      <x:c r="G50" t="str">
        <x:v>trade_power_line</x:v>
      </x:c>
      <x:c r="H50" t="str">
        <x:v>Employed</x:v>
      </x:c>
      <x:c r="I50" s="167" t="n">
        <x:v>1115</x:v>
      </x:c>
      <x:c r="J50" t="str">
        <x:v>Persons</x:v>
      </x:c>
      <x:c r="K50" s="153" t="n">
        <x:v>44318</x:v>
      </x:c>
      <x:c r="L50" s="153" t="n">
        <x:v>44324</x:v>
      </x:c>
      <x:c r="M50" s="153" t="n">
        <x:v>44895</x:v>
      </x:c>
      <x:c r="N50" t="str">
        <x:v>observed</x:v>
      </x:c>
      <x:c r="O50" t="str">
        <x:v>STATCAN_CENSUS_OCCUPATION_98100449</x:v>
      </x:c>
      <x:c r="P50" t="str">
        <x:v>TR_STATCAN_CENSUS_WORKFORCE_CA_NOC_1_0_0</x:v>
      </x:c>
      <x:c r="Q50" t="str">
        <x:v>census_long_form_25pct_sample|random_rounding</x:v>
      </x:c>
      <x:c r="R50" t="str">
        <x:v>NO</x:v>
      </x:c>
      <x:c r="S50" t="str">
        <x:f>IF(OR(AND(I50&gt;0,R50="NO"),AND(I50=0,R50="YES")),"PASS","FAIL")</x:f>
        <x:v>PASS</x:v>
      </x:c>
    </x:row>
    <x:row r="51">
      <x:c r="A51" t="str">
        <x:v>OBS_CENSUS_WORKFORCE_F1483F7F034B53490FE9</x:v>
      </x:c>
      <x:c r="B51" t="str">
        <x:v>PR_24</x:v>
      </x:c>
      <x:c r="C51" t="str">
        <x:v>Quebec</x:v>
      </x:c>
      <x:c r="D51" t="str">
        <x:v>2021A000224</x:v>
      </x:c>
      <x:c r="E51" t="str">
        <x:v>72203</x:v>
      </x:c>
      <x:c r="F51" t="str">
        <x:v>Electrical power line and cable workers</x:v>
      </x:c>
      <x:c r="G51" t="str">
        <x:v>trade_power_line</x:v>
      </x:c>
      <x:c r="H51" t="str">
        <x:v>Employed</x:v>
      </x:c>
      <x:c r="I51" s="167" t="n">
        <x:v>2870</x:v>
      </x:c>
      <x:c r="J51" t="str">
        <x:v>Persons</x:v>
      </x:c>
      <x:c r="K51" s="153" t="n">
        <x:v>44318</x:v>
      </x:c>
      <x:c r="L51" s="153" t="n">
        <x:v>44324</x:v>
      </x:c>
      <x:c r="M51" s="153" t="n">
        <x:v>44895</x:v>
      </x:c>
      <x:c r="N51" t="str">
        <x:v>observed</x:v>
      </x:c>
      <x:c r="O51" t="str">
        <x:v>STATCAN_CENSUS_OCCUPATION_98100449</x:v>
      </x:c>
      <x:c r="P51" t="str">
        <x:v>TR_STATCAN_CENSUS_WORKFORCE_CA_NOC_1_0_0</x:v>
      </x:c>
      <x:c r="Q51" t="str">
        <x:v>census_long_form_25pct_sample|random_rounding</x:v>
      </x:c>
      <x:c r="R51" t="str">
        <x:v>NO</x:v>
      </x:c>
      <x:c r="S51" t="str">
        <x:f>IF(OR(AND(I51&gt;0,R51="NO"),AND(I51=0,R51="YES")),"PASS","FAIL")</x:f>
        <x:v>PASS</x:v>
      </x:c>
    </x:row>
    <x:row r="52">
      <x:c r="A52" t="str">
        <x:v>OBS_CENSUS_WORKFORCE_BBB126EF2353E88AB0B1</x:v>
      </x:c>
      <x:c r="B52" t="str">
        <x:v>PR_35</x:v>
      </x:c>
      <x:c r="C52" t="str">
        <x:v>Ontario</x:v>
      </x:c>
      <x:c r="D52" t="str">
        <x:v>2021A000235</x:v>
      </x:c>
      <x:c r="E52" t="str">
        <x:v>73100</x:v>
      </x:c>
      <x:c r="F52" t="str">
        <x:v>Concrete finishers</x:v>
      </x:c>
      <x:c r="G52" t="str">
        <x:v>trade_concrete</x:v>
      </x:c>
      <x:c r="H52" t="str">
        <x:v>Employed</x:v>
      </x:c>
      <x:c r="I52" s="167" t="n">
        <x:v>2610</x:v>
      </x:c>
      <x:c r="J52" t="str">
        <x:v>Persons</x:v>
      </x:c>
      <x:c r="K52" s="153" t="n">
        <x:v>44318</x:v>
      </x:c>
      <x:c r="L52" s="153" t="n">
        <x:v>44324</x:v>
      </x:c>
      <x:c r="M52" s="153" t="n">
        <x:v>44895</x:v>
      </x:c>
      <x:c r="N52" t="str">
        <x:v>observed</x:v>
      </x:c>
      <x:c r="O52" t="str">
        <x:v>STATCAN_CENSUS_OCCUPATION_98100449</x:v>
      </x:c>
      <x:c r="P52" t="str">
        <x:v>TR_STATCAN_CENSUS_WORKFORCE_CA_NOC_1_0_0</x:v>
      </x:c>
      <x:c r="Q52" t="str">
        <x:v>census_long_form_25pct_sample|random_rounding</x:v>
      </x:c>
      <x:c r="R52" t="str">
        <x:v>NO</x:v>
      </x:c>
      <x:c r="S52" t="str">
        <x:f>IF(OR(AND(I52&gt;0,R52="NO"),AND(I52=0,R52="YES")),"PASS","FAIL")</x:f>
        <x:v>PASS</x:v>
      </x:c>
    </x:row>
    <x:row r="53">
      <x:c r="A53" t="str">
        <x:v>OBS_CENSUS_WORKFORCE_8B3C5F557D7C021F1B5F</x:v>
      </x:c>
      <x:c r="B53" t="str">
        <x:v>PR_35</x:v>
      </x:c>
      <x:c r="C53" t="str">
        <x:v>Ontario</x:v>
      </x:c>
      <x:c r="D53" t="str">
        <x:v>2021A000235</x:v>
      </x:c>
      <x:c r="E53" t="str">
        <x:v>72200</x:v>
      </x:c>
      <x:c r="F53" t="str">
        <x:v>Electricians (except industrial and power system)</x:v>
      </x:c>
      <x:c r="G53" t="str">
        <x:v>trade_electricians</x:v>
      </x:c>
      <x:c r="H53" t="str">
        <x:v>Employed</x:v>
      </x:c>
      <x:c r="I53" s="167" t="n">
        <x:v>30645</x:v>
      </x:c>
      <x:c r="J53" t="str">
        <x:v>Persons</x:v>
      </x:c>
      <x:c r="K53" s="153" t="n">
        <x:v>44318</x:v>
      </x:c>
      <x:c r="L53" s="153" t="n">
        <x:v>44324</x:v>
      </x:c>
      <x:c r="M53" s="153" t="n">
        <x:v>44895</x:v>
      </x:c>
      <x:c r="N53" t="str">
        <x:v>observed</x:v>
      </x:c>
      <x:c r="O53" t="str">
        <x:v>STATCAN_CENSUS_OCCUPATION_98100449</x:v>
      </x:c>
      <x:c r="P53" t="str">
        <x:v>TR_STATCAN_CENSUS_WORKFORCE_CA_NOC_1_0_0</x:v>
      </x:c>
      <x:c r="Q53" t="str">
        <x:v>census_long_form_25pct_sample|random_rounding</x:v>
      </x:c>
      <x:c r="R53" t="str">
        <x:v>NO</x:v>
      </x:c>
      <x:c r="S53" t="str">
        <x:f>IF(OR(AND(I53&gt;0,R53="NO"),AND(I53=0,R53="YES")),"PASS","FAIL")</x:f>
        <x:v>PASS</x:v>
      </x:c>
    </x:row>
    <x:row r="54">
      <x:c r="A54" t="str">
        <x:v>OBS_CENSUS_WORKFORCE_0F75E159A99687186FBC</x:v>
      </x:c>
      <x:c r="B54" t="str">
        <x:v>PR_35</x:v>
      </x:c>
      <x:c r="C54" t="str">
        <x:v>Ontario</x:v>
      </x:c>
      <x:c r="D54" t="str">
        <x:v>2021A000235</x:v>
      </x:c>
      <x:c r="E54" t="str">
        <x:v>72201</x:v>
      </x:c>
      <x:c r="F54" t="str">
        <x:v>Industrial electricians</x:v>
      </x:c>
      <x:c r="G54" t="str">
        <x:v>trade_electricians</x:v>
      </x:c>
      <x:c r="H54" t="str">
        <x:v>Employed</x:v>
      </x:c>
      <x:c r="I54" s="167" t="n">
        <x:v>7635</x:v>
      </x:c>
      <x:c r="J54" t="str">
        <x:v>Persons</x:v>
      </x:c>
      <x:c r="K54" s="153" t="n">
        <x:v>44318</x:v>
      </x:c>
      <x:c r="L54" s="153" t="n">
        <x:v>44324</x:v>
      </x:c>
      <x:c r="M54" s="153" t="n">
        <x:v>44895</x:v>
      </x:c>
      <x:c r="N54" t="str">
        <x:v>observed</x:v>
      </x:c>
      <x:c r="O54" t="str">
        <x:v>STATCAN_CENSUS_OCCUPATION_98100449</x:v>
      </x:c>
      <x:c r="P54" t="str">
        <x:v>TR_STATCAN_CENSUS_WORKFORCE_CA_NOC_1_0_0</x:v>
      </x:c>
      <x:c r="Q54" t="str">
        <x:v>census_long_form_25pct_sample|random_rounding</x:v>
      </x:c>
      <x:c r="R54" t="str">
        <x:v>NO</x:v>
      </x:c>
      <x:c r="S54" t="str">
        <x:f>IF(OR(AND(I54&gt;0,R54="NO"),AND(I54=0,R54="YES")),"PASS","FAIL")</x:f>
        <x:v>PASS</x:v>
      </x:c>
    </x:row>
    <x:row r="55">
      <x:c r="A55" t="str">
        <x:v>OBS_CENSUS_WORKFORCE_0EF25083476195EFBCBC</x:v>
      </x:c>
      <x:c r="B55" t="str">
        <x:v>PR_35</x:v>
      </x:c>
      <x:c r="C55" t="str">
        <x:v>Ontario</x:v>
      </x:c>
      <x:c r="D55" t="str">
        <x:v>2021A000235</x:v>
      </x:c>
      <x:c r="E55" t="str">
        <x:v>72402</x:v>
      </x:c>
      <x:c r="F55" t="str">
        <x:v>Heating, refrigeration and air conditioning mechanics</x:v>
      </x:c>
      <x:c r="G55" t="str">
        <x:v>trade_hvac</x:v>
      </x:c>
      <x:c r="H55" t="str">
        <x:v>Employed</x:v>
      </x:c>
      <x:c r="I55" s="167" t="n">
        <x:v>14260</x:v>
      </x:c>
      <x:c r="J55" t="str">
        <x:v>Persons</x:v>
      </x:c>
      <x:c r="K55" s="153" t="n">
        <x:v>44318</x:v>
      </x:c>
      <x:c r="L55" s="153" t="n">
        <x:v>44324</x:v>
      </x:c>
      <x:c r="M55" s="153" t="n">
        <x:v>44895</x:v>
      </x:c>
      <x:c r="N55" t="str">
        <x:v>observed</x:v>
      </x:c>
      <x:c r="O55" t="str">
        <x:v>STATCAN_CENSUS_OCCUPATION_98100449</x:v>
      </x:c>
      <x:c r="P55" t="str">
        <x:v>TR_STATCAN_CENSUS_WORKFORCE_CA_NOC_1_0_0</x:v>
      </x:c>
      <x:c r="Q55" t="str">
        <x:v>census_long_form_25pct_sample|random_rounding</x:v>
      </x:c>
      <x:c r="R55" t="str">
        <x:v>NO</x:v>
      </x:c>
      <x:c r="S55" t="str">
        <x:f>IF(OR(AND(I55&gt;0,R55="NO"),AND(I55=0,R55="YES")),"PASS","FAIL")</x:f>
        <x:v>PASS</x:v>
      </x:c>
    </x:row>
    <x:row r="56">
      <x:c r="A56" t="str">
        <x:v>OBS_CENSUS_WORKFORCE_EFBF2F594AAD1FB625D1</x:v>
      </x:c>
      <x:c r="B56" t="str">
        <x:v>PR_35</x:v>
      </x:c>
      <x:c r="C56" t="str">
        <x:v>Ontario</x:v>
      </x:c>
      <x:c r="D56" t="str">
        <x:v>2021A000235</x:v>
      </x:c>
      <x:c r="E56" t="str">
        <x:v>72202</x:v>
      </x:c>
      <x:c r="F56" t="str">
        <x:v>Power system electricians</x:v>
      </x:c>
      <x:c r="G56" t="str">
        <x:v>trade_power_line</x:v>
      </x:c>
      <x:c r="H56" t="str">
        <x:v>Employed</x:v>
      </x:c>
      <x:c r="I56" s="167" t="n">
        <x:v>1685</x:v>
      </x:c>
      <x:c r="J56" t="str">
        <x:v>Persons</x:v>
      </x:c>
      <x:c r="K56" s="153" t="n">
        <x:v>44318</x:v>
      </x:c>
      <x:c r="L56" s="153" t="n">
        <x:v>44324</x:v>
      </x:c>
      <x:c r="M56" s="153" t="n">
        <x:v>44895</x:v>
      </x:c>
      <x:c r="N56" t="str">
        <x:v>observed</x:v>
      </x:c>
      <x:c r="O56" t="str">
        <x:v>STATCAN_CENSUS_OCCUPATION_98100449</x:v>
      </x:c>
      <x:c r="P56" t="str">
        <x:v>TR_STATCAN_CENSUS_WORKFORCE_CA_NOC_1_0_0</x:v>
      </x:c>
      <x:c r="Q56" t="str">
        <x:v>census_long_form_25pct_sample|random_rounding</x:v>
      </x:c>
      <x:c r="R56" t="str">
        <x:v>NO</x:v>
      </x:c>
      <x:c r="S56" t="str">
        <x:f>IF(OR(AND(I56&gt;0,R56="NO"),AND(I56=0,R56="YES")),"PASS","FAIL")</x:f>
        <x:v>PASS</x:v>
      </x:c>
    </x:row>
    <x:row r="57">
      <x:c r="A57" t="str">
        <x:v>OBS_CENSUS_WORKFORCE_66603338D3321BB4055B</x:v>
      </x:c>
      <x:c r="B57" t="str">
        <x:v>PR_35</x:v>
      </x:c>
      <x:c r="C57" t="str">
        <x:v>Ontario</x:v>
      </x:c>
      <x:c r="D57" t="str">
        <x:v>2021A000235</x:v>
      </x:c>
      <x:c r="E57" t="str">
        <x:v>72203</x:v>
      </x:c>
      <x:c r="F57" t="str">
        <x:v>Electrical power line and cable workers</x:v>
      </x:c>
      <x:c r="G57" t="str">
        <x:v>trade_power_line</x:v>
      </x:c>
      <x:c r="H57" t="str">
        <x:v>Employed</x:v>
      </x:c>
      <x:c r="I57" s="167" t="n">
        <x:v>3960</x:v>
      </x:c>
      <x:c r="J57" t="str">
        <x:v>Persons</x:v>
      </x:c>
      <x:c r="K57" s="153" t="n">
        <x:v>44318</x:v>
      </x:c>
      <x:c r="L57" s="153" t="n">
        <x:v>44324</x:v>
      </x:c>
      <x:c r="M57" s="153" t="n">
        <x:v>44895</x:v>
      </x:c>
      <x:c r="N57" t="str">
        <x:v>observed</x:v>
      </x:c>
      <x:c r="O57" t="str">
        <x:v>STATCAN_CENSUS_OCCUPATION_98100449</x:v>
      </x:c>
      <x:c r="P57" t="str">
        <x:v>TR_STATCAN_CENSUS_WORKFORCE_CA_NOC_1_0_0</x:v>
      </x:c>
      <x:c r="Q57" t="str">
        <x:v>census_long_form_25pct_sample|random_rounding</x:v>
      </x:c>
      <x:c r="R57" t="str">
        <x:v>NO</x:v>
      </x:c>
      <x:c r="S57" t="str">
        <x:f>IF(OR(AND(I57&gt;0,R57="NO"),AND(I57=0,R57="YES")),"PASS","FAIL")</x:f>
        <x:v>PASS</x:v>
      </x:c>
    </x:row>
    <x:row r="58">
      <x:c r="A58" t="str">
        <x:v>OBS_CENSUS_WORKFORCE_38AA7F68B0C86AC9B903</x:v>
      </x:c>
      <x:c r="B58" t="str">
        <x:v>PR_46</x:v>
      </x:c>
      <x:c r="C58" t="str">
        <x:v>Manitoba</x:v>
      </x:c>
      <x:c r="D58" t="str">
        <x:v>2021A000246</x:v>
      </x:c>
      <x:c r="E58" t="str">
        <x:v>73100</x:v>
      </x:c>
      <x:c r="F58" t="str">
        <x:v>Concrete finishers</x:v>
      </x:c>
      <x:c r="G58" t="str">
        <x:v>trade_concrete</x:v>
      </x:c>
      <x:c r="H58" t="str">
        <x:v>Employed</x:v>
      </x:c>
      <x:c r="I58" s="167" t="n">
        <x:v>290</x:v>
      </x:c>
      <x:c r="J58" t="str">
        <x:v>Persons</x:v>
      </x:c>
      <x:c r="K58" s="153" t="n">
        <x:v>44318</x:v>
      </x:c>
      <x:c r="L58" s="153" t="n">
        <x:v>44324</x:v>
      </x:c>
      <x:c r="M58" s="153" t="n">
        <x:v>44895</x:v>
      </x:c>
      <x:c r="N58" t="str">
        <x:v>observed</x:v>
      </x:c>
      <x:c r="O58" t="str">
        <x:v>STATCAN_CENSUS_OCCUPATION_98100449</x:v>
      </x:c>
      <x:c r="P58" t="str">
        <x:v>TR_STATCAN_CENSUS_WORKFORCE_CA_NOC_1_0_0</x:v>
      </x:c>
      <x:c r="Q58" t="str">
        <x:v>census_long_form_25pct_sample|random_rounding</x:v>
      </x:c>
      <x:c r="R58" t="str">
        <x:v>NO</x:v>
      </x:c>
      <x:c r="S58" t="str">
        <x:f>IF(OR(AND(I58&gt;0,R58="NO"),AND(I58=0,R58="YES")),"PASS","FAIL")</x:f>
        <x:v>PASS</x:v>
      </x:c>
    </x:row>
    <x:row r="59">
      <x:c r="A59" t="str">
        <x:v>OBS_CENSUS_WORKFORCE_91725183552FF162E9A6</x:v>
      </x:c>
      <x:c r="B59" t="str">
        <x:v>PR_46</x:v>
      </x:c>
      <x:c r="C59" t="str">
        <x:v>Manitoba</x:v>
      </x:c>
      <x:c r="D59" t="str">
        <x:v>2021A000246</x:v>
      </x:c>
      <x:c r="E59" t="str">
        <x:v>72200</x:v>
      </x:c>
      <x:c r="F59" t="str">
        <x:v>Electricians (except industrial and power system)</x:v>
      </x:c>
      <x:c r="G59" t="str">
        <x:v>trade_electricians</x:v>
      </x:c>
      <x:c r="H59" t="str">
        <x:v>Employed</x:v>
      </x:c>
      <x:c r="I59" s="167" t="n">
        <x:v>3795</x:v>
      </x:c>
      <x:c r="J59" t="str">
        <x:v>Persons</x:v>
      </x:c>
      <x:c r="K59" s="153" t="n">
        <x:v>44318</x:v>
      </x:c>
      <x:c r="L59" s="153" t="n">
        <x:v>44324</x:v>
      </x:c>
      <x:c r="M59" s="153" t="n">
        <x:v>44895</x:v>
      </x:c>
      <x:c r="N59" t="str">
        <x:v>observed</x:v>
      </x:c>
      <x:c r="O59" t="str">
        <x:v>STATCAN_CENSUS_OCCUPATION_98100449</x:v>
      </x:c>
      <x:c r="P59" t="str">
        <x:v>TR_STATCAN_CENSUS_WORKFORCE_CA_NOC_1_0_0</x:v>
      </x:c>
      <x:c r="Q59" t="str">
        <x:v>census_long_form_25pct_sample|random_rounding</x:v>
      </x:c>
      <x:c r="R59" t="str">
        <x:v>NO</x:v>
      </x:c>
      <x:c r="S59" t="str">
        <x:f>IF(OR(AND(I59&gt;0,R59="NO"),AND(I59=0,R59="YES")),"PASS","FAIL")</x:f>
        <x:v>PASS</x:v>
      </x:c>
    </x:row>
    <x:row r="60">
      <x:c r="A60" t="str">
        <x:v>OBS_CENSUS_WORKFORCE_B4A44197CFE970DD1B59</x:v>
      </x:c>
      <x:c r="B60" t="str">
        <x:v>PR_46</x:v>
      </x:c>
      <x:c r="C60" t="str">
        <x:v>Manitoba</x:v>
      </x:c>
      <x:c r="D60" t="str">
        <x:v>2021A000246</x:v>
      </x:c>
      <x:c r="E60" t="str">
        <x:v>72201</x:v>
      </x:c>
      <x:c r="F60" t="str">
        <x:v>Industrial electricians</x:v>
      </x:c>
      <x:c r="G60" t="str">
        <x:v>trade_electricians</x:v>
      </x:c>
      <x:c r="H60" t="str">
        <x:v>Employed</x:v>
      </x:c>
      <x:c r="I60" s="167" t="n">
        <x:v>670</x:v>
      </x:c>
      <x:c r="J60" t="str">
        <x:v>Persons</x:v>
      </x:c>
      <x:c r="K60" s="153" t="n">
        <x:v>44318</x:v>
      </x:c>
      <x:c r="L60" s="153" t="n">
        <x:v>44324</x:v>
      </x:c>
      <x:c r="M60" s="153" t="n">
        <x:v>44895</x:v>
      </x:c>
      <x:c r="N60" t="str">
        <x:v>observed</x:v>
      </x:c>
      <x:c r="O60" t="str">
        <x:v>STATCAN_CENSUS_OCCUPATION_98100449</x:v>
      </x:c>
      <x:c r="P60" t="str">
        <x:v>TR_STATCAN_CENSUS_WORKFORCE_CA_NOC_1_0_0</x:v>
      </x:c>
      <x:c r="Q60" t="str">
        <x:v>census_long_form_25pct_sample|random_rounding</x:v>
      </x:c>
      <x:c r="R60" t="str">
        <x:v>NO</x:v>
      </x:c>
      <x:c r="S60" t="str">
        <x:f>IF(OR(AND(I60&gt;0,R60="NO"),AND(I60=0,R60="YES")),"PASS","FAIL")</x:f>
        <x:v>PASS</x:v>
      </x:c>
    </x:row>
    <x:row r="61">
      <x:c r="A61" t="str">
        <x:v>OBS_CENSUS_WORKFORCE_6B3840B3EFD33BF9480C</x:v>
      </x:c>
      <x:c r="B61" t="str">
        <x:v>PR_46</x:v>
      </x:c>
      <x:c r="C61" t="str">
        <x:v>Manitoba</x:v>
      </x:c>
      <x:c r="D61" t="str">
        <x:v>2021A000246</x:v>
      </x:c>
      <x:c r="E61" t="str">
        <x:v>72402</x:v>
      </x:c>
      <x:c r="F61" t="str">
        <x:v>Heating, refrigeration and air conditioning mechanics</x:v>
      </x:c>
      <x:c r="G61" t="str">
        <x:v>trade_hvac</x:v>
      </x:c>
      <x:c r="H61" t="str">
        <x:v>Employed</x:v>
      </x:c>
      <x:c r="I61" s="167" t="n">
        <x:v>1070</x:v>
      </x:c>
      <x:c r="J61" t="str">
        <x:v>Persons</x:v>
      </x:c>
      <x:c r="K61" s="153" t="n">
        <x:v>44318</x:v>
      </x:c>
      <x:c r="L61" s="153" t="n">
        <x:v>44324</x:v>
      </x:c>
      <x:c r="M61" s="153" t="n">
        <x:v>44895</x:v>
      </x:c>
      <x:c r="N61" t="str">
        <x:v>observed</x:v>
      </x:c>
      <x:c r="O61" t="str">
        <x:v>STATCAN_CENSUS_OCCUPATION_98100449</x:v>
      </x:c>
      <x:c r="P61" t="str">
        <x:v>TR_STATCAN_CENSUS_WORKFORCE_CA_NOC_1_0_0</x:v>
      </x:c>
      <x:c r="Q61" t="str">
        <x:v>census_long_form_25pct_sample|random_rounding</x:v>
      </x:c>
      <x:c r="R61" t="str">
        <x:v>NO</x:v>
      </x:c>
      <x:c r="S61" t="str">
        <x:f>IF(OR(AND(I61&gt;0,R61="NO"),AND(I61=0,R61="YES")),"PASS","FAIL")</x:f>
        <x:v>PASS</x:v>
      </x:c>
    </x:row>
    <x:row r="62">
      <x:c r="A62" t="str">
        <x:v>OBS_CENSUS_WORKFORCE_DD9900D53CA39154237E</x:v>
      </x:c>
      <x:c r="B62" t="str">
        <x:v>PR_46</x:v>
      </x:c>
      <x:c r="C62" t="str">
        <x:v>Manitoba</x:v>
      </x:c>
      <x:c r="D62" t="str">
        <x:v>2021A000246</x:v>
      </x:c>
      <x:c r="E62" t="str">
        <x:v>72202</x:v>
      </x:c>
      <x:c r="F62" t="str">
        <x:v>Power system electricians</x:v>
      </x:c>
      <x:c r="G62" t="str">
        <x:v>trade_power_line</x:v>
      </x:c>
      <x:c r="H62" t="str">
        <x:v>Employed</x:v>
      </x:c>
      <x:c r="I62" s="167" t="n">
        <x:v>210</x:v>
      </x:c>
      <x:c r="J62" t="str">
        <x:v>Persons</x:v>
      </x:c>
      <x:c r="K62" s="153" t="n">
        <x:v>44318</x:v>
      </x:c>
      <x:c r="L62" s="153" t="n">
        <x:v>44324</x:v>
      </x:c>
      <x:c r="M62" s="153" t="n">
        <x:v>44895</x:v>
      </x:c>
      <x:c r="N62" t="str">
        <x:v>observed</x:v>
      </x:c>
      <x:c r="O62" t="str">
        <x:v>STATCAN_CENSUS_OCCUPATION_98100449</x:v>
      </x:c>
      <x:c r="P62" t="str">
        <x:v>TR_STATCAN_CENSUS_WORKFORCE_CA_NOC_1_0_0</x:v>
      </x:c>
      <x:c r="Q62" t="str">
        <x:v>census_long_form_25pct_sample|random_rounding</x:v>
      </x:c>
      <x:c r="R62" t="str">
        <x:v>NO</x:v>
      </x:c>
      <x:c r="S62" t="str">
        <x:f>IF(OR(AND(I62&gt;0,R62="NO"),AND(I62=0,R62="YES")),"PASS","FAIL")</x:f>
        <x:v>PASS</x:v>
      </x:c>
    </x:row>
    <x:row r="63">
      <x:c r="A63" t="str">
        <x:v>OBS_CENSUS_WORKFORCE_FAF5E7A0DE6DD0D6C448</x:v>
      </x:c>
      <x:c r="B63" t="str">
        <x:v>PR_46</x:v>
      </x:c>
      <x:c r="C63" t="str">
        <x:v>Manitoba</x:v>
      </x:c>
      <x:c r="D63" t="str">
        <x:v>2021A000246</x:v>
      </x:c>
      <x:c r="E63" t="str">
        <x:v>72203</x:v>
      </x:c>
      <x:c r="F63" t="str">
        <x:v>Electrical power line and cable workers</x:v>
      </x:c>
      <x:c r="G63" t="str">
        <x:v>trade_power_line</x:v>
      </x:c>
      <x:c r="H63" t="str">
        <x:v>Employed</x:v>
      </x:c>
      <x:c r="I63" s="167" t="n">
        <x:v>625</x:v>
      </x:c>
      <x:c r="J63" t="str">
        <x:v>Persons</x:v>
      </x:c>
      <x:c r="K63" s="153" t="n">
        <x:v>44318</x:v>
      </x:c>
      <x:c r="L63" s="153" t="n">
        <x:v>44324</x:v>
      </x:c>
      <x:c r="M63" s="153" t="n">
        <x:v>44895</x:v>
      </x:c>
      <x:c r="N63" t="str">
        <x:v>observed</x:v>
      </x:c>
      <x:c r="O63" t="str">
        <x:v>STATCAN_CENSUS_OCCUPATION_98100449</x:v>
      </x:c>
      <x:c r="P63" t="str">
        <x:v>TR_STATCAN_CENSUS_WORKFORCE_CA_NOC_1_0_0</x:v>
      </x:c>
      <x:c r="Q63" t="str">
        <x:v>census_long_form_25pct_sample|random_rounding</x:v>
      </x:c>
      <x:c r="R63" t="str">
        <x:v>NO</x:v>
      </x:c>
      <x:c r="S63" t="str">
        <x:f>IF(OR(AND(I63&gt;0,R63="NO"),AND(I63=0,R63="YES")),"PASS","FAIL")</x:f>
        <x:v>PASS</x:v>
      </x:c>
    </x:row>
    <x:row r="64">
      <x:c r="A64" t="str">
        <x:v>OBS_CENSUS_WORKFORCE_EF371802A86BBBB94A28</x:v>
      </x:c>
      <x:c r="B64" t="str">
        <x:v>PR_47</x:v>
      </x:c>
      <x:c r="C64" t="str">
        <x:v>Saskatchewan</x:v>
      </x:c>
      <x:c r="D64" t="str">
        <x:v>2021A000247</x:v>
      </x:c>
      <x:c r="E64" t="str">
        <x:v>73100</x:v>
      </x:c>
      <x:c r="F64" t="str">
        <x:v>Concrete finishers</x:v>
      </x:c>
      <x:c r="G64" t="str">
        <x:v>trade_concrete</x:v>
      </x:c>
      <x:c r="H64" t="str">
        <x:v>Employed</x:v>
      </x:c>
      <x:c r="I64" s="167" t="n">
        <x:v>165</x:v>
      </x:c>
      <x:c r="J64" t="str">
        <x:v>Persons</x:v>
      </x:c>
      <x:c r="K64" s="153" t="n">
        <x:v>44318</x:v>
      </x:c>
      <x:c r="L64" s="153" t="n">
        <x:v>44324</x:v>
      </x:c>
      <x:c r="M64" s="153" t="n">
        <x:v>44895</x:v>
      </x:c>
      <x:c r="N64" t="str">
        <x:v>observed</x:v>
      </x:c>
      <x:c r="O64" t="str">
        <x:v>STATCAN_CENSUS_OCCUPATION_98100449</x:v>
      </x:c>
      <x:c r="P64" t="str">
        <x:v>TR_STATCAN_CENSUS_WORKFORCE_CA_NOC_1_0_0</x:v>
      </x:c>
      <x:c r="Q64" t="str">
        <x:v>census_long_form_25pct_sample|random_rounding</x:v>
      </x:c>
      <x:c r="R64" t="str">
        <x:v>NO</x:v>
      </x:c>
      <x:c r="S64" t="str">
        <x:f>IF(OR(AND(I64&gt;0,R64="NO"),AND(I64=0,R64="YES")),"PASS","FAIL")</x:f>
        <x:v>PASS</x:v>
      </x:c>
    </x:row>
    <x:row r="65">
      <x:c r="A65" t="str">
        <x:v>OBS_CENSUS_WORKFORCE_D739FC438B6CE3804DF1</x:v>
      </x:c>
      <x:c r="B65" t="str">
        <x:v>PR_47</x:v>
      </x:c>
      <x:c r="C65" t="str">
        <x:v>Saskatchewan</x:v>
      </x:c>
      <x:c r="D65" t="str">
        <x:v>2021A000247</x:v>
      </x:c>
      <x:c r="E65" t="str">
        <x:v>72200</x:v>
      </x:c>
      <x:c r="F65" t="str">
        <x:v>Electricians (except industrial and power system)</x:v>
      </x:c>
      <x:c r="G65" t="str">
        <x:v>trade_electricians</x:v>
      </x:c>
      <x:c r="H65" t="str">
        <x:v>Employed</x:v>
      </x:c>
      <x:c r="I65" s="167" t="n">
        <x:v>2780</x:v>
      </x:c>
      <x:c r="J65" t="str">
        <x:v>Persons</x:v>
      </x:c>
      <x:c r="K65" s="153" t="n">
        <x:v>44318</x:v>
      </x:c>
      <x:c r="L65" s="153" t="n">
        <x:v>44324</x:v>
      </x:c>
      <x:c r="M65" s="153" t="n">
        <x:v>44895</x:v>
      </x:c>
      <x:c r="N65" t="str">
        <x:v>observed</x:v>
      </x:c>
      <x:c r="O65" t="str">
        <x:v>STATCAN_CENSUS_OCCUPATION_98100449</x:v>
      </x:c>
      <x:c r="P65" t="str">
        <x:v>TR_STATCAN_CENSUS_WORKFORCE_CA_NOC_1_0_0</x:v>
      </x:c>
      <x:c r="Q65" t="str">
        <x:v>census_long_form_25pct_sample|random_rounding</x:v>
      </x:c>
      <x:c r="R65" t="str">
        <x:v>NO</x:v>
      </x:c>
      <x:c r="S65" t="str">
        <x:f>IF(OR(AND(I65&gt;0,R65="NO"),AND(I65=0,R65="YES")),"PASS","FAIL")</x:f>
        <x:v>PASS</x:v>
      </x:c>
    </x:row>
    <x:row r="66">
      <x:c r="A66" t="str">
        <x:v>OBS_CENSUS_WORKFORCE_A680EA386EAE0EE855E2</x:v>
      </x:c>
      <x:c r="B66" t="str">
        <x:v>PR_47</x:v>
      </x:c>
      <x:c r="C66" t="str">
        <x:v>Saskatchewan</x:v>
      </x:c>
      <x:c r="D66" t="str">
        <x:v>2021A000247</x:v>
      </x:c>
      <x:c r="E66" t="str">
        <x:v>72201</x:v>
      </x:c>
      <x:c r="F66" t="str">
        <x:v>Industrial electricians</x:v>
      </x:c>
      <x:c r="G66" t="str">
        <x:v>trade_electricians</x:v>
      </x:c>
      <x:c r="H66" t="str">
        <x:v>Employed</x:v>
      </x:c>
      <x:c r="I66" s="167" t="n">
        <x:v>920</x:v>
      </x:c>
      <x:c r="J66" t="str">
        <x:v>Persons</x:v>
      </x:c>
      <x:c r="K66" s="153" t="n">
        <x:v>44318</x:v>
      </x:c>
      <x:c r="L66" s="153" t="n">
        <x:v>44324</x:v>
      </x:c>
      <x:c r="M66" s="153" t="n">
        <x:v>44895</x:v>
      </x:c>
      <x:c r="N66" t="str">
        <x:v>observed</x:v>
      </x:c>
      <x:c r="O66" t="str">
        <x:v>STATCAN_CENSUS_OCCUPATION_98100449</x:v>
      </x:c>
      <x:c r="P66" t="str">
        <x:v>TR_STATCAN_CENSUS_WORKFORCE_CA_NOC_1_0_0</x:v>
      </x:c>
      <x:c r="Q66" t="str">
        <x:v>census_long_form_25pct_sample|random_rounding</x:v>
      </x:c>
      <x:c r="R66" t="str">
        <x:v>NO</x:v>
      </x:c>
      <x:c r="S66" t="str">
        <x:f>IF(OR(AND(I66&gt;0,R66="NO"),AND(I66=0,R66="YES")),"PASS","FAIL")</x:f>
        <x:v>PASS</x:v>
      </x:c>
    </x:row>
    <x:row r="67">
      <x:c r="A67" t="str">
        <x:v>OBS_CENSUS_WORKFORCE_A9EDFE92B28F67C7BD14</x:v>
      </x:c>
      <x:c r="B67" t="str">
        <x:v>PR_47</x:v>
      </x:c>
      <x:c r="C67" t="str">
        <x:v>Saskatchewan</x:v>
      </x:c>
      <x:c r="D67" t="str">
        <x:v>2021A000247</x:v>
      </x:c>
      <x:c r="E67" t="str">
        <x:v>72402</x:v>
      </x:c>
      <x:c r="F67" t="str">
        <x:v>Heating, refrigeration and air conditioning mechanics</x:v>
      </x:c>
      <x:c r="G67" t="str">
        <x:v>trade_hvac</x:v>
      </x:c>
      <x:c r="H67" t="str">
        <x:v>Employed</x:v>
      </x:c>
      <x:c r="I67" s="167" t="n">
        <x:v>520</x:v>
      </x:c>
      <x:c r="J67" t="str">
        <x:v>Persons</x:v>
      </x:c>
      <x:c r="K67" s="153" t="n">
        <x:v>44318</x:v>
      </x:c>
      <x:c r="L67" s="153" t="n">
        <x:v>44324</x:v>
      </x:c>
      <x:c r="M67" s="153" t="n">
        <x:v>44895</x:v>
      </x:c>
      <x:c r="N67" t="str">
        <x:v>observed</x:v>
      </x:c>
      <x:c r="O67" t="str">
        <x:v>STATCAN_CENSUS_OCCUPATION_98100449</x:v>
      </x:c>
      <x:c r="P67" t="str">
        <x:v>TR_STATCAN_CENSUS_WORKFORCE_CA_NOC_1_0_0</x:v>
      </x:c>
      <x:c r="Q67" t="str">
        <x:v>census_long_form_25pct_sample|random_rounding</x:v>
      </x:c>
      <x:c r="R67" t="str">
        <x:v>NO</x:v>
      </x:c>
      <x:c r="S67" t="str">
        <x:f>IF(OR(AND(I67&gt;0,R67="NO"),AND(I67=0,R67="YES")),"PASS","FAIL")</x:f>
        <x:v>PASS</x:v>
      </x:c>
    </x:row>
    <x:row r="68">
      <x:c r="A68" t="str">
        <x:v>OBS_CENSUS_WORKFORCE_478485645304CFDD03CF</x:v>
      </x:c>
      <x:c r="B68" t="str">
        <x:v>PR_47</x:v>
      </x:c>
      <x:c r="C68" t="str">
        <x:v>Saskatchewan</x:v>
      </x:c>
      <x:c r="D68" t="str">
        <x:v>2021A000247</x:v>
      </x:c>
      <x:c r="E68" t="str">
        <x:v>72202</x:v>
      </x:c>
      <x:c r="F68" t="str">
        <x:v>Power system electricians</x:v>
      </x:c>
      <x:c r="G68" t="str">
        <x:v>trade_power_line</x:v>
      </x:c>
      <x:c r="H68" t="str">
        <x:v>Employed</x:v>
      </x:c>
      <x:c r="I68" s="167" t="n">
        <x:v>130</x:v>
      </x:c>
      <x:c r="J68" t="str">
        <x:v>Persons</x:v>
      </x:c>
      <x:c r="K68" s="153" t="n">
        <x:v>44318</x:v>
      </x:c>
      <x:c r="L68" s="153" t="n">
        <x:v>44324</x:v>
      </x:c>
      <x:c r="M68" s="153" t="n">
        <x:v>44895</x:v>
      </x:c>
      <x:c r="N68" t="str">
        <x:v>observed</x:v>
      </x:c>
      <x:c r="O68" t="str">
        <x:v>STATCAN_CENSUS_OCCUPATION_98100449</x:v>
      </x:c>
      <x:c r="P68" t="str">
        <x:v>TR_STATCAN_CENSUS_WORKFORCE_CA_NOC_1_0_0</x:v>
      </x:c>
      <x:c r="Q68" t="str">
        <x:v>census_long_form_25pct_sample|random_rounding</x:v>
      </x:c>
      <x:c r="R68" t="str">
        <x:v>NO</x:v>
      </x:c>
      <x:c r="S68" t="str">
        <x:f>IF(OR(AND(I68&gt;0,R68="NO"),AND(I68=0,R68="YES")),"PASS","FAIL")</x:f>
        <x:v>PASS</x:v>
      </x:c>
    </x:row>
    <x:row r="69">
      <x:c r="A69" t="str">
        <x:v>OBS_CENSUS_WORKFORCE_255D47BCB98DA2131BF4</x:v>
      </x:c>
      <x:c r="B69" t="str">
        <x:v>PR_47</x:v>
      </x:c>
      <x:c r="C69" t="str">
        <x:v>Saskatchewan</x:v>
      </x:c>
      <x:c r="D69" t="str">
        <x:v>2021A000247</x:v>
      </x:c>
      <x:c r="E69" t="str">
        <x:v>72203</x:v>
      </x:c>
      <x:c r="F69" t="str">
        <x:v>Electrical power line and cable workers</x:v>
      </x:c>
      <x:c r="G69" t="str">
        <x:v>trade_power_line</x:v>
      </x:c>
      <x:c r="H69" t="str">
        <x:v>Employed</x:v>
      </x:c>
      <x:c r="I69" s="167" t="n">
        <x:v>820</x:v>
      </x:c>
      <x:c r="J69" t="str">
        <x:v>Persons</x:v>
      </x:c>
      <x:c r="K69" s="153" t="n">
        <x:v>44318</x:v>
      </x:c>
      <x:c r="L69" s="153" t="n">
        <x:v>44324</x:v>
      </x:c>
      <x:c r="M69" s="153" t="n">
        <x:v>44895</x:v>
      </x:c>
      <x:c r="N69" t="str">
        <x:v>observed</x:v>
      </x:c>
      <x:c r="O69" t="str">
        <x:v>STATCAN_CENSUS_OCCUPATION_98100449</x:v>
      </x:c>
      <x:c r="P69" t="str">
        <x:v>TR_STATCAN_CENSUS_WORKFORCE_CA_NOC_1_0_0</x:v>
      </x:c>
      <x:c r="Q69" t="str">
        <x:v>census_long_form_25pct_sample|random_rounding</x:v>
      </x:c>
      <x:c r="R69" t="str">
        <x:v>NO</x:v>
      </x:c>
      <x:c r="S69" t="str">
        <x:f>IF(OR(AND(I69&gt;0,R69="NO"),AND(I69=0,R69="YES")),"PASS","FAIL")</x:f>
        <x:v>PASS</x:v>
      </x:c>
    </x:row>
    <x:row r="70">
      <x:c r="A70" t="str">
        <x:v>OBS_CENSUS_WORKFORCE_498D59FEB80777E18313</x:v>
      </x:c>
      <x:c r="B70" t="str">
        <x:v>PR_48</x:v>
      </x:c>
      <x:c r="C70" t="str">
        <x:v>Alberta</x:v>
      </x:c>
      <x:c r="D70" t="str">
        <x:v>2021A000248</x:v>
      </x:c>
      <x:c r="E70" t="str">
        <x:v>73100</x:v>
      </x:c>
      <x:c r="F70" t="str">
        <x:v>Concrete finishers</x:v>
      </x:c>
      <x:c r="G70" t="str">
        <x:v>trade_concrete</x:v>
      </x:c>
      <x:c r="H70" t="str">
        <x:v>Employed</x:v>
      </x:c>
      <x:c r="I70" s="167" t="n">
        <x:v>1105</x:v>
      </x:c>
      <x:c r="J70" t="str">
        <x:v>Persons</x:v>
      </x:c>
      <x:c r="K70" s="153" t="n">
        <x:v>44318</x:v>
      </x:c>
      <x:c r="L70" s="153" t="n">
        <x:v>44324</x:v>
      </x:c>
      <x:c r="M70" s="153" t="n">
        <x:v>44895</x:v>
      </x:c>
      <x:c r="N70" t="str">
        <x:v>observed</x:v>
      </x:c>
      <x:c r="O70" t="str">
        <x:v>STATCAN_CENSUS_OCCUPATION_98100449</x:v>
      </x:c>
      <x:c r="P70" t="str">
        <x:v>TR_STATCAN_CENSUS_WORKFORCE_CA_NOC_1_0_0</x:v>
      </x:c>
      <x:c r="Q70" t="str">
        <x:v>census_long_form_25pct_sample|random_rounding</x:v>
      </x:c>
      <x:c r="R70" t="str">
        <x:v>NO</x:v>
      </x:c>
      <x:c r="S70" t="str">
        <x:f>IF(OR(AND(I70&gt;0,R70="NO"),AND(I70=0,R70="YES")),"PASS","FAIL")</x:f>
        <x:v>PASS</x:v>
      </x:c>
    </x:row>
    <x:row r="71">
      <x:c r="A71" t="str">
        <x:v>OBS_CENSUS_WORKFORCE_CE8EF3512CE42BA7E6D5</x:v>
      </x:c>
      <x:c r="B71" t="str">
        <x:v>PR_48</x:v>
      </x:c>
      <x:c r="C71" t="str">
        <x:v>Alberta</x:v>
      </x:c>
      <x:c r="D71" t="str">
        <x:v>2021A000248</x:v>
      </x:c>
      <x:c r="E71" t="str">
        <x:v>72200</x:v>
      </x:c>
      <x:c r="F71" t="str">
        <x:v>Electricians (except industrial and power system)</x:v>
      </x:c>
      <x:c r="G71" t="str">
        <x:v>trade_electricians</x:v>
      </x:c>
      <x:c r="H71" t="str">
        <x:v>Employed</x:v>
      </x:c>
      <x:c r="I71" s="167" t="n">
        <x:v>13375</x:v>
      </x:c>
      <x:c r="J71" t="str">
        <x:v>Persons</x:v>
      </x:c>
      <x:c r="K71" s="153" t="n">
        <x:v>44318</x:v>
      </x:c>
      <x:c r="L71" s="153" t="n">
        <x:v>44324</x:v>
      </x:c>
      <x:c r="M71" s="153" t="n">
        <x:v>44895</x:v>
      </x:c>
      <x:c r="N71" t="str">
        <x:v>observed</x:v>
      </x:c>
      <x:c r="O71" t="str">
        <x:v>STATCAN_CENSUS_OCCUPATION_98100449</x:v>
      </x:c>
      <x:c r="P71" t="str">
        <x:v>TR_STATCAN_CENSUS_WORKFORCE_CA_NOC_1_0_0</x:v>
      </x:c>
      <x:c r="Q71" t="str">
        <x:v>census_long_form_25pct_sample|random_rounding</x:v>
      </x:c>
      <x:c r="R71" t="str">
        <x:v>NO</x:v>
      </x:c>
      <x:c r="S71" t="str">
        <x:f>IF(OR(AND(I71&gt;0,R71="NO"),AND(I71=0,R71="YES")),"PASS","FAIL")</x:f>
        <x:v>PASS</x:v>
      </x:c>
    </x:row>
    <x:row r="72">
      <x:c r="A72" t="str">
        <x:v>OBS_CENSUS_WORKFORCE_947F48BF17B9181CDA70</x:v>
      </x:c>
      <x:c r="B72" t="str">
        <x:v>PR_48</x:v>
      </x:c>
      <x:c r="C72" t="str">
        <x:v>Alberta</x:v>
      </x:c>
      <x:c r="D72" t="str">
        <x:v>2021A000248</x:v>
      </x:c>
      <x:c r="E72" t="str">
        <x:v>72201</x:v>
      </x:c>
      <x:c r="F72" t="str">
        <x:v>Industrial electricians</x:v>
      </x:c>
      <x:c r="G72" t="str">
        <x:v>trade_electricians</x:v>
      </x:c>
      <x:c r="H72" t="str">
        <x:v>Employed</x:v>
      </x:c>
      <x:c r="I72" s="167" t="n">
        <x:v>4175</x:v>
      </x:c>
      <x:c r="J72" t="str">
        <x:v>Persons</x:v>
      </x:c>
      <x:c r="K72" s="153" t="n">
        <x:v>44318</x:v>
      </x:c>
      <x:c r="L72" s="153" t="n">
        <x:v>44324</x:v>
      </x:c>
      <x:c r="M72" s="153" t="n">
        <x:v>44895</x:v>
      </x:c>
      <x:c r="N72" t="str">
        <x:v>observed</x:v>
      </x:c>
      <x:c r="O72" t="str">
        <x:v>STATCAN_CENSUS_OCCUPATION_98100449</x:v>
      </x:c>
      <x:c r="P72" t="str">
        <x:v>TR_STATCAN_CENSUS_WORKFORCE_CA_NOC_1_0_0</x:v>
      </x:c>
      <x:c r="Q72" t="str">
        <x:v>census_long_form_25pct_sample|random_rounding</x:v>
      </x:c>
      <x:c r="R72" t="str">
        <x:v>NO</x:v>
      </x:c>
      <x:c r="S72" t="str">
        <x:f>IF(OR(AND(I72&gt;0,R72="NO"),AND(I72=0,R72="YES")),"PASS","FAIL")</x:f>
        <x:v>PASS</x:v>
      </x:c>
    </x:row>
    <x:row r="73">
      <x:c r="A73" t="str">
        <x:v>OBS_CENSUS_WORKFORCE_22EEE2D21CB5C801A06F</x:v>
      </x:c>
      <x:c r="B73" t="str">
        <x:v>PR_48</x:v>
      </x:c>
      <x:c r="C73" t="str">
        <x:v>Alberta</x:v>
      </x:c>
      <x:c r="D73" t="str">
        <x:v>2021A000248</x:v>
      </x:c>
      <x:c r="E73" t="str">
        <x:v>72402</x:v>
      </x:c>
      <x:c r="F73" t="str">
        <x:v>Heating, refrigeration and air conditioning mechanics</x:v>
      </x:c>
      <x:c r="G73" t="str">
        <x:v>trade_hvac</x:v>
      </x:c>
      <x:c r="H73" t="str">
        <x:v>Employed</x:v>
      </x:c>
      <x:c r="I73" s="167" t="n">
        <x:v>3095</x:v>
      </x:c>
      <x:c r="J73" t="str">
        <x:v>Persons</x:v>
      </x:c>
      <x:c r="K73" s="153" t="n">
        <x:v>44318</x:v>
      </x:c>
      <x:c r="L73" s="153" t="n">
        <x:v>44324</x:v>
      </x:c>
      <x:c r="M73" s="153" t="n">
        <x:v>44895</x:v>
      </x:c>
      <x:c r="N73" t="str">
        <x:v>observed</x:v>
      </x:c>
      <x:c r="O73" t="str">
        <x:v>STATCAN_CENSUS_OCCUPATION_98100449</x:v>
      </x:c>
      <x:c r="P73" t="str">
        <x:v>TR_STATCAN_CENSUS_WORKFORCE_CA_NOC_1_0_0</x:v>
      </x:c>
      <x:c r="Q73" t="str">
        <x:v>census_long_form_25pct_sample|random_rounding</x:v>
      </x:c>
      <x:c r="R73" t="str">
        <x:v>NO</x:v>
      </x:c>
      <x:c r="S73" t="str">
        <x:f>IF(OR(AND(I73&gt;0,R73="NO"),AND(I73=0,R73="YES")),"PASS","FAIL")</x:f>
        <x:v>PASS</x:v>
      </x:c>
    </x:row>
    <x:row r="74">
      <x:c r="A74" t="str">
        <x:v>OBS_CENSUS_WORKFORCE_C3B742656F06722C9F8D</x:v>
      </x:c>
      <x:c r="B74" t="str">
        <x:v>PR_48</x:v>
      </x:c>
      <x:c r="C74" t="str">
        <x:v>Alberta</x:v>
      </x:c>
      <x:c r="D74" t="str">
        <x:v>2021A000248</x:v>
      </x:c>
      <x:c r="E74" t="str">
        <x:v>72202</x:v>
      </x:c>
      <x:c r="F74" t="str">
        <x:v>Power system electricians</x:v>
      </x:c>
      <x:c r="G74" t="str">
        <x:v>trade_power_line</x:v>
      </x:c>
      <x:c r="H74" t="str">
        <x:v>Employed</x:v>
      </x:c>
      <x:c r="I74" s="167" t="n">
        <x:v>770</x:v>
      </x:c>
      <x:c r="J74" t="str">
        <x:v>Persons</x:v>
      </x:c>
      <x:c r="K74" s="153" t="n">
        <x:v>44318</x:v>
      </x:c>
      <x:c r="L74" s="153" t="n">
        <x:v>44324</x:v>
      </x:c>
      <x:c r="M74" s="153" t="n">
        <x:v>44895</x:v>
      </x:c>
      <x:c r="N74" t="str">
        <x:v>observed</x:v>
      </x:c>
      <x:c r="O74" t="str">
        <x:v>STATCAN_CENSUS_OCCUPATION_98100449</x:v>
      </x:c>
      <x:c r="P74" t="str">
        <x:v>TR_STATCAN_CENSUS_WORKFORCE_CA_NOC_1_0_0</x:v>
      </x:c>
      <x:c r="Q74" t="str">
        <x:v>census_long_form_25pct_sample|random_rounding</x:v>
      </x:c>
      <x:c r="R74" t="str">
        <x:v>NO</x:v>
      </x:c>
      <x:c r="S74" t="str">
        <x:f>IF(OR(AND(I74&gt;0,R74="NO"),AND(I74=0,R74="YES")),"PASS","FAIL")</x:f>
        <x:v>PASS</x:v>
      </x:c>
    </x:row>
    <x:row r="75">
      <x:c r="A75" t="str">
        <x:v>OBS_CENSUS_WORKFORCE_6809D8ECDCD9B3FC907E</x:v>
      </x:c>
      <x:c r="B75" t="str">
        <x:v>PR_48</x:v>
      </x:c>
      <x:c r="C75" t="str">
        <x:v>Alberta</x:v>
      </x:c>
      <x:c r="D75" t="str">
        <x:v>2021A000248</x:v>
      </x:c>
      <x:c r="E75" t="str">
        <x:v>72203</x:v>
      </x:c>
      <x:c r="F75" t="str">
        <x:v>Electrical power line and cable workers</x:v>
      </x:c>
      <x:c r="G75" t="str">
        <x:v>trade_power_line</x:v>
      </x:c>
      <x:c r="H75" t="str">
        <x:v>Employed</x:v>
      </x:c>
      <x:c r="I75" s="167" t="n">
        <x:v>1725</x:v>
      </x:c>
      <x:c r="J75" t="str">
        <x:v>Persons</x:v>
      </x:c>
      <x:c r="K75" s="153" t="n">
        <x:v>44318</x:v>
      </x:c>
      <x:c r="L75" s="153" t="n">
        <x:v>44324</x:v>
      </x:c>
      <x:c r="M75" s="153" t="n">
        <x:v>44895</x:v>
      </x:c>
      <x:c r="N75" t="str">
        <x:v>observed</x:v>
      </x:c>
      <x:c r="O75" t="str">
        <x:v>STATCAN_CENSUS_OCCUPATION_98100449</x:v>
      </x:c>
      <x:c r="P75" t="str">
        <x:v>TR_STATCAN_CENSUS_WORKFORCE_CA_NOC_1_0_0</x:v>
      </x:c>
      <x:c r="Q75" t="str">
        <x:v>census_long_form_25pct_sample|random_rounding</x:v>
      </x:c>
      <x:c r="R75" t="str">
        <x:v>NO</x:v>
      </x:c>
      <x:c r="S75" t="str">
        <x:f>IF(OR(AND(I75&gt;0,R75="NO"),AND(I75=0,R75="YES")),"PASS","FAIL")</x:f>
        <x:v>PASS</x:v>
      </x:c>
    </x:row>
    <x:row r="76">
      <x:c r="A76" t="str">
        <x:v>OBS_CENSUS_WORKFORCE_DE14A32F92BA1DE15F2B</x:v>
      </x:c>
      <x:c r="B76" t="str">
        <x:v>PR_59</x:v>
      </x:c>
      <x:c r="C76" t="str">
        <x:v>British Columbia</x:v>
      </x:c>
      <x:c r="D76" t="str">
        <x:v>2021A000259</x:v>
      </x:c>
      <x:c r="E76" t="str">
        <x:v>73100</x:v>
      </x:c>
      <x:c r="F76" t="str">
        <x:v>Concrete finishers</x:v>
      </x:c>
      <x:c r="G76" t="str">
        <x:v>trade_concrete</x:v>
      </x:c>
      <x:c r="H76" t="str">
        <x:v>Employed</x:v>
      </x:c>
      <x:c r="I76" s="167" t="n">
        <x:v>1330</x:v>
      </x:c>
      <x:c r="J76" t="str">
        <x:v>Persons</x:v>
      </x:c>
      <x:c r="K76" s="153" t="n">
        <x:v>44318</x:v>
      </x:c>
      <x:c r="L76" s="153" t="n">
        <x:v>44324</x:v>
      </x:c>
      <x:c r="M76" s="153" t="n">
        <x:v>44895</x:v>
      </x:c>
      <x:c r="N76" t="str">
        <x:v>observed</x:v>
      </x:c>
      <x:c r="O76" t="str">
        <x:v>STATCAN_CENSUS_OCCUPATION_98100449</x:v>
      </x:c>
      <x:c r="P76" t="str">
        <x:v>TR_STATCAN_CENSUS_WORKFORCE_CA_NOC_1_0_0</x:v>
      </x:c>
      <x:c r="Q76" t="str">
        <x:v>census_long_form_25pct_sample|random_rounding</x:v>
      </x:c>
      <x:c r="R76" t="str">
        <x:v>NO</x:v>
      </x:c>
      <x:c r="S76" t="str">
        <x:f>IF(OR(AND(I76&gt;0,R76="NO"),AND(I76=0,R76="YES")),"PASS","FAIL")</x:f>
        <x:v>PASS</x:v>
      </x:c>
    </x:row>
    <x:row r="77">
      <x:c r="A77" t="str">
        <x:v>OBS_CENSUS_WORKFORCE_48381FE486B349F6E5B4</x:v>
      </x:c>
      <x:c r="B77" t="str">
        <x:v>PR_59</x:v>
      </x:c>
      <x:c r="C77" t="str">
        <x:v>British Columbia</x:v>
      </x:c>
      <x:c r="D77" t="str">
        <x:v>2021A000259</x:v>
      </x:c>
      <x:c r="E77" t="str">
        <x:v>72200</x:v>
      </x:c>
      <x:c r="F77" t="str">
        <x:v>Electricians (except industrial and power system)</x:v>
      </x:c>
      <x:c r="G77" t="str">
        <x:v>trade_electricians</x:v>
      </x:c>
      <x:c r="H77" t="str">
        <x:v>Employed</x:v>
      </x:c>
      <x:c r="I77" s="167" t="n">
        <x:v>15325</x:v>
      </x:c>
      <x:c r="J77" t="str">
        <x:v>Persons</x:v>
      </x:c>
      <x:c r="K77" s="153" t="n">
        <x:v>44318</x:v>
      </x:c>
      <x:c r="L77" s="153" t="n">
        <x:v>44324</x:v>
      </x:c>
      <x:c r="M77" s="153" t="n">
        <x:v>44895</x:v>
      </x:c>
      <x:c r="N77" t="str">
        <x:v>observed</x:v>
      </x:c>
      <x:c r="O77" t="str">
        <x:v>STATCAN_CENSUS_OCCUPATION_98100449</x:v>
      </x:c>
      <x:c r="P77" t="str">
        <x:v>TR_STATCAN_CENSUS_WORKFORCE_CA_NOC_1_0_0</x:v>
      </x:c>
      <x:c r="Q77" t="str">
        <x:v>census_long_form_25pct_sample|random_rounding</x:v>
      </x:c>
      <x:c r="R77" t="str">
        <x:v>NO</x:v>
      </x:c>
      <x:c r="S77" t="str">
        <x:f>IF(OR(AND(I77&gt;0,R77="NO"),AND(I77=0,R77="YES")),"PASS","FAIL")</x:f>
        <x:v>PASS</x:v>
      </x:c>
    </x:row>
    <x:row r="78">
      <x:c r="A78" t="str">
        <x:v>OBS_CENSUS_WORKFORCE_F96E67D7D33FEE88F678</x:v>
      </x:c>
      <x:c r="B78" t="str">
        <x:v>PR_59</x:v>
      </x:c>
      <x:c r="C78" t="str">
        <x:v>British Columbia</x:v>
      </x:c>
      <x:c r="D78" t="str">
        <x:v>2021A000259</x:v>
      </x:c>
      <x:c r="E78" t="str">
        <x:v>72201</x:v>
      </x:c>
      <x:c r="F78" t="str">
        <x:v>Industrial electricians</x:v>
      </x:c>
      <x:c r="G78" t="str">
        <x:v>trade_electricians</x:v>
      </x:c>
      <x:c r="H78" t="str">
        <x:v>Employed</x:v>
      </x:c>
      <x:c r="I78" s="167" t="n">
        <x:v>2715</x:v>
      </x:c>
      <x:c r="J78" t="str">
        <x:v>Persons</x:v>
      </x:c>
      <x:c r="K78" s="153" t="n">
        <x:v>44318</x:v>
      </x:c>
      <x:c r="L78" s="153" t="n">
        <x:v>44324</x:v>
      </x:c>
      <x:c r="M78" s="153" t="n">
        <x:v>44895</x:v>
      </x:c>
      <x:c r="N78" t="str">
        <x:v>observed</x:v>
      </x:c>
      <x:c r="O78" t="str">
        <x:v>STATCAN_CENSUS_OCCUPATION_98100449</x:v>
      </x:c>
      <x:c r="P78" t="str">
        <x:v>TR_STATCAN_CENSUS_WORKFORCE_CA_NOC_1_0_0</x:v>
      </x:c>
      <x:c r="Q78" t="str">
        <x:v>census_long_form_25pct_sample|random_rounding</x:v>
      </x:c>
      <x:c r="R78" t="str">
        <x:v>NO</x:v>
      </x:c>
      <x:c r="S78" t="str">
        <x:f>IF(OR(AND(I78&gt;0,R78="NO"),AND(I78=0,R78="YES")),"PASS","FAIL")</x:f>
        <x:v>PASS</x:v>
      </x:c>
    </x:row>
    <x:row r="79">
      <x:c r="A79" t="str">
        <x:v>OBS_CENSUS_WORKFORCE_F134C44E363C8E40F02A</x:v>
      </x:c>
      <x:c r="B79" t="str">
        <x:v>PR_59</x:v>
      </x:c>
      <x:c r="C79" t="str">
        <x:v>British Columbia</x:v>
      </x:c>
      <x:c r="D79" t="str">
        <x:v>2021A000259</x:v>
      </x:c>
      <x:c r="E79" t="str">
        <x:v>72402</x:v>
      </x:c>
      <x:c r="F79" t="str">
        <x:v>Heating, refrigeration and air conditioning mechanics</x:v>
      </x:c>
      <x:c r="G79" t="str">
        <x:v>trade_hvac</x:v>
      </x:c>
      <x:c r="H79" t="str">
        <x:v>Employed</x:v>
      </x:c>
      <x:c r="I79" s="167" t="n">
        <x:v>3330</x:v>
      </x:c>
      <x:c r="J79" t="str">
        <x:v>Persons</x:v>
      </x:c>
      <x:c r="K79" s="153" t="n">
        <x:v>44318</x:v>
      </x:c>
      <x:c r="L79" s="153" t="n">
        <x:v>44324</x:v>
      </x:c>
      <x:c r="M79" s="153" t="n">
        <x:v>44895</x:v>
      </x:c>
      <x:c r="N79" t="str">
        <x:v>observed</x:v>
      </x:c>
      <x:c r="O79" t="str">
        <x:v>STATCAN_CENSUS_OCCUPATION_98100449</x:v>
      </x:c>
      <x:c r="P79" t="str">
        <x:v>TR_STATCAN_CENSUS_WORKFORCE_CA_NOC_1_0_0</x:v>
      </x:c>
      <x:c r="Q79" t="str">
        <x:v>census_long_form_25pct_sample|random_rounding</x:v>
      </x:c>
      <x:c r="R79" t="str">
        <x:v>NO</x:v>
      </x:c>
      <x:c r="S79" t="str">
        <x:f>IF(OR(AND(I79&gt;0,R79="NO"),AND(I79=0,R79="YES")),"PASS","FAIL")</x:f>
        <x:v>PASS</x:v>
      </x:c>
    </x:row>
    <x:row r="80">
      <x:c r="A80" t="str">
        <x:v>OBS_CENSUS_WORKFORCE_462E413CFC99F358E068</x:v>
      </x:c>
      <x:c r="B80" t="str">
        <x:v>PR_59</x:v>
      </x:c>
      <x:c r="C80" t="str">
        <x:v>British Columbia</x:v>
      </x:c>
      <x:c r="D80" t="str">
        <x:v>2021A000259</x:v>
      </x:c>
      <x:c r="E80" t="str">
        <x:v>72202</x:v>
      </x:c>
      <x:c r="F80" t="str">
        <x:v>Power system electricians</x:v>
      </x:c>
      <x:c r="G80" t="str">
        <x:v>trade_power_line</x:v>
      </x:c>
      <x:c r="H80" t="str">
        <x:v>Employed</x:v>
      </x:c>
      <x:c r="I80" s="167" t="n">
        <x:v>490</x:v>
      </x:c>
      <x:c r="J80" t="str">
        <x:v>Persons</x:v>
      </x:c>
      <x:c r="K80" s="153" t="n">
        <x:v>44318</x:v>
      </x:c>
      <x:c r="L80" s="153" t="n">
        <x:v>44324</x:v>
      </x:c>
      <x:c r="M80" s="153" t="n">
        <x:v>44895</x:v>
      </x:c>
      <x:c r="N80" t="str">
        <x:v>observed</x:v>
      </x:c>
      <x:c r="O80" t="str">
        <x:v>STATCAN_CENSUS_OCCUPATION_98100449</x:v>
      </x:c>
      <x:c r="P80" t="str">
        <x:v>TR_STATCAN_CENSUS_WORKFORCE_CA_NOC_1_0_0</x:v>
      </x:c>
      <x:c r="Q80" t="str">
        <x:v>census_long_form_25pct_sample|random_rounding</x:v>
      </x:c>
      <x:c r="R80" t="str">
        <x:v>NO</x:v>
      </x:c>
      <x:c r="S80" t="str">
        <x:f>IF(OR(AND(I80&gt;0,R80="NO"),AND(I80=0,R80="YES")),"PASS","FAIL")</x:f>
        <x:v>PASS</x:v>
      </x:c>
    </x:row>
    <x:row r="81">
      <x:c r="A81" t="str">
        <x:v>OBS_CENSUS_WORKFORCE_471C1E0FAA2B407F3A2D</x:v>
      </x:c>
      <x:c r="B81" t="str">
        <x:v>PR_59</x:v>
      </x:c>
      <x:c r="C81" t="str">
        <x:v>British Columbia</x:v>
      </x:c>
      <x:c r="D81" t="str">
        <x:v>2021A000259</x:v>
      </x:c>
      <x:c r="E81" t="str">
        <x:v>72203</x:v>
      </x:c>
      <x:c r="F81" t="str">
        <x:v>Electrical power line and cable workers</x:v>
      </x:c>
      <x:c r="G81" t="str">
        <x:v>trade_power_line</x:v>
      </x:c>
      <x:c r="H81" t="str">
        <x:v>Employed</x:v>
      </x:c>
      <x:c r="I81" s="167" t="n">
        <x:v>1210</x:v>
      </x:c>
      <x:c r="J81" t="str">
        <x:v>Persons</x:v>
      </x:c>
      <x:c r="K81" s="153" t="n">
        <x:v>44318</x:v>
      </x:c>
      <x:c r="L81" s="153" t="n">
        <x:v>44324</x:v>
      </x:c>
      <x:c r="M81" s="153" t="n">
        <x:v>44895</x:v>
      </x:c>
      <x:c r="N81" t="str">
        <x:v>observed</x:v>
      </x:c>
      <x:c r="O81" t="str">
        <x:v>STATCAN_CENSUS_OCCUPATION_98100449</x:v>
      </x:c>
      <x:c r="P81" t="str">
        <x:v>TR_STATCAN_CENSUS_WORKFORCE_CA_NOC_1_0_0</x:v>
      </x:c>
      <x:c r="Q81" t="str">
        <x:v>census_long_form_25pct_sample|random_rounding</x:v>
      </x:c>
      <x:c r="R81" t="str">
        <x:v>NO</x:v>
      </x:c>
      <x:c r="S81" t="str">
        <x:f>IF(OR(AND(I81&gt;0,R81="NO"),AND(I81=0,R81="YES")),"PASS","FAIL")</x:f>
        <x:v>PASS</x:v>
      </x:c>
    </x:row>
    <x:row r="82">
      <x:c r="A82" t="str">
        <x:v>OBS_CENSUS_WORKFORCE_13F40E34613DBD57D295</x:v>
      </x:c>
      <x:c r="B82" t="str">
        <x:v>PR_60</x:v>
      </x:c>
      <x:c r="C82" t="str">
        <x:v>Yukon</x:v>
      </x:c>
      <x:c r="D82" t="str">
        <x:v>2021A000260</x:v>
      </x:c>
      <x:c r="E82" t="str">
        <x:v>73100</x:v>
      </x:c>
      <x:c r="F82" t="str">
        <x:v>Concrete finishers</x:v>
      </x:c>
      <x:c r="G82" t="str">
        <x:v>trade_concrete</x:v>
      </x:c>
      <x:c r="H82" t="str">
        <x:v>Employed</x:v>
      </x:c>
      <x:c r="I82" s="167" t="n">
        <x:v>0</x:v>
      </x:c>
      <x:c r="J82" t="str">
        <x:v>Persons</x:v>
      </x:c>
      <x:c r="K82" s="153" t="n">
        <x:v>44318</x:v>
      </x:c>
      <x:c r="L82" s="153" t="n">
        <x:v>44324</x:v>
      </x:c>
      <x:c r="M82" s="153" t="n">
        <x:v>44895</x:v>
      </x:c>
      <x:c r="N82" t="str">
        <x:v>observed</x:v>
      </x:c>
      <x:c r="O82" t="str">
        <x:v>STATCAN_CENSUS_OCCUPATION_98100449</x:v>
      </x:c>
      <x:c r="P82" t="str">
        <x:v>TR_STATCAN_CENSUS_WORKFORCE_CA_NOC_1_0_0</x:v>
      </x:c>
      <x:c r="Q82" t="str">
        <x:v>census_long_form_25pct_sample|random_rounding|wds_response_status_code:2|census_zero_filler</x:v>
      </x:c>
      <x:c r="R82" t="str">
        <x:v>YES</x:v>
      </x:c>
      <x:c r="S82" t="str">
        <x:f>IF(OR(AND(I82&gt;0,R82="NO"),AND(I82=0,R82="YES")),"PASS","FAIL")</x:f>
        <x:v>PASS</x:v>
      </x:c>
    </x:row>
    <x:row r="83">
      <x:c r="A83" t="str">
        <x:v>OBS_CENSUS_WORKFORCE_C530661224C2A0557663</x:v>
      </x:c>
      <x:c r="B83" t="str">
        <x:v>PR_60</x:v>
      </x:c>
      <x:c r="C83" t="str">
        <x:v>Yukon</x:v>
      </x:c>
      <x:c r="D83" t="str">
        <x:v>2021A000260</x:v>
      </x:c>
      <x:c r="E83" t="str">
        <x:v>72200</x:v>
      </x:c>
      <x:c r="F83" t="str">
        <x:v>Electricians (except industrial and power system)</x:v>
      </x:c>
      <x:c r="G83" t="str">
        <x:v>trade_electricians</x:v>
      </x:c>
      <x:c r="H83" t="str">
        <x:v>Employed</x:v>
      </x:c>
      <x:c r="I83" s="167" t="n">
        <x:v>140</x:v>
      </x:c>
      <x:c r="J83" t="str">
        <x:v>Persons</x:v>
      </x:c>
      <x:c r="K83" s="153" t="n">
        <x:v>44318</x:v>
      </x:c>
      <x:c r="L83" s="153" t="n">
        <x:v>44324</x:v>
      </x:c>
      <x:c r="M83" s="153" t="n">
        <x:v>44895</x:v>
      </x:c>
      <x:c r="N83" t="str">
        <x:v>observed</x:v>
      </x:c>
      <x:c r="O83" t="str">
        <x:v>STATCAN_CENSUS_OCCUPATION_98100449</x:v>
      </x:c>
      <x:c r="P83" t="str">
        <x:v>TR_STATCAN_CENSUS_WORKFORCE_CA_NOC_1_0_0</x:v>
      </x:c>
      <x:c r="Q83" t="str">
        <x:v>census_long_form_25pct_sample|random_rounding</x:v>
      </x:c>
      <x:c r="R83" t="str">
        <x:v>NO</x:v>
      </x:c>
      <x:c r="S83" t="str">
        <x:f>IF(OR(AND(I83&gt;0,R83="NO"),AND(I83=0,R83="YES")),"PASS","FAIL")</x:f>
        <x:v>PASS</x:v>
      </x:c>
    </x:row>
    <x:row r="84">
      <x:c r="A84" t="str">
        <x:v>OBS_CENSUS_WORKFORCE_19FB13F37EE9E7E5F5D6</x:v>
      </x:c>
      <x:c r="B84" t="str">
        <x:v>PR_60</x:v>
      </x:c>
      <x:c r="C84" t="str">
        <x:v>Yukon</x:v>
      </x:c>
      <x:c r="D84" t="str">
        <x:v>2021A000260</x:v>
      </x:c>
      <x:c r="E84" t="str">
        <x:v>72201</x:v>
      </x:c>
      <x:c r="F84" t="str">
        <x:v>Industrial electricians</x:v>
      </x:c>
      <x:c r="G84" t="str">
        <x:v>trade_electricians</x:v>
      </x:c>
      <x:c r="H84" t="str">
        <x:v>Employed</x:v>
      </x:c>
      <x:c r="I84" s="167" t="n">
        <x:v>10</x:v>
      </x:c>
      <x:c r="J84" t="str">
        <x:v>Persons</x:v>
      </x:c>
      <x:c r="K84" s="153" t="n">
        <x:v>44318</x:v>
      </x:c>
      <x:c r="L84" s="153" t="n">
        <x:v>44324</x:v>
      </x:c>
      <x:c r="M84" s="153" t="n">
        <x:v>44895</x:v>
      </x:c>
      <x:c r="N84" t="str">
        <x:v>observed</x:v>
      </x:c>
      <x:c r="O84" t="str">
        <x:v>STATCAN_CENSUS_OCCUPATION_98100449</x:v>
      </x:c>
      <x:c r="P84" t="str">
        <x:v>TR_STATCAN_CENSUS_WORKFORCE_CA_NOC_1_0_0</x:v>
      </x:c>
      <x:c r="Q84" t="str">
        <x:v>census_long_form_25pct_sample|random_rounding</x:v>
      </x:c>
      <x:c r="R84" t="str">
        <x:v>NO</x:v>
      </x:c>
      <x:c r="S84" t="str">
        <x:f>IF(OR(AND(I84&gt;0,R84="NO"),AND(I84=0,R84="YES")),"PASS","FAIL")</x:f>
        <x:v>PASS</x:v>
      </x:c>
    </x:row>
    <x:row r="85">
      <x:c r="A85" t="str">
        <x:v>OBS_CENSUS_WORKFORCE_A06E11120BBB8FAC1006</x:v>
      </x:c>
      <x:c r="B85" t="str">
        <x:v>PR_60</x:v>
      </x:c>
      <x:c r="C85" t="str">
        <x:v>Yukon</x:v>
      </x:c>
      <x:c r="D85" t="str">
        <x:v>2021A000260</x:v>
      </x:c>
      <x:c r="E85" t="str">
        <x:v>72402</x:v>
      </x:c>
      <x:c r="F85" t="str">
        <x:v>Heating, refrigeration and air conditioning mechanics</x:v>
      </x:c>
      <x:c r="G85" t="str">
        <x:v>trade_hvac</x:v>
      </x:c>
      <x:c r="H85" t="str">
        <x:v>Employed</x:v>
      </x:c>
      <x:c r="I85" s="167" t="n">
        <x:v>10</x:v>
      </x:c>
      <x:c r="J85" t="str">
        <x:v>Persons</x:v>
      </x:c>
      <x:c r="K85" s="153" t="n">
        <x:v>44318</x:v>
      </x:c>
      <x:c r="L85" s="153" t="n">
        <x:v>44324</x:v>
      </x:c>
      <x:c r="M85" s="153" t="n">
        <x:v>44895</x:v>
      </x:c>
      <x:c r="N85" t="str">
        <x:v>observed</x:v>
      </x:c>
      <x:c r="O85" t="str">
        <x:v>STATCAN_CENSUS_OCCUPATION_98100449</x:v>
      </x:c>
      <x:c r="P85" t="str">
        <x:v>TR_STATCAN_CENSUS_WORKFORCE_CA_NOC_1_0_0</x:v>
      </x:c>
      <x:c r="Q85" t="str">
        <x:v>census_long_form_25pct_sample|random_rounding</x:v>
      </x:c>
      <x:c r="R85" t="str">
        <x:v>NO</x:v>
      </x:c>
      <x:c r="S85" t="str">
        <x:f>IF(OR(AND(I85&gt;0,R85="NO"),AND(I85=0,R85="YES")),"PASS","FAIL")</x:f>
        <x:v>PASS</x:v>
      </x:c>
    </x:row>
    <x:row r="86">
      <x:c r="A86" t="str">
        <x:v>OBS_CENSUS_WORKFORCE_C16B98733C329ED74328</x:v>
      </x:c>
      <x:c r="B86" t="str">
        <x:v>PR_60</x:v>
      </x:c>
      <x:c r="C86" t="str">
        <x:v>Yukon</x:v>
      </x:c>
      <x:c r="D86" t="str">
        <x:v>2021A000260</x:v>
      </x:c>
      <x:c r="E86" t="str">
        <x:v>72202</x:v>
      </x:c>
      <x:c r="F86" t="str">
        <x:v>Power system electricians</x:v>
      </x:c>
      <x:c r="G86" t="str">
        <x:v>trade_power_line</x:v>
      </x:c>
      <x:c r="H86" t="str">
        <x:v>Employed</x:v>
      </x:c>
      <x:c r="I86" s="167" t="n">
        <x:v>15</x:v>
      </x:c>
      <x:c r="J86" t="str">
        <x:v>Persons</x:v>
      </x:c>
      <x:c r="K86" s="153" t="n">
        <x:v>44318</x:v>
      </x:c>
      <x:c r="L86" s="153" t="n">
        <x:v>44324</x:v>
      </x:c>
      <x:c r="M86" s="153" t="n">
        <x:v>44895</x:v>
      </x:c>
      <x:c r="N86" t="str">
        <x:v>observed</x:v>
      </x:c>
      <x:c r="O86" t="str">
        <x:v>STATCAN_CENSUS_OCCUPATION_98100449</x:v>
      </x:c>
      <x:c r="P86" t="str">
        <x:v>TR_STATCAN_CENSUS_WORKFORCE_CA_NOC_1_0_0</x:v>
      </x:c>
      <x:c r="Q86" t="str">
        <x:v>census_long_form_25pct_sample|random_rounding</x:v>
      </x:c>
      <x:c r="R86" t="str">
        <x:v>NO</x:v>
      </x:c>
      <x:c r="S86" t="str">
        <x:f>IF(OR(AND(I86&gt;0,R86="NO"),AND(I86=0,R86="YES")),"PASS","FAIL")</x:f>
        <x:v>PASS</x:v>
      </x:c>
    </x:row>
    <x:row r="87">
      <x:c r="A87" t="str">
        <x:v>OBS_CENSUS_WORKFORCE_E69FE4A76A020D617C38</x:v>
      </x:c>
      <x:c r="B87" t="str">
        <x:v>PR_60</x:v>
      </x:c>
      <x:c r="C87" t="str">
        <x:v>Yukon</x:v>
      </x:c>
      <x:c r="D87" t="str">
        <x:v>2021A000260</x:v>
      </x:c>
      <x:c r="E87" t="str">
        <x:v>72203</x:v>
      </x:c>
      <x:c r="F87" t="str">
        <x:v>Electrical power line and cable workers</x:v>
      </x:c>
      <x:c r="G87" t="str">
        <x:v>trade_power_line</x:v>
      </x:c>
      <x:c r="H87" t="str">
        <x:v>Employed</x:v>
      </x:c>
      <x:c r="I87" s="167" t="n">
        <x:v>20</x:v>
      </x:c>
      <x:c r="J87" t="str">
        <x:v>Persons</x:v>
      </x:c>
      <x:c r="K87" s="153" t="n">
        <x:v>44318</x:v>
      </x:c>
      <x:c r="L87" s="153" t="n">
        <x:v>44324</x:v>
      </x:c>
      <x:c r="M87" s="153" t="n">
        <x:v>44895</x:v>
      </x:c>
      <x:c r="N87" t="str">
        <x:v>observed</x:v>
      </x:c>
      <x:c r="O87" t="str">
        <x:v>STATCAN_CENSUS_OCCUPATION_98100449</x:v>
      </x:c>
      <x:c r="P87" t="str">
        <x:v>TR_STATCAN_CENSUS_WORKFORCE_CA_NOC_1_0_0</x:v>
      </x:c>
      <x:c r="Q87" t="str">
        <x:v>census_long_form_25pct_sample|random_rounding</x:v>
      </x:c>
      <x:c r="R87" t="str">
        <x:v>NO</x:v>
      </x:c>
      <x:c r="S87" t="str">
        <x:f>IF(OR(AND(I87&gt;0,R87="NO"),AND(I87=0,R87="YES")),"PASS","FAIL")</x:f>
        <x:v>PASS</x:v>
      </x:c>
    </x:row>
    <x:row r="88">
      <x:c r="A88" t="str">
        <x:v>OBS_CENSUS_WORKFORCE_80CBE30B6949E985834D</x:v>
      </x:c>
      <x:c r="B88" t="str">
        <x:v>PR_61</x:v>
      </x:c>
      <x:c r="C88" t="str">
        <x:v>Northwest Territories</x:v>
      </x:c>
      <x:c r="D88" t="str">
        <x:v>2021A000261</x:v>
      </x:c>
      <x:c r="E88" t="str">
        <x:v>73100</x:v>
      </x:c>
      <x:c r="F88" t="str">
        <x:v>Concrete finishers</x:v>
      </x:c>
      <x:c r="G88" t="str">
        <x:v>trade_concrete</x:v>
      </x:c>
      <x:c r="H88" t="str">
        <x:v>Employed</x:v>
      </x:c>
      <x:c r="I88" s="167" t="n">
        <x:v>0</x:v>
      </x:c>
      <x:c r="J88" t="str">
        <x:v>Persons</x:v>
      </x:c>
      <x:c r="K88" s="153" t="n">
        <x:v>44318</x:v>
      </x:c>
      <x:c r="L88" s="153" t="n">
        <x:v>44324</x:v>
      </x:c>
      <x:c r="M88" s="153" t="n">
        <x:v>44895</x:v>
      </x:c>
      <x:c r="N88" t="str">
        <x:v>observed</x:v>
      </x:c>
      <x:c r="O88" t="str">
        <x:v>STATCAN_CENSUS_OCCUPATION_98100449</x:v>
      </x:c>
      <x:c r="P88" t="str">
        <x:v>TR_STATCAN_CENSUS_WORKFORCE_CA_NOC_1_0_0</x:v>
      </x:c>
      <x:c r="Q88" t="str">
        <x:v>census_long_form_25pct_sample|random_rounding|wds_response_status_code:2|census_zero_filler</x:v>
      </x:c>
      <x:c r="R88" t="str">
        <x:v>YES</x:v>
      </x:c>
      <x:c r="S88" t="str">
        <x:f>IF(OR(AND(I88&gt;0,R88="NO"),AND(I88=0,R88="YES")),"PASS","FAIL")</x:f>
        <x:v>PASS</x:v>
      </x:c>
    </x:row>
    <x:row r="89">
      <x:c r="A89" t="str">
        <x:v>OBS_CENSUS_WORKFORCE_505F51C04BCE2006C067</x:v>
      </x:c>
      <x:c r="B89" t="str">
        <x:v>PR_61</x:v>
      </x:c>
      <x:c r="C89" t="str">
        <x:v>Northwest Territories</x:v>
      </x:c>
      <x:c r="D89" t="str">
        <x:v>2021A000261</x:v>
      </x:c>
      <x:c r="E89" t="str">
        <x:v>72200</x:v>
      </x:c>
      <x:c r="F89" t="str">
        <x:v>Electricians (except industrial and power system)</x:v>
      </x:c>
      <x:c r="G89" t="str">
        <x:v>trade_electricians</x:v>
      </x:c>
      <x:c r="H89" t="str">
        <x:v>Employed</x:v>
      </x:c>
      <x:c r="I89" s="167" t="n">
        <x:v>85</x:v>
      </x:c>
      <x:c r="J89" t="str">
        <x:v>Persons</x:v>
      </x:c>
      <x:c r="K89" s="153" t="n">
        <x:v>44318</x:v>
      </x:c>
      <x:c r="L89" s="153" t="n">
        <x:v>44324</x:v>
      </x:c>
      <x:c r="M89" s="153" t="n">
        <x:v>44895</x:v>
      </x:c>
      <x:c r="N89" t="str">
        <x:v>observed</x:v>
      </x:c>
      <x:c r="O89" t="str">
        <x:v>STATCAN_CENSUS_OCCUPATION_98100449</x:v>
      </x:c>
      <x:c r="P89" t="str">
        <x:v>TR_STATCAN_CENSUS_WORKFORCE_CA_NOC_1_0_0</x:v>
      </x:c>
      <x:c r="Q89" t="str">
        <x:v>census_long_form_25pct_sample|random_rounding</x:v>
      </x:c>
      <x:c r="R89" t="str">
        <x:v>NO</x:v>
      </x:c>
      <x:c r="S89" t="str">
        <x:f>IF(OR(AND(I89&gt;0,R89="NO"),AND(I89=0,R89="YES")),"PASS","FAIL")</x:f>
        <x:v>PASS</x:v>
      </x:c>
    </x:row>
    <x:row r="90">
      <x:c r="A90" t="str">
        <x:v>OBS_CENSUS_WORKFORCE_A337DCE36B2EF9688674</x:v>
      </x:c>
      <x:c r="B90" t="str">
        <x:v>PR_61</x:v>
      </x:c>
      <x:c r="C90" t="str">
        <x:v>Northwest Territories</x:v>
      </x:c>
      <x:c r="D90" t="str">
        <x:v>2021A000261</x:v>
      </x:c>
      <x:c r="E90" t="str">
        <x:v>72201</x:v>
      </x:c>
      <x:c r="F90" t="str">
        <x:v>Industrial electricians</x:v>
      </x:c>
      <x:c r="G90" t="str">
        <x:v>trade_electricians</x:v>
      </x:c>
      <x:c r="H90" t="str">
        <x:v>Employed</x:v>
      </x:c>
      <x:c r="I90" s="167" t="n">
        <x:v>20</x:v>
      </x:c>
      <x:c r="J90" t="str">
        <x:v>Persons</x:v>
      </x:c>
      <x:c r="K90" s="153" t="n">
        <x:v>44318</x:v>
      </x:c>
      <x:c r="L90" s="153" t="n">
        <x:v>44324</x:v>
      </x:c>
      <x:c r="M90" s="153" t="n">
        <x:v>44895</x:v>
      </x:c>
      <x:c r="N90" t="str">
        <x:v>observed</x:v>
      </x:c>
      <x:c r="O90" t="str">
        <x:v>STATCAN_CENSUS_OCCUPATION_98100449</x:v>
      </x:c>
      <x:c r="P90" t="str">
        <x:v>TR_STATCAN_CENSUS_WORKFORCE_CA_NOC_1_0_0</x:v>
      </x:c>
      <x:c r="Q90" t="str">
        <x:v>census_long_form_25pct_sample|random_rounding</x:v>
      </x:c>
      <x:c r="R90" t="str">
        <x:v>NO</x:v>
      </x:c>
      <x:c r="S90" t="str">
        <x:f>IF(OR(AND(I90&gt;0,R90="NO"),AND(I90=0,R90="YES")),"PASS","FAIL")</x:f>
        <x:v>PASS</x:v>
      </x:c>
    </x:row>
    <x:row r="91">
      <x:c r="A91" t="str">
        <x:v>OBS_CENSUS_WORKFORCE_107C4D8952FC79CA6AF4</x:v>
      </x:c>
      <x:c r="B91" t="str">
        <x:v>PR_61</x:v>
      </x:c>
      <x:c r="C91" t="str">
        <x:v>Northwest Territories</x:v>
      </x:c>
      <x:c r="D91" t="str">
        <x:v>2021A000261</x:v>
      </x:c>
      <x:c r="E91" t="str">
        <x:v>72402</x:v>
      </x:c>
      <x:c r="F91" t="str">
        <x:v>Heating, refrigeration and air conditioning mechanics</x:v>
      </x:c>
      <x:c r="G91" t="str">
        <x:v>trade_hvac</x:v>
      </x:c>
      <x:c r="H91" t="str">
        <x:v>Employed</x:v>
      </x:c>
      <x:c r="I91" s="167" t="n">
        <x:v>10</x:v>
      </x:c>
      <x:c r="J91" t="str">
        <x:v>Persons</x:v>
      </x:c>
      <x:c r="K91" s="153" t="n">
        <x:v>44318</x:v>
      </x:c>
      <x:c r="L91" s="153" t="n">
        <x:v>44324</x:v>
      </x:c>
      <x:c r="M91" s="153" t="n">
        <x:v>44895</x:v>
      </x:c>
      <x:c r="N91" t="str">
        <x:v>observed</x:v>
      </x:c>
      <x:c r="O91" t="str">
        <x:v>STATCAN_CENSUS_OCCUPATION_98100449</x:v>
      </x:c>
      <x:c r="P91" t="str">
        <x:v>TR_STATCAN_CENSUS_WORKFORCE_CA_NOC_1_0_0</x:v>
      </x:c>
      <x:c r="Q91" t="str">
        <x:v>census_long_form_25pct_sample|random_rounding</x:v>
      </x:c>
      <x:c r="R91" t="str">
        <x:v>NO</x:v>
      </x:c>
      <x:c r="S91" t="str">
        <x:f>IF(OR(AND(I91&gt;0,R91="NO"),AND(I91=0,R91="YES")),"PASS","FAIL")</x:f>
        <x:v>PASS</x:v>
      </x:c>
    </x:row>
    <x:row r="92">
      <x:c r="A92" t="str">
        <x:v>OBS_CENSUS_WORKFORCE_C8E865C3DCC6E9EC6379</x:v>
      </x:c>
      <x:c r="B92" t="str">
        <x:v>PR_61</x:v>
      </x:c>
      <x:c r="C92" t="str">
        <x:v>Northwest Territories</x:v>
      </x:c>
      <x:c r="D92" t="str">
        <x:v>2021A000261</x:v>
      </x:c>
      <x:c r="E92" t="str">
        <x:v>72202</x:v>
      </x:c>
      <x:c r="F92" t="str">
        <x:v>Power system electricians</x:v>
      </x:c>
      <x:c r="G92" t="str">
        <x:v>trade_power_line</x:v>
      </x:c>
      <x:c r="H92" t="str">
        <x:v>Employed</x:v>
      </x:c>
      <x:c r="I92" s="167" t="n">
        <x:v>20</x:v>
      </x:c>
      <x:c r="J92" t="str">
        <x:v>Persons</x:v>
      </x:c>
      <x:c r="K92" s="153" t="n">
        <x:v>44318</x:v>
      </x:c>
      <x:c r="L92" s="153" t="n">
        <x:v>44324</x:v>
      </x:c>
      <x:c r="M92" s="153" t="n">
        <x:v>44895</x:v>
      </x:c>
      <x:c r="N92" t="str">
        <x:v>observed</x:v>
      </x:c>
      <x:c r="O92" t="str">
        <x:v>STATCAN_CENSUS_OCCUPATION_98100449</x:v>
      </x:c>
      <x:c r="P92" t="str">
        <x:v>TR_STATCAN_CENSUS_WORKFORCE_CA_NOC_1_0_0</x:v>
      </x:c>
      <x:c r="Q92" t="str">
        <x:v>census_long_form_25pct_sample|random_rounding</x:v>
      </x:c>
      <x:c r="R92" t="str">
        <x:v>NO</x:v>
      </x:c>
      <x:c r="S92" t="str">
        <x:f>IF(OR(AND(I92&gt;0,R92="NO"),AND(I92=0,R92="YES")),"PASS","FAIL")</x:f>
        <x:v>PASS</x:v>
      </x:c>
    </x:row>
    <x:row r="93">
      <x:c r="A93" t="str">
        <x:v>OBS_CENSUS_WORKFORCE_E178F18CBF2B7BEE3289</x:v>
      </x:c>
      <x:c r="B93" t="str">
        <x:v>PR_61</x:v>
      </x:c>
      <x:c r="C93" t="str">
        <x:v>Northwest Territories</x:v>
      </x:c>
      <x:c r="D93" t="str">
        <x:v>2021A000261</x:v>
      </x:c>
      <x:c r="E93" t="str">
        <x:v>72203</x:v>
      </x:c>
      <x:c r="F93" t="str">
        <x:v>Electrical power line and cable workers</x:v>
      </x:c>
      <x:c r="G93" t="str">
        <x:v>trade_power_line</x:v>
      </x:c>
      <x:c r="H93" t="str">
        <x:v>Employed</x:v>
      </x:c>
      <x:c r="I93" s="167" t="n">
        <x:v>25</x:v>
      </x:c>
      <x:c r="J93" t="str">
        <x:v>Persons</x:v>
      </x:c>
      <x:c r="K93" s="153" t="n">
        <x:v>44318</x:v>
      </x:c>
      <x:c r="L93" s="153" t="n">
        <x:v>44324</x:v>
      </x:c>
      <x:c r="M93" s="153" t="n">
        <x:v>44895</x:v>
      </x:c>
      <x:c r="N93" t="str">
        <x:v>observed</x:v>
      </x:c>
      <x:c r="O93" t="str">
        <x:v>STATCAN_CENSUS_OCCUPATION_98100449</x:v>
      </x:c>
      <x:c r="P93" t="str">
        <x:v>TR_STATCAN_CENSUS_WORKFORCE_CA_NOC_1_0_0</x:v>
      </x:c>
      <x:c r="Q93" t="str">
        <x:v>census_long_form_25pct_sample|random_rounding</x:v>
      </x:c>
      <x:c r="R93" t="str">
        <x:v>NO</x:v>
      </x:c>
      <x:c r="S93" t="str">
        <x:f>IF(OR(AND(I93&gt;0,R93="NO"),AND(I93=0,R93="YES")),"PASS","FAIL")</x:f>
        <x:v>PASS</x:v>
      </x:c>
    </x:row>
    <x:row r="94">
      <x:c r="A94" t="str">
        <x:v>OBS_CENSUS_WORKFORCE_F32EFB5904BAC228009C</x:v>
      </x:c>
      <x:c r="B94" t="str">
        <x:v>PR_62</x:v>
      </x:c>
      <x:c r="C94" t="str">
        <x:v>Nunavut</x:v>
      </x:c>
      <x:c r="D94" t="str">
        <x:v>2021A000262</x:v>
      </x:c>
      <x:c r="E94" t="str">
        <x:v>73100</x:v>
      </x:c>
      <x:c r="F94" t="str">
        <x:v>Concrete finishers</x:v>
      </x:c>
      <x:c r="G94" t="str">
        <x:v>trade_concrete</x:v>
      </x:c>
      <x:c r="H94" t="str">
        <x:v>Employed</x:v>
      </x:c>
      <x:c r="I94" s="167" t="n">
        <x:v>0</x:v>
      </x:c>
      <x:c r="J94" t="str">
        <x:v>Persons</x:v>
      </x:c>
      <x:c r="K94" s="153" t="n">
        <x:v>44318</x:v>
      </x:c>
      <x:c r="L94" s="153" t="n">
        <x:v>44324</x:v>
      </x:c>
      <x:c r="M94" s="153" t="n">
        <x:v>44895</x:v>
      </x:c>
      <x:c r="N94" t="str">
        <x:v>observed</x:v>
      </x:c>
      <x:c r="O94" t="str">
        <x:v>STATCAN_CENSUS_OCCUPATION_98100449</x:v>
      </x:c>
      <x:c r="P94" t="str">
        <x:v>TR_STATCAN_CENSUS_WORKFORCE_CA_NOC_1_0_0</x:v>
      </x:c>
      <x:c r="Q94" t="str">
        <x:v>census_long_form_25pct_sample|random_rounding|wds_response_status_code:2|census_zero_filler</x:v>
      </x:c>
      <x:c r="R94" t="str">
        <x:v>YES</x:v>
      </x:c>
      <x:c r="S94" t="str">
        <x:f>IF(OR(AND(I94&gt;0,R94="NO"),AND(I94=0,R94="YES")),"PASS","FAIL")</x:f>
        <x:v>PASS</x:v>
      </x:c>
    </x:row>
    <x:row r="95">
      <x:c r="A95" t="str">
        <x:v>OBS_CENSUS_WORKFORCE_7BC981FDF24DC217B085</x:v>
      </x:c>
      <x:c r="B95" t="str">
        <x:v>PR_62</x:v>
      </x:c>
      <x:c r="C95" t="str">
        <x:v>Nunavut</x:v>
      </x:c>
      <x:c r="D95" t="str">
        <x:v>2021A000262</x:v>
      </x:c>
      <x:c r="E95" t="str">
        <x:v>72200</x:v>
      </x:c>
      <x:c r="F95" t="str">
        <x:v>Electricians (except industrial and power system)</x:v>
      </x:c>
      <x:c r="G95" t="str">
        <x:v>trade_electricians</x:v>
      </x:c>
      <x:c r="H95" t="str">
        <x:v>Employed</x:v>
      </x:c>
      <x:c r="I95" s="167" t="n">
        <x:v>35</x:v>
      </x:c>
      <x:c r="J95" t="str">
        <x:v>Persons</x:v>
      </x:c>
      <x:c r="K95" s="153" t="n">
        <x:v>44318</x:v>
      </x:c>
      <x:c r="L95" s="153" t="n">
        <x:v>44324</x:v>
      </x:c>
      <x:c r="M95" s="153" t="n">
        <x:v>44895</x:v>
      </x:c>
      <x:c r="N95" t="str">
        <x:v>observed</x:v>
      </x:c>
      <x:c r="O95" t="str">
        <x:v>STATCAN_CENSUS_OCCUPATION_98100449</x:v>
      </x:c>
      <x:c r="P95" t="str">
        <x:v>TR_STATCAN_CENSUS_WORKFORCE_CA_NOC_1_0_0</x:v>
      </x:c>
      <x:c r="Q95" t="str">
        <x:v>census_long_form_25pct_sample|random_rounding</x:v>
      </x:c>
      <x:c r="R95" t="str">
        <x:v>NO</x:v>
      </x:c>
      <x:c r="S95" t="str">
        <x:f>IF(OR(AND(I95&gt;0,R95="NO"),AND(I95=0,R95="YES")),"PASS","FAIL")</x:f>
        <x:v>PASS</x:v>
      </x:c>
    </x:row>
    <x:row r="96">
      <x:c r="A96" t="str">
        <x:v>OBS_CENSUS_WORKFORCE_7555EEEE97B4A36A4922</x:v>
      </x:c>
      <x:c r="B96" t="str">
        <x:v>PR_62</x:v>
      </x:c>
      <x:c r="C96" t="str">
        <x:v>Nunavut</x:v>
      </x:c>
      <x:c r="D96" t="str">
        <x:v>2021A000262</x:v>
      </x:c>
      <x:c r="E96" t="str">
        <x:v>72201</x:v>
      </x:c>
      <x:c r="F96" t="str">
        <x:v>Industrial electricians</x:v>
      </x:c>
      <x:c r="G96" t="str">
        <x:v>trade_electricians</x:v>
      </x:c>
      <x:c r="H96" t="str">
        <x:v>Employed</x:v>
      </x:c>
      <x:c r="I96" s="167" t="n">
        <x:v>0</x:v>
      </x:c>
      <x:c r="J96" t="str">
        <x:v>Persons</x:v>
      </x:c>
      <x:c r="K96" s="153" t="n">
        <x:v>44318</x:v>
      </x:c>
      <x:c r="L96" s="153" t="n">
        <x:v>44324</x:v>
      </x:c>
      <x:c r="M96" s="153" t="n">
        <x:v>44895</x:v>
      </x:c>
      <x:c r="N96" t="str">
        <x:v>observed</x:v>
      </x:c>
      <x:c r="O96" t="str">
        <x:v>STATCAN_CENSUS_OCCUPATION_98100449</x:v>
      </x:c>
      <x:c r="P96" t="str">
        <x:v>TR_STATCAN_CENSUS_WORKFORCE_CA_NOC_1_0_0</x:v>
      </x:c>
      <x:c r="Q96" t="str">
        <x:v>census_long_form_25pct_sample|random_rounding|wds_response_status_code:2|census_zero_filler</x:v>
      </x:c>
      <x:c r="R96" t="str">
        <x:v>YES</x:v>
      </x:c>
      <x:c r="S96" t="str">
        <x:f>IF(OR(AND(I96&gt;0,R96="NO"),AND(I96=0,R96="YES")),"PASS","FAIL")</x:f>
        <x:v>PASS</x:v>
      </x:c>
    </x:row>
    <x:row r="97">
      <x:c r="A97" t="str">
        <x:v>OBS_CENSUS_WORKFORCE_94C6D0007056EA2F0F72</x:v>
      </x:c>
      <x:c r="B97" t="str">
        <x:v>PR_62</x:v>
      </x:c>
      <x:c r="C97" t="str">
        <x:v>Nunavut</x:v>
      </x:c>
      <x:c r="D97" t="str">
        <x:v>2021A000262</x:v>
      </x:c>
      <x:c r="E97" t="str">
        <x:v>72402</x:v>
      </x:c>
      <x:c r="F97" t="str">
        <x:v>Heating, refrigeration and air conditioning mechanics</x:v>
      </x:c>
      <x:c r="G97" t="str">
        <x:v>trade_hvac</x:v>
      </x:c>
      <x:c r="H97" t="str">
        <x:v>Employed</x:v>
      </x:c>
      <x:c r="I97" s="167" t="n">
        <x:v>0</x:v>
      </x:c>
      <x:c r="J97" t="str">
        <x:v>Persons</x:v>
      </x:c>
      <x:c r="K97" s="153" t="n">
        <x:v>44318</x:v>
      </x:c>
      <x:c r="L97" s="153" t="n">
        <x:v>44324</x:v>
      </x:c>
      <x:c r="M97" s="153" t="n">
        <x:v>44895</x:v>
      </x:c>
      <x:c r="N97" t="str">
        <x:v>observed</x:v>
      </x:c>
      <x:c r="O97" t="str">
        <x:v>STATCAN_CENSUS_OCCUPATION_98100449</x:v>
      </x:c>
      <x:c r="P97" t="str">
        <x:v>TR_STATCAN_CENSUS_WORKFORCE_CA_NOC_1_0_0</x:v>
      </x:c>
      <x:c r="Q97" t="str">
        <x:v>census_long_form_25pct_sample|random_rounding|wds_response_status_code:2|census_zero_filler</x:v>
      </x:c>
      <x:c r="R97" t="str">
        <x:v>YES</x:v>
      </x:c>
      <x:c r="S97" t="str">
        <x:f>IF(OR(AND(I97&gt;0,R97="NO"),AND(I97=0,R97="YES")),"PASS","FAIL")</x:f>
        <x:v>PASS</x:v>
      </x:c>
    </x:row>
    <x:row r="98">
      <x:c r="A98" t="str">
        <x:v>OBS_CENSUS_WORKFORCE_D2F9D1EE73541EF00DD1</x:v>
      </x:c>
      <x:c r="B98" t="str">
        <x:v>PR_62</x:v>
      </x:c>
      <x:c r="C98" t="str">
        <x:v>Nunavut</x:v>
      </x:c>
      <x:c r="D98" t="str">
        <x:v>2021A000262</x:v>
      </x:c>
      <x:c r="E98" t="str">
        <x:v>72202</x:v>
      </x:c>
      <x:c r="F98" t="str">
        <x:v>Power system electricians</x:v>
      </x:c>
      <x:c r="G98" t="str">
        <x:v>trade_power_line</x:v>
      </x:c>
      <x:c r="H98" t="str">
        <x:v>Employed</x:v>
      </x:c>
      <x:c r="I98" s="167" t="n">
        <x:v>10</x:v>
      </x:c>
      <x:c r="J98" t="str">
        <x:v>Persons</x:v>
      </x:c>
      <x:c r="K98" s="153" t="n">
        <x:v>44318</x:v>
      </x:c>
      <x:c r="L98" s="153" t="n">
        <x:v>44324</x:v>
      </x:c>
      <x:c r="M98" s="153" t="n">
        <x:v>44895</x:v>
      </x:c>
      <x:c r="N98" t="str">
        <x:v>observed</x:v>
      </x:c>
      <x:c r="O98" t="str">
        <x:v>STATCAN_CENSUS_OCCUPATION_98100449</x:v>
      </x:c>
      <x:c r="P98" t="str">
        <x:v>TR_STATCAN_CENSUS_WORKFORCE_CA_NOC_1_0_0</x:v>
      </x:c>
      <x:c r="Q98" t="str">
        <x:v>census_long_form_25pct_sample|random_rounding</x:v>
      </x:c>
      <x:c r="R98" t="str">
        <x:v>NO</x:v>
      </x:c>
      <x:c r="S98" t="str">
        <x:f>IF(OR(AND(I98&gt;0,R98="NO"),AND(I98=0,R98="YES")),"PASS","FAIL")</x:f>
        <x:v>PASS</x:v>
      </x:c>
    </x:row>
    <x:row r="99">
      <x:c r="A99" t="str">
        <x:v>OBS_CENSUS_WORKFORCE_2F8EBA9BF356A11C0D35</x:v>
      </x:c>
      <x:c r="B99" t="str">
        <x:v>PR_62</x:v>
      </x:c>
      <x:c r="C99" t="str">
        <x:v>Nunavut</x:v>
      </x:c>
      <x:c r="D99" t="str">
        <x:v>2021A000262</x:v>
      </x:c>
      <x:c r="E99" t="str">
        <x:v>72203</x:v>
      </x:c>
      <x:c r="F99" t="str">
        <x:v>Electrical power line and cable workers</x:v>
      </x:c>
      <x:c r="G99" t="str">
        <x:v>trade_power_line</x:v>
      </x:c>
      <x:c r="H99" t="str">
        <x:v>Employed</x:v>
      </x:c>
      <x:c r="I99" s="167" t="n">
        <x:v>10</x:v>
      </x:c>
      <x:c r="J99" t="str">
        <x:v>Persons</x:v>
      </x:c>
      <x:c r="K99" s="153" t="n">
        <x:v>44318</x:v>
      </x:c>
      <x:c r="L99" s="153" t="n">
        <x:v>44324</x:v>
      </x:c>
      <x:c r="M99" s="153" t="n">
        <x:v>44895</x:v>
      </x:c>
      <x:c r="N99" t="str">
        <x:v>observed</x:v>
      </x:c>
      <x:c r="O99" t="str">
        <x:v>STATCAN_CENSUS_OCCUPATION_98100449</x:v>
      </x:c>
      <x:c r="P99" t="str">
        <x:v>TR_STATCAN_CENSUS_WORKFORCE_CA_NOC_1_0_0</x:v>
      </x:c>
      <x:c r="Q99" t="str">
        <x:v>census_long_form_25pct_sample|random_rounding</x:v>
      </x:c>
      <x:c r="R99" t="str">
        <x:v>NO</x:v>
      </x:c>
      <x:c r="S99" t="str">
        <x:f>IF(OR(AND(I99&gt;0,R99="NO"),AND(I99=0,R99="YES")),"PASS","FAIL")</x:f>
        <x:v>PASS</x:v>
      </x:c>
    </x:row>
  </x:sheetData>
  <x:mergeCells>
    <x:mergeCell ref="A1:S2"/>
    <x:mergeCell ref="A3:S3"/>
    <x:mergeCell ref="A20:S20"/>
  </x:mergeCells>
  <x:conditionalFormatting sqref="J5:J17">
    <x:cfRule type="containsText" dxfId="6" priority="1" operator="containsText" text="PASS"/>
    <x:cfRule type="containsText" dxfId="7" priority="2" operator="containsText" text="FAIL"/>
  </x:conditionalFormatting>
  <x:conditionalFormatting sqref="S22:S99">
    <x:cfRule type="containsText" dxfId="8" priority="3" operator="containsText" text="PASS"/>
    <x:cfRule type="containsText" dxfId="9" priority="4" operator="containsText" text="FAIL"/>
  </x:conditionalFormatting>
  <x:pageMargins left="0.7" right="0.7" top="0.75" bottom="0.75" header="0.3" footer="0.3"/>
  <x:tableParts count="2">
    <x:tablePart xmlns:r="http://schemas.openxmlformats.org/officeDocument/2006/relationships" r:id="Rf664e1ca14964b4e"/>
    <x:tablePart xmlns:r="http://schemas.openxmlformats.org/officeDocument/2006/relationships" r:id="R6509c25dfb0c40c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0" hidden="0" customWidth="1"/>
    <x:col min="4" max="4" width="47" hidden="0" customWidth="1"/>
    <x:col min="5" max="5" width="24" hidden="0" customWidth="1"/>
    <x:col min="6" max="6" width="18" hidden="0" customWidth="1"/>
    <x:col min="7" max="7" width="17" hidden="0" customWidth="1"/>
    <x:col min="8" max="8" width="18" hidden="0" customWidth="1"/>
    <x:col min="9" max="9" width="18" hidden="0" customWidth="1"/>
    <x:col min="10" max="10" width="18" hidden="0" customWidth="1"/>
    <x:col min="11" max="11" width="18" hidden="0" customWidth="1"/>
    <x:col min="12" max="12" width="25" hidden="0" customWidth="1"/>
    <x:col min="13" max="13" width="17" hidden="0" customWidth="1"/>
    <x:col min="14" max="14" width="15" hidden="0" customWidth="1"/>
  </x:cols>
  <x:sheetData>
    <x:row r="1" ht="28" customHeight="1">
      <x:c r="A1" s="61" t="str">
        <x:v>Cross-vintage labour recruitment screen</x:v>
      </x:c>
      <x:c r="B1" s="61"/>
      <x:c r="C1" s="61"/>
      <x:c r="D1" s="61"/>
      <x:c r="E1" s="61"/>
      <x:c r="F1" s="61"/>
      <x:c r="G1" s="61"/>
      <x:c r="H1" s="61"/>
      <x:c r="I1" s="61"/>
      <x:c r="J1" s="61"/>
      <x:c r="K1" s="61"/>
      <x:c r="L1" s="61"/>
      <x:c r="M1" s="61"/>
      <x:c r="N1" s="61"/>
    </x:row>
    <x:row r="2" ht="28" customHeight="1">
      <x:c r="A2" s="61"/>
      <x:c r="B2" s="61"/>
      <x:c r="C2" s="61"/>
      <x:c r="D2" s="61"/>
      <x:c r="E2" s="61"/>
      <x:c r="F2" s="61"/>
      <x:c r="G2" s="61"/>
      <x:c r="H2" s="61"/>
      <x:c r="I2" s="61"/>
      <x:c r="J2" s="61"/>
      <x:c r="K2" s="61"/>
      <x:c r="L2" s="61"/>
      <x:c r="M2" s="61"/>
      <x:c r="N2" s="61"/>
    </x:row>
    <x:row r="3" ht="21" customHeight="1">
      <x:c r="A3" s="62" t="str">
        <x:v>Current JVWS vacancies (2026-03-31) per 1,000 employed persons in the 2021 Census · inferred screening metric</x:v>
      </x:c>
      <x:c r="B3" s="62"/>
      <x:c r="C3" s="62"/>
      <x:c r="D3" s="62"/>
      <x:c r="E3" s="62"/>
      <x:c r="F3" s="62"/>
      <x:c r="G3" s="62"/>
      <x:c r="H3" s="62"/>
      <x:c r="I3" s="62"/>
      <x:c r="J3" s="62"/>
      <x:c r="K3" s="62"/>
      <x:c r="L3" s="62"/>
      <x:c r="M3" s="62"/>
      <x:c r="N3" s="62"/>
    </x:row>
    <x:row r="4" ht="28" customHeight="1">
      <x:c r="A4" s="44" t="str">
        <x:v>Alberta model trade</x:v>
      </x:c>
      <x:c r="B4" s="84" t="str">
        <x:v>Current vacancies</x:v>
      </x:c>
      <x:c r="C4" s="84" t="str">
        <x:v>2021 employed stock</x:v>
      </x:c>
      <x:c r="D4" s="84" t="str">
        <x:v>Per 1,000</x:v>
      </x:c>
      <x:c r="E4" s="84" t="str">
        <x:v>Complete cells</x:v>
      </x:c>
      <x:c r="F4" s="84" t="str">
        <x:v>Availability</x:v>
      </x:c>
      <x:c r="G4" s="45" t="str">
        <x:v>Evidence status</x:v>
      </x:c>
      <x:c r="H4" s="63"/>
      <x:c r="I4" s="63"/>
      <x:c r="J4" s="63"/>
      <x:c r="K4" s="63"/>
      <x:c r="L4" s="63"/>
      <x:c r="M4" s="63"/>
      <x:c r="N4" s="63"/>
    </x:row>
    <x:row r="5">
      <x:c r="A5" s="63" t="str">
        <x:v>HVAC</x:v>
      </x:c>
      <x:c r="B5" s="168" t="n">
        <x:v>230</x:v>
      </x:c>
      <x:c r="C5" s="168" t="n">
        <x:v>3095</x:v>
      </x:c>
      <x:c r="D5" s="147" t="n">
        <x:v>74.31</x:v>
      </x:c>
      <x:c r="E5" s="63" t="str">
        <x:v>1 of 1</x:v>
      </x:c>
      <x:c r="F5" s="63" t="str">
        <x:v>Available</x:v>
      </x:c>
      <x:c r="G5" s="63" t="str">
        <x:v>inferred</x:v>
      </x:c>
      <x:c r="H5" s="63"/>
      <x:c r="I5" s="63"/>
      <x:c r="J5" s="63"/>
      <x:c r="K5" s="63"/>
      <x:c r="L5" s="63"/>
      <x:c r="M5" s="63"/>
      <x:c r="N5" s="63"/>
    </x:row>
    <x:row r="6">
      <x:c r="A6" s="63" t="str">
        <x:v>Electricians</x:v>
      </x:c>
      <x:c r="B6" s="168" t="n">
        <x:v>540</x:v>
      </x:c>
      <x:c r="C6" s="168" t="n">
        <x:v>17550</x:v>
      </x:c>
      <x:c r="D6" s="147" t="n">
        <x:v>30.77</x:v>
      </x:c>
      <x:c r="E6" s="63" t="str">
        <x:v>2 of 2</x:v>
      </x:c>
      <x:c r="F6" s="63" t="str">
        <x:v>Available</x:v>
      </x:c>
      <x:c r="G6" s="63" t="str">
        <x:v>inferred</x:v>
      </x:c>
      <x:c r="H6" s="63"/>
      <x:c r="I6" s="63"/>
      <x:c r="J6" s="63"/>
      <x:c r="K6" s="63"/>
      <x:c r="L6" s="63"/>
      <x:c r="M6" s="63"/>
      <x:c r="N6" s="63"/>
    </x:row>
    <x:row r="7">
      <x:c r="A7" s="63" t="str">
        <x:v>Concrete</x:v>
      </x:c>
      <x:c r="B7" s="168"/>
      <x:c r="C7" s="168"/>
      <x:c r="D7" s="147"/>
      <x:c r="E7" s="63" t="str">
        <x:v>0 of 1</x:v>
      </x:c>
      <x:c r="F7" s="63" t="str">
        <x:v>Incomplete Components</x:v>
      </x:c>
      <x:c r="G7" s="63" t="str">
        <x:v>inferred</x:v>
      </x:c>
      <x:c r="H7" s="63"/>
      <x:c r="I7" s="63"/>
      <x:c r="J7" s="63"/>
      <x:c r="K7" s="63"/>
      <x:c r="L7" s="63"/>
      <x:c r="M7" s="63"/>
      <x:c r="N7" s="63"/>
    </x:row>
    <x:row r="8">
      <x:c r="A8" s="63" t="str">
        <x:v>Power line</x:v>
      </x:c>
      <x:c r="B8" s="168"/>
      <x:c r="C8" s="168"/>
      <x:c r="D8" s="147"/>
      <x:c r="E8" s="63" t="str">
        <x:v>0 of 2</x:v>
      </x:c>
      <x:c r="F8" s="63" t="str">
        <x:v>Incomplete Components</x:v>
      </x:c>
      <x:c r="G8" s="63" t="str">
        <x:v>inferred</x:v>
      </x:c>
      <x:c r="H8" s="63"/>
      <x:c r="I8" s="63"/>
      <x:c r="J8" s="63"/>
      <x:c r="K8" s="63"/>
      <x:c r="L8" s="63"/>
      <x:c r="M8" s="63"/>
      <x:c r="N8" s="63"/>
    </x:row>
    <x:row r="9">
      <x:c r="A9" s="63"/>
      <x:c r="B9" s="63"/>
      <x:c r="C9" s="63"/>
      <x:c r="D9" s="63"/>
      <x:c r="E9" s="63"/>
      <x:c r="F9" s="63"/>
      <x:c r="G9" s="63"/>
      <x:c r="H9" s="63"/>
      <x:c r="I9" s="63"/>
      <x:c r="J9" s="63"/>
      <x:c r="K9" s="63"/>
      <x:c r="L9" s="63"/>
      <x:c r="M9" s="63"/>
      <x:c r="N9" s="63"/>
    </x:row>
    <x:row r="10" ht="70" customHeight="1">
      <x:c r="A10" s="175" t="str">
        <x:v>A screening diagnostic for recruitment pressure. It is not the Statistics Canada job vacancy rate, not a current workforce denominator and not a measure of spare capacity. The numerator and denominator come from different surveys and reference periods. The 2021 Census reference week occurred during the COVID-19 pandemic's third wave. Census counts use the 25% long-form sample and random rounding. A trade-node ranking is published only when every component NOC has a published vacancy and a positive workforce denominator. The diagnostic does not calibrate graph-edge effect sizes or estimate project delay.</x:v>
      </x:c>
      <x:c r="B10" s="176"/>
      <x:c r="C10" s="176"/>
      <x:c r="D10" s="176"/>
      <x:c r="E10" s="176"/>
      <x:c r="F10" s="176"/>
      <x:c r="G10" s="176"/>
      <x:c r="H10" s="176"/>
      <x:c r="I10" s="176"/>
      <x:c r="J10" s="176"/>
      <x:c r="K10" s="176"/>
      <x:c r="L10" s="176"/>
      <x:c r="M10" s="176"/>
      <x:c r="N10" s="177"/>
    </x:row>
    <x:row r="11">
      <x:c r="A11" s="63"/>
      <x:c r="B11" s="63"/>
      <x:c r="C11" s="63"/>
      <x:c r="D11" s="63"/>
      <x:c r="E11" s="63"/>
      <x:c r="F11" s="63"/>
      <x:c r="G11" s="63"/>
      <x:c r="H11" s="63"/>
      <x:c r="I11" s="63"/>
      <x:c r="J11" s="63"/>
      <x:c r="K11" s="63"/>
      <x:c r="L11" s="63"/>
      <x:c r="M11" s="63"/>
      <x:c r="N11" s="63"/>
    </x:row>
    <x:row r="12" ht="28" customHeight="1">
      <x:c r="A12" s="44" t="str">
        <x:v>Geography ID</x:v>
      </x:c>
      <x:c r="B12" s="84" t="str">
        <x:v>Province / territory</x:v>
      </x:c>
      <x:c r="C12" s="84" t="str">
        <x:v>NOC</x:v>
      </x:c>
      <x:c r="D12" s="84" t="str">
        <x:v>Occupation</x:v>
      </x:c>
      <x:c r="E12" s="84" t="str">
        <x:v>Model trade node</x:v>
      </x:c>
      <x:c r="F12" s="84" t="str">
        <x:v>Current vacancies</x:v>
      </x:c>
      <x:c r="G12" s="84" t="str">
        <x:v>Vacancy period end</x:v>
      </x:c>
      <x:c r="H12" s="84" t="str">
        <x:v>2021 employed stock</x:v>
      </x:c>
      <x:c r="I12" s="84" t="str">
        <x:v>Workforce period end</x:v>
      </x:c>
      <x:c r="J12" s="84" t="str">
        <x:v>Workbook per 1,000</x:v>
      </x:c>
      <x:c r="K12" s="84" t="str">
        <x:v>Published per 1,000</x:v>
      </x:c>
      <x:c r="L12" s="84" t="str">
        <x:v>Availability</x:v>
      </x:c>
      <x:c r="M12" s="84" t="str">
        <x:v>Evidence status</x:v>
      </x:c>
      <x:c r="N12" s="45" t="str">
        <x:v>Formula check</x:v>
      </x:c>
    </x:row>
    <x:row r="13">
      <x:c r="A13" s="63" t="str">
        <x:v>PR_10</x:v>
      </x:c>
      <x:c r="B13" s="63" t="str">
        <x:v>Newfoundland and Labrador</x:v>
      </x:c>
      <x:c r="C13" s="63" t="str">
        <x:v>73100</x:v>
      </x:c>
      <x:c r="D13" s="63" t="str">
        <x:v>Concrete finishers</x:v>
      </x:c>
      <x:c r="E13" s="63" t="str">
        <x:v>trade_concrete</x:v>
      </x:c>
      <x:c r="F13" s="168"/>
      <x:c r="G13" s="155" t="n">
        <x:v>46112</x:v>
      </x:c>
      <x:c r="H13" s="168" t="n">
        <x:v>70</x:v>
      </x:c>
      <x:c r="I13" s="155" t="n">
        <x:v>44324</x:v>
      </x:c>
      <x:c r="J13" s="147" t="str">
        <x:f>IF(OR(F13="",H13&lt;=0),"",ROUND(F13/H13*1000,2))</x:f>
      </x:c>
      <x:c r="K13" s="147"/>
      <x:c r="L13" s="63" t="str">
        <x:v>Vacancy Not Published</x:v>
      </x:c>
      <x:c r="M13" s="63" t="str">
        <x:v>observed</x:v>
      </x:c>
      <x:c r="N13" s="63" t="str">
        <x:f>IF(K13="",IF(J13="","PASS","FAIL"),IF(ABS(J13-K13)&lt;0.01,"PASS","FAIL"))</x:f>
        <x:v>PASS</x:v>
      </x:c>
    </x:row>
    <x:row r="14">
      <x:c r="A14" s="63" t="str">
        <x:v>PR_10</x:v>
      </x:c>
      <x:c r="B14" s="63" t="str">
        <x:v>Newfoundland and Labrador</x:v>
      </x:c>
      <x:c r="C14" s="63" t="str">
        <x:v>72200</x:v>
      </x:c>
      <x:c r="D14" s="63" t="str">
        <x:v>Electricians (except industrial and power system)</x:v>
      </x:c>
      <x:c r="E14" s="63" t="str">
        <x:v>trade_electricians</x:v>
      </x:c>
      <x:c r="F14" s="168"/>
      <x:c r="G14" s="155" t="n">
        <x:v>46112</x:v>
      </x:c>
      <x:c r="H14" s="168" t="n">
        <x:v>1150</x:v>
      </x:c>
      <x:c r="I14" s="155" t="n">
        <x:v>44324</x:v>
      </x:c>
      <x:c r="J14" s="147" t="str">
        <x:f>IF(OR(F14="",H14&lt;=0),"",ROUND(F14/H14*1000,2))</x:f>
      </x:c>
      <x:c r="K14" s="147"/>
      <x:c r="L14" s="63" t="str">
        <x:v>Vacancy Not Published</x:v>
      </x:c>
      <x:c r="M14" s="63" t="str">
        <x:v>observed</x:v>
      </x:c>
      <x:c r="N14" s="63" t="str">
        <x:f>IF(K14="",IF(J14="","PASS","FAIL"),IF(ABS(J14-K14)&lt;0.01,"PASS","FAIL"))</x:f>
        <x:v>PASS</x:v>
      </x:c>
    </x:row>
    <x:row r="15">
      <x:c r="A15" s="63" t="str">
        <x:v>PR_10</x:v>
      </x:c>
      <x:c r="B15" s="63" t="str">
        <x:v>Newfoundland and Labrador</x:v>
      </x:c>
      <x:c r="C15" s="63" t="str">
        <x:v>72201</x:v>
      </x:c>
      <x:c r="D15" s="63" t="str">
        <x:v>Industrial electricians</x:v>
      </x:c>
      <x:c r="E15" s="63" t="str">
        <x:v>trade_electricians</x:v>
      </x:c>
      <x:c r="F15" s="168" t="n">
        <x:v>15</x:v>
      </x:c>
      <x:c r="G15" s="155" t="n">
        <x:v>46112</x:v>
      </x:c>
      <x:c r="H15" s="168" t="n">
        <x:v>500</x:v>
      </x:c>
      <x:c r="I15" s="155" t="n">
        <x:v>44324</x:v>
      </x:c>
      <x:c r="J15" s="147" t="n">
        <x:f>IF(OR(F15="",H15&lt;=0),"",ROUND(F15/H15*1000,2))</x:f>
        <x:v>30</x:v>
      </x:c>
      <x:c r="K15" s="147" t="n">
        <x:v>30</x:v>
      </x:c>
      <x:c r="L15" s="63" t="str">
        <x:v>Available</x:v>
      </x:c>
      <x:c r="M15" s="63" t="str">
        <x:v>inferred</x:v>
      </x:c>
      <x:c r="N15" s="63" t="str">
        <x:f>IF(K15="",IF(J15="","PASS","FAIL"),IF(ABS(J15-K15)&lt;0.01,"PASS","FAIL"))</x:f>
        <x:v>PASS</x:v>
      </x:c>
    </x:row>
    <x:row r="16">
      <x:c r="A16" s="63" t="str">
        <x:v>PR_10</x:v>
      </x:c>
      <x:c r="B16" s="63" t="str">
        <x:v>Newfoundland and Labrador</x:v>
      </x:c>
      <x:c r="C16" s="63" t="str">
        <x:v>72402</x:v>
      </x:c>
      <x:c r="D16" s="63" t="str">
        <x:v>Heating, refrigeration and air conditioning mechanics</x:v>
      </x:c>
      <x:c r="E16" s="63" t="str">
        <x:v>trade_hvac</x:v>
      </x:c>
      <x:c r="F16" s="168"/>
      <x:c r="G16" s="155" t="n">
        <x:v>46112</x:v>
      </x:c>
      <x:c r="H16" s="168" t="n">
        <x:v>190</x:v>
      </x:c>
      <x:c r="I16" s="155" t="n">
        <x:v>44324</x:v>
      </x:c>
      <x:c r="J16" s="147" t="str">
        <x:f>IF(OR(F16="",H16&lt;=0),"",ROUND(F16/H16*1000,2))</x:f>
      </x:c>
      <x:c r="K16" s="147"/>
      <x:c r="L16" s="63" t="str">
        <x:v>Vacancy Not Published</x:v>
      </x:c>
      <x:c r="M16" s="63" t="str">
        <x:v>observed</x:v>
      </x:c>
      <x:c r="N16" s="63" t="str">
        <x:f>IF(K16="",IF(J16="","PASS","FAIL"),IF(ABS(J16-K16)&lt;0.01,"PASS","FAIL"))</x:f>
        <x:v>PASS</x:v>
      </x:c>
    </x:row>
    <x:row r="17">
      <x:c r="A17" s="63" t="str">
        <x:v>PR_10</x:v>
      </x:c>
      <x:c r="B17" s="63" t="str">
        <x:v>Newfoundland and Labrador</x:v>
      </x:c>
      <x:c r="C17" s="63" t="str">
        <x:v>72202</x:v>
      </x:c>
      <x:c r="D17" s="63" t="str">
        <x:v>Power system electricians</x:v>
      </x:c>
      <x:c r="E17" s="63" t="str">
        <x:v>trade_power_line</x:v>
      </x:c>
      <x:c r="F17" s="168"/>
      <x:c r="G17" s="155" t="n">
        <x:v>46112</x:v>
      </x:c>
      <x:c r="H17" s="168" t="n">
        <x:v>120</x:v>
      </x:c>
      <x:c r="I17" s="155" t="n">
        <x:v>44324</x:v>
      </x:c>
      <x:c r="J17" s="147" t="str">
        <x:f>IF(OR(F17="",H17&lt;=0),"",ROUND(F17/H17*1000,2))</x:f>
      </x:c>
      <x:c r="K17" s="147"/>
      <x:c r="L17" s="63" t="str">
        <x:v>Vacancy Not Published</x:v>
      </x:c>
      <x:c r="M17" s="63" t="str">
        <x:v>observed</x:v>
      </x:c>
      <x:c r="N17" s="63" t="str">
        <x:f>IF(K17="",IF(J17="","PASS","FAIL"),IF(ABS(J17-K17)&lt;0.01,"PASS","FAIL"))</x:f>
        <x:v>PASS</x:v>
      </x:c>
    </x:row>
    <x:row r="18">
      <x:c r="A18" s="63" t="str">
        <x:v>PR_10</x:v>
      </x:c>
      <x:c r="B18" s="63" t="str">
        <x:v>Newfoundland and Labrador</x:v>
      </x:c>
      <x:c r="C18" s="63" t="str">
        <x:v>72203</x:v>
      </x:c>
      <x:c r="D18" s="63" t="str">
        <x:v>Electrical power line and cable workers</x:v>
      </x:c>
      <x:c r="E18" s="63" t="str">
        <x:v>trade_power_line</x:v>
      </x:c>
      <x:c r="F18" s="168"/>
      <x:c r="G18" s="155" t="n">
        <x:v>46112</x:v>
      </x:c>
      <x:c r="H18" s="168" t="n">
        <x:v>320</x:v>
      </x:c>
      <x:c r="I18" s="155" t="n">
        <x:v>44324</x:v>
      </x:c>
      <x:c r="J18" s="147" t="str">
        <x:f>IF(OR(F18="",H18&lt;=0),"",ROUND(F18/H18*1000,2))</x:f>
      </x:c>
      <x:c r="K18" s="147"/>
      <x:c r="L18" s="63" t="str">
        <x:v>Vacancy Not Published</x:v>
      </x:c>
      <x:c r="M18" s="63" t="str">
        <x:v>observed</x:v>
      </x:c>
      <x:c r="N18" s="63" t="str">
        <x:f>IF(K18="",IF(J18="","PASS","FAIL"),IF(ABS(J18-K18)&lt;0.01,"PASS","FAIL"))</x:f>
        <x:v>PASS</x:v>
      </x:c>
    </x:row>
    <x:row r="19">
      <x:c r="A19" s="63" t="str">
        <x:v>PR_11</x:v>
      </x:c>
      <x:c r="B19" s="63" t="str">
        <x:v>Prince Edward Island</x:v>
      </x:c>
      <x:c r="C19" s="63" t="str">
        <x:v>73100</x:v>
      </x:c>
      <x:c r="D19" s="63" t="str">
        <x:v>Concrete finishers</x:v>
      </x:c>
      <x:c r="E19" s="63" t="str">
        <x:v>trade_concrete</x:v>
      </x:c>
      <x:c r="F19" s="168"/>
      <x:c r="G19" s="155" t="n">
        <x:v>46112</x:v>
      </x:c>
      <x:c r="H19" s="168" t="n">
        <x:v>20</x:v>
      </x:c>
      <x:c r="I19" s="155" t="n">
        <x:v>44324</x:v>
      </x:c>
      <x:c r="J19" s="147" t="str">
        <x:f>IF(OR(F19="",H19&lt;=0),"",ROUND(F19/H19*1000,2))</x:f>
      </x:c>
      <x:c r="K19" s="147"/>
      <x:c r="L19" s="63" t="str">
        <x:v>Vacancy Not Published</x:v>
      </x:c>
      <x:c r="M19" s="63" t="str">
        <x:v>observed</x:v>
      </x:c>
      <x:c r="N19" s="63" t="str">
        <x:f>IF(K19="",IF(J19="","PASS","FAIL"),IF(ABS(J19-K19)&lt;0.01,"PASS","FAIL"))</x:f>
        <x:v>PASS</x:v>
      </x:c>
    </x:row>
    <x:row r="20">
      <x:c r="A20" s="63" t="str">
        <x:v>PR_11</x:v>
      </x:c>
      <x:c r="B20" s="63" t="str">
        <x:v>Prince Edward Island</x:v>
      </x:c>
      <x:c r="C20" s="63" t="str">
        <x:v>72200</x:v>
      </x:c>
      <x:c r="D20" s="63" t="str">
        <x:v>Electricians (except industrial and power system)</x:v>
      </x:c>
      <x:c r="E20" s="63" t="str">
        <x:v>trade_electricians</x:v>
      </x:c>
      <x:c r="F20" s="168"/>
      <x:c r="G20" s="155" t="n">
        <x:v>46112</x:v>
      </x:c>
      <x:c r="H20" s="168" t="n">
        <x:v>410</x:v>
      </x:c>
      <x:c r="I20" s="155" t="n">
        <x:v>44324</x:v>
      </x:c>
      <x:c r="J20" s="147" t="str">
        <x:f>IF(OR(F20="",H20&lt;=0),"",ROUND(F20/H20*1000,2))</x:f>
      </x:c>
      <x:c r="K20" s="147"/>
      <x:c r="L20" s="63" t="str">
        <x:v>Vacancy Not Published</x:v>
      </x:c>
      <x:c r="M20" s="63" t="str">
        <x:v>observed</x:v>
      </x:c>
      <x:c r="N20" s="63" t="str">
        <x:f>IF(K20="",IF(J20="","PASS","FAIL"),IF(ABS(J20-K20)&lt;0.01,"PASS","FAIL"))</x:f>
        <x:v>PASS</x:v>
      </x:c>
    </x:row>
    <x:row r="21">
      <x:c r="A21" s="63" t="str">
        <x:v>PR_11</x:v>
      </x:c>
      <x:c r="B21" s="63" t="str">
        <x:v>Prince Edward Island</x:v>
      </x:c>
      <x:c r="C21" s="63" t="str">
        <x:v>72201</x:v>
      </x:c>
      <x:c r="D21" s="63" t="str">
        <x:v>Industrial electricians</x:v>
      </x:c>
      <x:c r="E21" s="63" t="str">
        <x:v>trade_electricians</x:v>
      </x:c>
      <x:c r="F21" s="168"/>
      <x:c r="G21" s="155" t="n">
        <x:v>46112</x:v>
      </x:c>
      <x:c r="H21" s="168" t="n">
        <x:v>40</x:v>
      </x:c>
      <x:c r="I21" s="155" t="n">
        <x:v>44324</x:v>
      </x:c>
      <x:c r="J21" s="147" t="str">
        <x:f>IF(OR(F21="",H21&lt;=0),"",ROUND(F21/H21*1000,2))</x:f>
      </x:c>
      <x:c r="K21" s="147"/>
      <x:c r="L21" s="63" t="str">
        <x:v>Vacancy Not Published</x:v>
      </x:c>
      <x:c r="M21" s="63" t="str">
        <x:v>observed</x:v>
      </x:c>
      <x:c r="N21" s="63" t="str">
        <x:f>IF(K21="",IF(J21="","PASS","FAIL"),IF(ABS(J21-K21)&lt;0.01,"PASS","FAIL"))</x:f>
        <x:v>PASS</x:v>
      </x:c>
    </x:row>
    <x:row r="22">
      <x:c r="A22" s="63" t="str">
        <x:v>PR_11</x:v>
      </x:c>
      <x:c r="B22" s="63" t="str">
        <x:v>Prince Edward Island</x:v>
      </x:c>
      <x:c r="C22" s="63" t="str">
        <x:v>72402</x:v>
      </x:c>
      <x:c r="D22" s="63" t="str">
        <x:v>Heating, refrigeration and air conditioning mechanics</x:v>
      </x:c>
      <x:c r="E22" s="63" t="str">
        <x:v>trade_hvac</x:v>
      </x:c>
      <x:c r="F22" s="168"/>
      <x:c r="G22" s="155" t="n">
        <x:v>46112</x:v>
      </x:c>
      <x:c r="H22" s="168" t="n">
        <x:v>80</x:v>
      </x:c>
      <x:c r="I22" s="155" t="n">
        <x:v>44324</x:v>
      </x:c>
      <x:c r="J22" s="147" t="str">
        <x:f>IF(OR(F22="",H22&lt;=0),"",ROUND(F22/H22*1000,2))</x:f>
      </x:c>
      <x:c r="K22" s="147"/>
      <x:c r="L22" s="63" t="str">
        <x:v>Vacancy Not Published</x:v>
      </x:c>
      <x:c r="M22" s="63" t="str">
        <x:v>observed</x:v>
      </x:c>
      <x:c r="N22" s="63" t="str">
        <x:f>IF(K22="",IF(J22="","PASS","FAIL"),IF(ABS(J22-K22)&lt;0.01,"PASS","FAIL"))</x:f>
        <x:v>PASS</x:v>
      </x:c>
    </x:row>
    <x:row r="23">
      <x:c r="A23" s="63" t="str">
        <x:v>PR_11</x:v>
      </x:c>
      <x:c r="B23" s="63" t="str">
        <x:v>Prince Edward Island</x:v>
      </x:c>
      <x:c r="C23" s="63" t="str">
        <x:v>72202</x:v>
      </x:c>
      <x:c r="D23" s="63" t="str">
        <x:v>Power system electricians</x:v>
      </x:c>
      <x:c r="E23" s="63" t="str">
        <x:v>trade_power_line</x:v>
      </x:c>
      <x:c r="F23" s="168"/>
      <x:c r="G23" s="155" t="n">
        <x:v>46112</x:v>
      </x:c>
      <x:c r="H23" s="168" t="n">
        <x:v>0</x:v>
      </x:c>
      <x:c r="I23" s="155" t="n">
        <x:v>44324</x:v>
      </x:c>
      <x:c r="J23" s="147" t="str">
        <x:f>IF(OR(F23="",H23&lt;=0),"",ROUND(F23/H23*1000,2))</x:f>
      </x:c>
      <x:c r="K23" s="147"/>
      <x:c r="L23" s="63" t="str">
        <x:v>Vacancy Not Published And Workforce Denominator Zero</x:v>
      </x:c>
      <x:c r="M23" s="63" t="str">
        <x:v>observed</x:v>
      </x:c>
      <x:c r="N23" s="63" t="str">
        <x:f>IF(K23="",IF(J23="","PASS","FAIL"),IF(ABS(J23-K23)&lt;0.01,"PASS","FAIL"))</x:f>
        <x:v>PASS</x:v>
      </x:c>
    </x:row>
    <x:row r="24">
      <x:c r="A24" s="63" t="str">
        <x:v>PR_11</x:v>
      </x:c>
      <x:c r="B24" s="63" t="str">
        <x:v>Prince Edward Island</x:v>
      </x:c>
      <x:c r="C24" s="63" t="str">
        <x:v>72203</x:v>
      </x:c>
      <x:c r="D24" s="63" t="str">
        <x:v>Electrical power line and cable workers</x:v>
      </x:c>
      <x:c r="E24" s="63" t="str">
        <x:v>trade_power_line</x:v>
      </x:c>
      <x:c r="F24" s="168"/>
      <x:c r="G24" s="155" t="n">
        <x:v>46112</x:v>
      </x:c>
      <x:c r="H24" s="168" t="n">
        <x:v>65</x:v>
      </x:c>
      <x:c r="I24" s="155" t="n">
        <x:v>44324</x:v>
      </x:c>
      <x:c r="J24" s="147" t="str">
        <x:f>IF(OR(F24="",H24&lt;=0),"",ROUND(F24/H24*1000,2))</x:f>
      </x:c>
      <x:c r="K24" s="147"/>
      <x:c r="L24" s="63" t="str">
        <x:v>Vacancy Not Published</x:v>
      </x:c>
      <x:c r="M24" s="63" t="str">
        <x:v>observed</x:v>
      </x:c>
      <x:c r="N24" s="63" t="str">
        <x:f>IF(K24="",IF(J24="","PASS","FAIL"),IF(ABS(J24-K24)&lt;0.01,"PASS","FAIL"))</x:f>
        <x:v>PASS</x:v>
      </x:c>
    </x:row>
    <x:row r="25">
      <x:c r="A25" s="63" t="str">
        <x:v>PR_12</x:v>
      </x:c>
      <x:c r="B25" s="63" t="str">
        <x:v>Nova Scotia</x:v>
      </x:c>
      <x:c r="C25" s="63" t="str">
        <x:v>73100</x:v>
      </x:c>
      <x:c r="D25" s="63" t="str">
        <x:v>Concrete finishers</x:v>
      </x:c>
      <x:c r="E25" s="63" t="str">
        <x:v>trade_concrete</x:v>
      </x:c>
      <x:c r="F25" s="168"/>
      <x:c r="G25" s="155" t="n">
        <x:v>46112</x:v>
      </x:c>
      <x:c r="H25" s="168" t="n">
        <x:v>95</x:v>
      </x:c>
      <x:c r="I25" s="155" t="n">
        <x:v>44324</x:v>
      </x:c>
      <x:c r="J25" s="147" t="str">
        <x:f>IF(OR(F25="",H25&lt;=0),"",ROUND(F25/H25*1000,2))</x:f>
      </x:c>
      <x:c r="K25" s="147"/>
      <x:c r="L25" s="63" t="str">
        <x:v>Vacancy Not Published</x:v>
      </x:c>
      <x:c r="M25" s="63" t="str">
        <x:v>observed</x:v>
      </x:c>
      <x:c r="N25" s="63" t="str">
        <x:f>IF(K25="",IF(J25="","PASS","FAIL"),IF(ABS(J25-K25)&lt;0.01,"PASS","FAIL"))</x:f>
        <x:v>PASS</x:v>
      </x:c>
    </x:row>
    <x:row r="26">
      <x:c r="A26" s="63" t="str">
        <x:v>PR_12</x:v>
      </x:c>
      <x:c r="B26" s="63" t="str">
        <x:v>Nova Scotia</x:v>
      </x:c>
      <x:c r="C26" s="63" t="str">
        <x:v>72200</x:v>
      </x:c>
      <x:c r="D26" s="63" t="str">
        <x:v>Electricians (except industrial and power system)</x:v>
      </x:c>
      <x:c r="E26" s="63" t="str">
        <x:v>trade_electricians</x:v>
      </x:c>
      <x:c r="F26" s="168"/>
      <x:c r="G26" s="155" t="n">
        <x:v>46112</x:v>
      </x:c>
      <x:c r="H26" s="168" t="n">
        <x:v>2185</x:v>
      </x:c>
      <x:c r="I26" s="155" t="n">
        <x:v>44324</x:v>
      </x:c>
      <x:c r="J26" s="147" t="str">
        <x:f>IF(OR(F26="",H26&lt;=0),"",ROUND(F26/H26*1000,2))</x:f>
      </x:c>
      <x:c r="K26" s="147"/>
      <x:c r="L26" s="63" t="str">
        <x:v>Vacancy Not Published</x:v>
      </x:c>
      <x:c r="M26" s="63" t="str">
        <x:v>observed</x:v>
      </x:c>
      <x:c r="N26" s="63" t="str">
        <x:f>IF(K26="",IF(J26="","PASS","FAIL"),IF(ABS(J26-K26)&lt;0.01,"PASS","FAIL"))</x:f>
        <x:v>PASS</x:v>
      </x:c>
    </x:row>
    <x:row r="27">
      <x:c r="A27" s="63" t="str">
        <x:v>PR_12</x:v>
      </x:c>
      <x:c r="B27" s="63" t="str">
        <x:v>Nova Scotia</x:v>
      </x:c>
      <x:c r="C27" s="63" t="str">
        <x:v>72201</x:v>
      </x:c>
      <x:c r="D27" s="63" t="str">
        <x:v>Industrial electricians</x:v>
      </x:c>
      <x:c r="E27" s="63" t="str">
        <x:v>trade_electricians</x:v>
      </x:c>
      <x:c r="F27" s="168"/>
      <x:c r="G27" s="155" t="n">
        <x:v>46112</x:v>
      </x:c>
      <x:c r="H27" s="168" t="n">
        <x:v>610</x:v>
      </x:c>
      <x:c r="I27" s="155" t="n">
        <x:v>44324</x:v>
      </x:c>
      <x:c r="J27" s="147" t="str">
        <x:f>IF(OR(F27="",H27&lt;=0),"",ROUND(F27/H27*1000,2))</x:f>
      </x:c>
      <x:c r="K27" s="147"/>
      <x:c r="L27" s="63" t="str">
        <x:v>Vacancy Not Published</x:v>
      </x:c>
      <x:c r="M27" s="63" t="str">
        <x:v>observed</x:v>
      </x:c>
      <x:c r="N27" s="63" t="str">
        <x:f>IF(K27="",IF(J27="","PASS","FAIL"),IF(ABS(J27-K27)&lt;0.01,"PASS","FAIL"))</x:f>
        <x:v>PASS</x:v>
      </x:c>
    </x:row>
    <x:row r="28">
      <x:c r="A28" s="63" t="str">
        <x:v>PR_12</x:v>
      </x:c>
      <x:c r="B28" s="63" t="str">
        <x:v>Nova Scotia</x:v>
      </x:c>
      <x:c r="C28" s="63" t="str">
        <x:v>72402</x:v>
      </x:c>
      <x:c r="D28" s="63" t="str">
        <x:v>Heating, refrigeration and air conditioning mechanics</x:v>
      </x:c>
      <x:c r="E28" s="63" t="str">
        <x:v>trade_hvac</x:v>
      </x:c>
      <x:c r="F28" s="168"/>
      <x:c r="G28" s="155" t="n">
        <x:v>46112</x:v>
      </x:c>
      <x:c r="H28" s="168" t="n">
        <x:v>630</x:v>
      </x:c>
      <x:c r="I28" s="155" t="n">
        <x:v>44324</x:v>
      </x:c>
      <x:c r="J28" s="147" t="str">
        <x:f>IF(OR(F28="",H28&lt;=0),"",ROUND(F28/H28*1000,2))</x:f>
      </x:c>
      <x:c r="K28" s="147"/>
      <x:c r="L28" s="63" t="str">
        <x:v>Vacancy Not Published</x:v>
      </x:c>
      <x:c r="M28" s="63" t="str">
        <x:v>observed</x:v>
      </x:c>
      <x:c r="N28" s="63" t="str">
        <x:f>IF(K28="",IF(J28="","PASS","FAIL"),IF(ABS(J28-K28)&lt;0.01,"PASS","FAIL"))</x:f>
        <x:v>PASS</x:v>
      </x:c>
    </x:row>
    <x:row r="29">
      <x:c r="A29" t="str">
        <x:v>PR_12</x:v>
      </x:c>
      <x:c r="B29" t="str">
        <x:v>Nova Scotia</x:v>
      </x:c>
      <x:c r="C29" t="str">
        <x:v>72202</x:v>
      </x:c>
      <x:c r="D29" t="str">
        <x:v>Power system electricians</x:v>
      </x:c>
      <x:c r="E29" t="str">
        <x:v>trade_power_line</x:v>
      </x:c>
      <x:c r="F29" s="167"/>
      <x:c r="G29" s="153" t="n">
        <x:v>46112</x:v>
      </x:c>
      <x:c r="H29" s="167" t="n">
        <x:v>40</x:v>
      </x:c>
      <x:c r="I29" s="153" t="n">
        <x:v>44324</x:v>
      </x:c>
      <x:c r="J29" s="145" t="str">
        <x:f>IF(OR(F29="",H29&lt;=0),"",ROUND(F29/H29*1000,2))</x:f>
      </x:c>
      <x:c r="K29" s="145"/>
      <x:c r="L29" t="str">
        <x:v>Vacancy Not Published</x:v>
      </x:c>
      <x:c r="M29" t="str">
        <x:v>observed</x:v>
      </x:c>
      <x:c r="N29" t="str">
        <x:f>IF(K29="",IF(J29="","PASS","FAIL"),IF(ABS(J29-K29)&lt;0.01,"PASS","FAIL"))</x:f>
        <x:v>PASS</x:v>
      </x:c>
    </x:row>
    <x:row r="30">
      <x:c r="A30" t="str">
        <x:v>PR_12</x:v>
      </x:c>
      <x:c r="B30" t="str">
        <x:v>Nova Scotia</x:v>
      </x:c>
      <x:c r="C30" t="str">
        <x:v>72203</x:v>
      </x:c>
      <x:c r="D30" t="str">
        <x:v>Electrical power line and cable workers</x:v>
      </x:c>
      <x:c r="E30" t="str">
        <x:v>trade_power_line</x:v>
      </x:c>
      <x:c r="F30" s="167"/>
      <x:c r="G30" s="153" t="n">
        <x:v>46112</x:v>
      </x:c>
      <x:c r="H30" s="167" t="n">
        <x:v>305</x:v>
      </x:c>
      <x:c r="I30" s="153" t="n">
        <x:v>44324</x:v>
      </x:c>
      <x:c r="J30" s="145" t="str">
        <x:f>IF(OR(F30="",H30&lt;=0),"",ROUND(F30/H30*1000,2))</x:f>
      </x:c>
      <x:c r="K30" s="145"/>
      <x:c r="L30" t="str">
        <x:v>Vacancy Not Published</x:v>
      </x:c>
      <x:c r="M30" t="str">
        <x:v>observed</x:v>
      </x:c>
      <x:c r="N30" t="str">
        <x:f>IF(K30="",IF(J30="","PASS","FAIL"),IF(ABS(J30-K30)&lt;0.01,"PASS","FAIL"))</x:f>
        <x:v>PASS</x:v>
      </x:c>
    </x:row>
    <x:row r="31">
      <x:c r="A31" t="str">
        <x:v>PR_13</x:v>
      </x:c>
      <x:c r="B31" t="str">
        <x:v>New Brunswick</x:v>
      </x:c>
      <x:c r="C31" t="str">
        <x:v>73100</x:v>
      </x:c>
      <x:c r="D31" t="str">
        <x:v>Concrete finishers</x:v>
      </x:c>
      <x:c r="E31" t="str">
        <x:v>trade_concrete</x:v>
      </x:c>
      <x:c r="F31" s="167"/>
      <x:c r="G31" s="153" t="n">
        <x:v>46112</x:v>
      </x:c>
      <x:c r="H31" s="167" t="n">
        <x:v>75</x:v>
      </x:c>
      <x:c r="I31" s="153" t="n">
        <x:v>44324</x:v>
      </x:c>
      <x:c r="J31" s="145" t="str">
        <x:f>IF(OR(F31="",H31&lt;=0),"",ROUND(F31/H31*1000,2))</x:f>
      </x:c>
      <x:c r="K31" s="145"/>
      <x:c r="L31" t="str">
        <x:v>Vacancy Not Published</x:v>
      </x:c>
      <x:c r="M31" t="str">
        <x:v>observed</x:v>
      </x:c>
      <x:c r="N31" t="str">
        <x:f>IF(K31="",IF(J31="","PASS","FAIL"),IF(ABS(J31-K31)&lt;0.01,"PASS","FAIL"))</x:f>
        <x:v>PASS</x:v>
      </x:c>
    </x:row>
    <x:row r="32">
      <x:c r="A32" t="str">
        <x:v>PR_13</x:v>
      </x:c>
      <x:c r="B32" t="str">
        <x:v>New Brunswick</x:v>
      </x:c>
      <x:c r="C32" t="str">
        <x:v>72200</x:v>
      </x:c>
      <x:c r="D32" t="str">
        <x:v>Electricians (except industrial and power system)</x:v>
      </x:c>
      <x:c r="E32" t="str">
        <x:v>trade_electricians</x:v>
      </x:c>
      <x:c r="F32" s="167"/>
      <x:c r="G32" s="153" t="n">
        <x:v>46112</x:v>
      </x:c>
      <x:c r="H32" s="167" t="n">
        <x:v>1795</x:v>
      </x:c>
      <x:c r="I32" s="153" t="n">
        <x:v>44324</x:v>
      </x:c>
      <x:c r="J32" s="145" t="str">
        <x:f>IF(OR(F32="",H32&lt;=0),"",ROUND(F32/H32*1000,2))</x:f>
      </x:c>
      <x:c r="K32" s="145"/>
      <x:c r="L32" t="str">
        <x:v>Vacancy Not Published</x:v>
      </x:c>
      <x:c r="M32" t="str">
        <x:v>observed</x:v>
      </x:c>
      <x:c r="N32" t="str">
        <x:f>IF(K32="",IF(J32="","PASS","FAIL"),IF(ABS(J32-K32)&lt;0.01,"PASS","FAIL"))</x:f>
        <x:v>PASS</x:v>
      </x:c>
    </x:row>
    <x:row r="33">
      <x:c r="A33" t="str">
        <x:v>PR_13</x:v>
      </x:c>
      <x:c r="B33" t="str">
        <x:v>New Brunswick</x:v>
      </x:c>
      <x:c r="C33" t="str">
        <x:v>72201</x:v>
      </x:c>
      <x:c r="D33" t="str">
        <x:v>Industrial electricians</x:v>
      </x:c>
      <x:c r="E33" t="str">
        <x:v>trade_electricians</x:v>
      </x:c>
      <x:c r="F33" s="167" t="n">
        <x:v>15</x:v>
      </x:c>
      <x:c r="G33" s="153" t="n">
        <x:v>46112</x:v>
      </x:c>
      <x:c r="H33" s="167" t="n">
        <x:v>405</x:v>
      </x:c>
      <x:c r="I33" s="153" t="n">
        <x:v>44324</x:v>
      </x:c>
      <x:c r="J33" s="145" t="n">
        <x:f>IF(OR(F33="",H33&lt;=0),"",ROUND(F33/H33*1000,2))</x:f>
        <x:v>37.04</x:v>
      </x:c>
      <x:c r="K33" s="145" t="n">
        <x:v>37.04</x:v>
      </x:c>
      <x:c r="L33" t="str">
        <x:v>Available</x:v>
      </x:c>
      <x:c r="M33" t="str">
        <x:v>inferred</x:v>
      </x:c>
      <x:c r="N33" t="str">
        <x:f>IF(K33="",IF(J33="","PASS","FAIL"),IF(ABS(J33-K33)&lt;0.01,"PASS","FAIL"))</x:f>
        <x:v>PASS</x:v>
      </x:c>
    </x:row>
    <x:row r="34">
      <x:c r="A34" t="str">
        <x:v>PR_13</x:v>
      </x:c>
      <x:c r="B34" t="str">
        <x:v>New Brunswick</x:v>
      </x:c>
      <x:c r="C34" t="str">
        <x:v>72402</x:v>
      </x:c>
      <x:c r="D34" t="str">
        <x:v>Heating, refrigeration and air conditioning mechanics</x:v>
      </x:c>
      <x:c r="E34" t="str">
        <x:v>trade_hvac</x:v>
      </x:c>
      <x:c r="F34" s="167"/>
      <x:c r="G34" s="153" t="n">
        <x:v>46112</x:v>
      </x:c>
      <x:c r="H34" s="167" t="n">
        <x:v>445</x:v>
      </x:c>
      <x:c r="I34" s="153" t="n">
        <x:v>44324</x:v>
      </x:c>
      <x:c r="J34" s="145" t="str">
        <x:f>IF(OR(F34="",H34&lt;=0),"",ROUND(F34/H34*1000,2))</x:f>
      </x:c>
      <x:c r="K34" s="145"/>
      <x:c r="L34" t="str">
        <x:v>Vacancy Not Published</x:v>
      </x:c>
      <x:c r="M34" t="str">
        <x:v>observed</x:v>
      </x:c>
      <x:c r="N34" t="str">
        <x:f>IF(K34="",IF(J34="","PASS","FAIL"),IF(ABS(J34-K34)&lt;0.01,"PASS","FAIL"))</x:f>
        <x:v>PASS</x:v>
      </x:c>
    </x:row>
    <x:row r="35">
      <x:c r="A35" t="str">
        <x:v>PR_13</x:v>
      </x:c>
      <x:c r="B35" t="str">
        <x:v>New Brunswick</x:v>
      </x:c>
      <x:c r="C35" t="str">
        <x:v>72202</x:v>
      </x:c>
      <x:c r="D35" t="str">
        <x:v>Power system electricians</x:v>
      </x:c>
      <x:c r="E35" t="str">
        <x:v>trade_power_line</x:v>
      </x:c>
      <x:c r="F35" s="167"/>
      <x:c r="G35" s="153" t="n">
        <x:v>46112</x:v>
      </x:c>
      <x:c r="H35" s="167" t="n">
        <x:v>105</x:v>
      </x:c>
      <x:c r="I35" s="153" t="n">
        <x:v>44324</x:v>
      </x:c>
      <x:c r="J35" s="145" t="str">
        <x:f>IF(OR(F35="",H35&lt;=0),"",ROUND(F35/H35*1000,2))</x:f>
      </x:c>
      <x:c r="K35" s="145"/>
      <x:c r="L35" t="str">
        <x:v>Vacancy Not Published</x:v>
      </x:c>
      <x:c r="M35" t="str">
        <x:v>observed</x:v>
      </x:c>
      <x:c r="N35" t="str">
        <x:f>IF(K35="",IF(J35="","PASS","FAIL"),IF(ABS(J35-K35)&lt;0.01,"PASS","FAIL"))</x:f>
        <x:v>PASS</x:v>
      </x:c>
    </x:row>
    <x:row r="36">
      <x:c r="A36" t="str">
        <x:v>PR_13</x:v>
      </x:c>
      <x:c r="B36" t="str">
        <x:v>New Brunswick</x:v>
      </x:c>
      <x:c r="C36" t="str">
        <x:v>72203</x:v>
      </x:c>
      <x:c r="D36" t="str">
        <x:v>Electrical power line and cable workers</x:v>
      </x:c>
      <x:c r="E36" t="str">
        <x:v>trade_power_line</x:v>
      </x:c>
      <x:c r="F36" s="167"/>
      <x:c r="G36" s="153" t="n">
        <x:v>46112</x:v>
      </x:c>
      <x:c r="H36" s="167" t="n">
        <x:v>410</x:v>
      </x:c>
      <x:c r="I36" s="153" t="n">
        <x:v>44324</x:v>
      </x:c>
      <x:c r="J36" s="145" t="str">
        <x:f>IF(OR(F36="",H36&lt;=0),"",ROUND(F36/H36*1000,2))</x:f>
      </x:c>
      <x:c r="K36" s="145"/>
      <x:c r="L36" t="str">
        <x:v>Vacancy Not Published</x:v>
      </x:c>
      <x:c r="M36" t="str">
        <x:v>observed</x:v>
      </x:c>
      <x:c r="N36" t="str">
        <x:f>IF(K36="",IF(J36="","PASS","FAIL"),IF(ABS(J36-K36)&lt;0.01,"PASS","FAIL"))</x:f>
        <x:v>PASS</x:v>
      </x:c>
    </x:row>
    <x:row r="37">
      <x:c r="A37" t="str">
        <x:v>PR_24</x:v>
      </x:c>
      <x:c r="B37" t="str">
        <x:v>Quebec</x:v>
      </x:c>
      <x:c r="C37" t="str">
        <x:v>73100</x:v>
      </x:c>
      <x:c r="D37" t="str">
        <x:v>Concrete finishers</x:v>
      </x:c>
      <x:c r="E37" t="str">
        <x:v>trade_concrete</x:v>
      </x:c>
      <x:c r="F37" s="167"/>
      <x:c r="G37" s="153" t="n">
        <x:v>46112</x:v>
      </x:c>
      <x:c r="H37" s="167" t="n">
        <x:v>2505</x:v>
      </x:c>
      <x:c r="I37" s="153" t="n">
        <x:v>44324</x:v>
      </x:c>
      <x:c r="J37" s="145" t="str">
        <x:f>IF(OR(F37="",H37&lt;=0),"",ROUND(F37/H37*1000,2))</x:f>
      </x:c>
      <x:c r="K37" s="145"/>
      <x:c r="L37" t="str">
        <x:v>Vacancy Not Published</x:v>
      </x:c>
      <x:c r="M37" t="str">
        <x:v>observed</x:v>
      </x:c>
      <x:c r="N37" t="str">
        <x:f>IF(K37="",IF(J37="","PASS","FAIL"),IF(ABS(J37-K37)&lt;0.01,"PASS","FAIL"))</x:f>
        <x:v>PASS</x:v>
      </x:c>
    </x:row>
    <x:row r="38">
      <x:c r="A38" t="str">
        <x:v>PR_24</x:v>
      </x:c>
      <x:c r="B38" t="str">
        <x:v>Quebec</x:v>
      </x:c>
      <x:c r="C38" t="str">
        <x:v>72200</x:v>
      </x:c>
      <x:c r="D38" t="str">
        <x:v>Electricians (except industrial and power system)</x:v>
      </x:c>
      <x:c r="E38" t="str">
        <x:v>trade_electricians</x:v>
      </x:c>
      <x:c r="F38" s="167" t="n">
        <x:v>645</x:v>
      </x:c>
      <x:c r="G38" s="153" t="n">
        <x:v>46112</x:v>
      </x:c>
      <x:c r="H38" s="167" t="n">
        <x:v>18140</x:v>
      </x:c>
      <x:c r="I38" s="153" t="n">
        <x:v>44324</x:v>
      </x:c>
      <x:c r="J38" s="145" t="n">
        <x:f>IF(OR(F38="",H38&lt;=0),"",ROUND(F38/H38*1000,2))</x:f>
        <x:v>35.56</x:v>
      </x:c>
      <x:c r="K38" s="145" t="n">
        <x:v>35.56</x:v>
      </x:c>
      <x:c r="L38" t="str">
        <x:v>Available</x:v>
      </x:c>
      <x:c r="M38" t="str">
        <x:v>inferred</x:v>
      </x:c>
      <x:c r="N38" t="str">
        <x:f>IF(K38="",IF(J38="","PASS","FAIL"),IF(ABS(J38-K38)&lt;0.01,"PASS","FAIL"))</x:f>
        <x:v>PASS</x:v>
      </x:c>
    </x:row>
    <x:row r="39">
      <x:c r="A39" t="str">
        <x:v>PR_24</x:v>
      </x:c>
      <x:c r="B39" t="str">
        <x:v>Quebec</x:v>
      </x:c>
      <x:c r="C39" t="str">
        <x:v>72201</x:v>
      </x:c>
      <x:c r="D39" t="str">
        <x:v>Industrial electricians</x:v>
      </x:c>
      <x:c r="E39" t="str">
        <x:v>trade_electricians</x:v>
      </x:c>
      <x:c r="F39" s="167" t="n">
        <x:v>100</x:v>
      </x:c>
      <x:c r="G39" s="153" t="n">
        <x:v>46112</x:v>
      </x:c>
      <x:c r="H39" s="167" t="n">
        <x:v>2315</x:v>
      </x:c>
      <x:c r="I39" s="153" t="n">
        <x:v>44324</x:v>
      </x:c>
      <x:c r="J39" s="145" t="n">
        <x:f>IF(OR(F39="",H39&lt;=0),"",ROUND(F39/H39*1000,2))</x:f>
        <x:v>43.2</x:v>
      </x:c>
      <x:c r="K39" s="145" t="n">
        <x:v>43.2</x:v>
      </x:c>
      <x:c r="L39" t="str">
        <x:v>Available</x:v>
      </x:c>
      <x:c r="M39" t="str">
        <x:v>inferred</x:v>
      </x:c>
      <x:c r="N39" t="str">
        <x:f>IF(K39="",IF(J39="","PASS","FAIL"),IF(ABS(J39-K39)&lt;0.01,"PASS","FAIL"))</x:f>
        <x:v>PASS</x:v>
      </x:c>
    </x:row>
    <x:row r="40">
      <x:c r="A40" t="str">
        <x:v>PR_24</x:v>
      </x:c>
      <x:c r="B40" t="str">
        <x:v>Quebec</x:v>
      </x:c>
      <x:c r="C40" t="str">
        <x:v>72402</x:v>
      </x:c>
      <x:c r="D40" t="str">
        <x:v>Heating, refrigeration and air conditioning mechanics</x:v>
      </x:c>
      <x:c r="E40" t="str">
        <x:v>trade_hvac</x:v>
      </x:c>
      <x:c r="F40" s="167" t="n">
        <x:v>145</x:v>
      </x:c>
      <x:c r="G40" s="153" t="n">
        <x:v>46112</x:v>
      </x:c>
      <x:c r="H40" s="167" t="n">
        <x:v>5455</x:v>
      </x:c>
      <x:c r="I40" s="153" t="n">
        <x:v>44324</x:v>
      </x:c>
      <x:c r="J40" s="145" t="n">
        <x:f>IF(OR(F40="",H40&lt;=0),"",ROUND(F40/H40*1000,2))</x:f>
        <x:v>26.58</x:v>
      </x:c>
      <x:c r="K40" s="145" t="n">
        <x:v>26.58</x:v>
      </x:c>
      <x:c r="L40" t="str">
        <x:v>Available</x:v>
      </x:c>
      <x:c r="M40" t="str">
        <x:v>inferred</x:v>
      </x:c>
      <x:c r="N40" t="str">
        <x:f>IF(K40="",IF(J40="","PASS","FAIL"),IF(ABS(J40-K40)&lt;0.01,"PASS","FAIL"))</x:f>
        <x:v>PASS</x:v>
      </x:c>
    </x:row>
    <x:row r="41">
      <x:c r="A41" t="str">
        <x:v>PR_24</x:v>
      </x:c>
      <x:c r="B41" t="str">
        <x:v>Quebec</x:v>
      </x:c>
      <x:c r="C41" t="str">
        <x:v>72202</x:v>
      </x:c>
      <x:c r="D41" t="str">
        <x:v>Power system electricians</x:v>
      </x:c>
      <x:c r="E41" t="str">
        <x:v>trade_power_line</x:v>
      </x:c>
      <x:c r="F41" s="167" t="n">
        <x:v>170</x:v>
      </x:c>
      <x:c r="G41" s="153" t="n">
        <x:v>46112</x:v>
      </x:c>
      <x:c r="H41" s="167" t="n">
        <x:v>1115</x:v>
      </x:c>
      <x:c r="I41" s="153" t="n">
        <x:v>44324</x:v>
      </x:c>
      <x:c r="J41" s="145" t="n">
        <x:f>IF(OR(F41="",H41&lt;=0),"",ROUND(F41/H41*1000,2))</x:f>
        <x:v>152.47</x:v>
      </x:c>
      <x:c r="K41" s="145" t="n">
        <x:v>152.47</x:v>
      </x:c>
      <x:c r="L41" t="str">
        <x:v>Available</x:v>
      </x:c>
      <x:c r="M41" t="str">
        <x:v>inferred</x:v>
      </x:c>
      <x:c r="N41" t="str">
        <x:f>IF(K41="",IF(J41="","PASS","FAIL"),IF(ABS(J41-K41)&lt;0.01,"PASS","FAIL"))</x:f>
        <x:v>PASS</x:v>
      </x:c>
    </x:row>
    <x:row r="42">
      <x:c r="A42" t="str">
        <x:v>PR_24</x:v>
      </x:c>
      <x:c r="B42" t="str">
        <x:v>Quebec</x:v>
      </x:c>
      <x:c r="C42" t="str">
        <x:v>72203</x:v>
      </x:c>
      <x:c r="D42" t="str">
        <x:v>Electrical power line and cable workers</x:v>
      </x:c>
      <x:c r="E42" t="str">
        <x:v>trade_power_line</x:v>
      </x:c>
      <x:c r="F42" s="167" t="n">
        <x:v>40</x:v>
      </x:c>
      <x:c r="G42" s="153" t="n">
        <x:v>46112</x:v>
      </x:c>
      <x:c r="H42" s="167" t="n">
        <x:v>2870</x:v>
      </x:c>
      <x:c r="I42" s="153" t="n">
        <x:v>44324</x:v>
      </x:c>
      <x:c r="J42" s="145" t="n">
        <x:f>IF(OR(F42="",H42&lt;=0),"",ROUND(F42/H42*1000,2))</x:f>
        <x:v>13.94</x:v>
      </x:c>
      <x:c r="K42" s="145" t="n">
        <x:v>13.94</x:v>
      </x:c>
      <x:c r="L42" t="str">
        <x:v>Available</x:v>
      </x:c>
      <x:c r="M42" t="str">
        <x:v>inferred</x:v>
      </x:c>
      <x:c r="N42" t="str">
        <x:f>IF(K42="",IF(J42="","PASS","FAIL"),IF(ABS(J42-K42)&lt;0.01,"PASS","FAIL"))</x:f>
        <x:v>PASS</x:v>
      </x:c>
    </x:row>
    <x:row r="43">
      <x:c r="A43" t="str">
        <x:v>PR_35</x:v>
      </x:c>
      <x:c r="B43" t="str">
        <x:v>Ontario</x:v>
      </x:c>
      <x:c r="C43" t="str">
        <x:v>73100</x:v>
      </x:c>
      <x:c r="D43" t="str">
        <x:v>Concrete finishers</x:v>
      </x:c>
      <x:c r="E43" t="str">
        <x:v>trade_concrete</x:v>
      </x:c>
      <x:c r="F43" s="167"/>
      <x:c r="G43" s="153" t="n">
        <x:v>46112</x:v>
      </x:c>
      <x:c r="H43" s="167" t="n">
        <x:v>2610</x:v>
      </x:c>
      <x:c r="I43" s="153" t="n">
        <x:v>44324</x:v>
      </x:c>
      <x:c r="J43" s="145" t="str">
        <x:f>IF(OR(F43="",H43&lt;=0),"",ROUND(F43/H43*1000,2))</x:f>
      </x:c>
      <x:c r="K43" s="145"/>
      <x:c r="L43" t="str">
        <x:v>Vacancy Not Published</x:v>
      </x:c>
      <x:c r="M43" t="str">
        <x:v>observed</x:v>
      </x:c>
      <x:c r="N43" t="str">
        <x:f>IF(K43="",IF(J43="","PASS","FAIL"),IF(ABS(J43-K43)&lt;0.01,"PASS","FAIL"))</x:f>
        <x:v>PASS</x:v>
      </x:c>
    </x:row>
    <x:row r="44">
      <x:c r="A44" t="str">
        <x:v>PR_35</x:v>
      </x:c>
      <x:c r="B44" t="str">
        <x:v>Ontario</x:v>
      </x:c>
      <x:c r="C44" t="str">
        <x:v>72200</x:v>
      </x:c>
      <x:c r="D44" t="str">
        <x:v>Electricians (except industrial and power system)</x:v>
      </x:c>
      <x:c r="E44" t="str">
        <x:v>trade_electricians</x:v>
      </x:c>
      <x:c r="F44" s="167" t="n">
        <x:v>730</x:v>
      </x:c>
      <x:c r="G44" s="153" t="n">
        <x:v>46112</x:v>
      </x:c>
      <x:c r="H44" s="167" t="n">
        <x:v>30645</x:v>
      </x:c>
      <x:c r="I44" s="153" t="n">
        <x:v>44324</x:v>
      </x:c>
      <x:c r="J44" s="145" t="n">
        <x:f>IF(OR(F44="",H44&lt;=0),"",ROUND(F44/H44*1000,2))</x:f>
        <x:v>23.82</x:v>
      </x:c>
      <x:c r="K44" s="145" t="n">
        <x:v>23.82</x:v>
      </x:c>
      <x:c r="L44" t="str">
        <x:v>Available</x:v>
      </x:c>
      <x:c r="M44" t="str">
        <x:v>inferred</x:v>
      </x:c>
      <x:c r="N44" t="str">
        <x:f>IF(K44="",IF(J44="","PASS","FAIL"),IF(ABS(J44-K44)&lt;0.01,"PASS","FAIL"))</x:f>
        <x:v>PASS</x:v>
      </x:c>
    </x:row>
    <x:row r="45">
      <x:c r="A45" t="str">
        <x:v>PR_35</x:v>
      </x:c>
      <x:c r="B45" t="str">
        <x:v>Ontario</x:v>
      </x:c>
      <x:c r="C45" t="str">
        <x:v>72201</x:v>
      </x:c>
      <x:c r="D45" t="str">
        <x:v>Industrial electricians</x:v>
      </x:c>
      <x:c r="E45" t="str">
        <x:v>trade_electricians</x:v>
      </x:c>
      <x:c r="F45" s="167" t="n">
        <x:v>290</x:v>
      </x:c>
      <x:c r="G45" s="153" t="n">
        <x:v>46112</x:v>
      </x:c>
      <x:c r="H45" s="167" t="n">
        <x:v>7635</x:v>
      </x:c>
      <x:c r="I45" s="153" t="n">
        <x:v>44324</x:v>
      </x:c>
      <x:c r="J45" s="145" t="n">
        <x:f>IF(OR(F45="",H45&lt;=0),"",ROUND(F45/H45*1000,2))</x:f>
        <x:v>37.98</x:v>
      </x:c>
      <x:c r="K45" s="145" t="n">
        <x:v>37.98</x:v>
      </x:c>
      <x:c r="L45" t="str">
        <x:v>Available</x:v>
      </x:c>
      <x:c r="M45" t="str">
        <x:v>inferred</x:v>
      </x:c>
      <x:c r="N45" t="str">
        <x:f>IF(K45="",IF(J45="","PASS","FAIL"),IF(ABS(J45-K45)&lt;0.01,"PASS","FAIL"))</x:f>
        <x:v>PASS</x:v>
      </x:c>
    </x:row>
    <x:row r="46">
      <x:c r="A46" t="str">
        <x:v>PR_35</x:v>
      </x:c>
      <x:c r="B46" t="str">
        <x:v>Ontario</x:v>
      </x:c>
      <x:c r="C46" t="str">
        <x:v>72402</x:v>
      </x:c>
      <x:c r="D46" t="str">
        <x:v>Heating, refrigeration and air conditioning mechanics</x:v>
      </x:c>
      <x:c r="E46" t="str">
        <x:v>trade_hvac</x:v>
      </x:c>
      <x:c r="F46" s="167" t="n">
        <x:v>270</x:v>
      </x:c>
      <x:c r="G46" s="153" t="n">
        <x:v>46112</x:v>
      </x:c>
      <x:c r="H46" s="167" t="n">
        <x:v>14260</x:v>
      </x:c>
      <x:c r="I46" s="153" t="n">
        <x:v>44324</x:v>
      </x:c>
      <x:c r="J46" s="145" t="n">
        <x:f>IF(OR(F46="",H46&lt;=0),"",ROUND(F46/H46*1000,2))</x:f>
        <x:v>18.93</x:v>
      </x:c>
      <x:c r="K46" s="145" t="n">
        <x:v>18.93</x:v>
      </x:c>
      <x:c r="L46" t="str">
        <x:v>Available</x:v>
      </x:c>
      <x:c r="M46" t="str">
        <x:v>inferred</x:v>
      </x:c>
      <x:c r="N46" t="str">
        <x:f>IF(K46="",IF(J46="","PASS","FAIL"),IF(ABS(J46-K46)&lt;0.01,"PASS","FAIL"))</x:f>
        <x:v>PASS</x:v>
      </x:c>
    </x:row>
    <x:row r="47">
      <x:c r="A47" t="str">
        <x:v>PR_35</x:v>
      </x:c>
      <x:c r="B47" t="str">
        <x:v>Ontario</x:v>
      </x:c>
      <x:c r="C47" t="str">
        <x:v>72202</x:v>
      </x:c>
      <x:c r="D47" t="str">
        <x:v>Power system electricians</x:v>
      </x:c>
      <x:c r="E47" t="str">
        <x:v>trade_power_line</x:v>
      </x:c>
      <x:c r="F47" s="167"/>
      <x:c r="G47" s="153" t="n">
        <x:v>46112</x:v>
      </x:c>
      <x:c r="H47" s="167" t="n">
        <x:v>1685</x:v>
      </x:c>
      <x:c r="I47" s="153" t="n">
        <x:v>44324</x:v>
      </x:c>
      <x:c r="J47" s="145" t="str">
        <x:f>IF(OR(F47="",H47&lt;=0),"",ROUND(F47/H47*1000,2))</x:f>
      </x:c>
      <x:c r="K47" s="145"/>
      <x:c r="L47" t="str">
        <x:v>Vacancy Not Published</x:v>
      </x:c>
      <x:c r="M47" t="str">
        <x:v>observed</x:v>
      </x:c>
      <x:c r="N47" t="str">
        <x:f>IF(K47="",IF(J47="","PASS","FAIL"),IF(ABS(J47-K47)&lt;0.01,"PASS","FAIL"))</x:f>
        <x:v>PASS</x:v>
      </x:c>
    </x:row>
    <x:row r="48">
      <x:c r="A48" t="str">
        <x:v>PR_35</x:v>
      </x:c>
      <x:c r="B48" t="str">
        <x:v>Ontario</x:v>
      </x:c>
      <x:c r="C48" t="str">
        <x:v>72203</x:v>
      </x:c>
      <x:c r="D48" t="str">
        <x:v>Electrical power line and cable workers</x:v>
      </x:c>
      <x:c r="E48" t="str">
        <x:v>trade_power_line</x:v>
      </x:c>
      <x:c r="F48" s="167" t="n">
        <x:v>55</x:v>
      </x:c>
      <x:c r="G48" s="153" t="n">
        <x:v>46112</x:v>
      </x:c>
      <x:c r="H48" s="167" t="n">
        <x:v>3960</x:v>
      </x:c>
      <x:c r="I48" s="153" t="n">
        <x:v>44324</x:v>
      </x:c>
      <x:c r="J48" s="145" t="n">
        <x:f>IF(OR(F48="",H48&lt;=0),"",ROUND(F48/H48*1000,2))</x:f>
        <x:v>13.89</x:v>
      </x:c>
      <x:c r="K48" s="145" t="n">
        <x:v>13.89</x:v>
      </x:c>
      <x:c r="L48" t="str">
        <x:v>Available</x:v>
      </x:c>
      <x:c r="M48" t="str">
        <x:v>inferred</x:v>
      </x:c>
      <x:c r="N48" t="str">
        <x:f>IF(K48="",IF(J48="","PASS","FAIL"),IF(ABS(J48-K48)&lt;0.01,"PASS","FAIL"))</x:f>
        <x:v>PASS</x:v>
      </x:c>
    </x:row>
    <x:row r="49">
      <x:c r="A49" t="str">
        <x:v>PR_46</x:v>
      </x:c>
      <x:c r="B49" t="str">
        <x:v>Manitoba</x:v>
      </x:c>
      <x:c r="C49" t="str">
        <x:v>73100</x:v>
      </x:c>
      <x:c r="D49" t="str">
        <x:v>Concrete finishers</x:v>
      </x:c>
      <x:c r="E49" t="str">
        <x:v>trade_concrete</x:v>
      </x:c>
      <x:c r="F49" s="167"/>
      <x:c r="G49" s="153" t="n">
        <x:v>46112</x:v>
      </x:c>
      <x:c r="H49" s="167" t="n">
        <x:v>290</x:v>
      </x:c>
      <x:c r="I49" s="153" t="n">
        <x:v>44324</x:v>
      </x:c>
      <x:c r="J49" s="145" t="str">
        <x:f>IF(OR(F49="",H49&lt;=0),"",ROUND(F49/H49*1000,2))</x:f>
      </x:c>
      <x:c r="K49" s="145"/>
      <x:c r="L49" t="str">
        <x:v>Vacancy Not Published</x:v>
      </x:c>
      <x:c r="M49" t="str">
        <x:v>observed</x:v>
      </x:c>
      <x:c r="N49" t="str">
        <x:f>IF(K49="",IF(J49="","PASS","FAIL"),IF(ABS(J49-K49)&lt;0.01,"PASS","FAIL"))</x:f>
        <x:v>PASS</x:v>
      </x:c>
    </x:row>
    <x:row r="50">
      <x:c r="A50" t="str">
        <x:v>PR_46</x:v>
      </x:c>
      <x:c r="B50" t="str">
        <x:v>Manitoba</x:v>
      </x:c>
      <x:c r="C50" t="str">
        <x:v>72200</x:v>
      </x:c>
      <x:c r="D50" t="str">
        <x:v>Electricians (except industrial and power system)</x:v>
      </x:c>
      <x:c r="E50" t="str">
        <x:v>trade_electricians</x:v>
      </x:c>
      <x:c r="F50" s="167"/>
      <x:c r="G50" s="153" t="n">
        <x:v>46112</x:v>
      </x:c>
      <x:c r="H50" s="167" t="n">
        <x:v>3795</x:v>
      </x:c>
      <x:c r="I50" s="153" t="n">
        <x:v>44324</x:v>
      </x:c>
      <x:c r="J50" s="145" t="str">
        <x:f>IF(OR(F50="",H50&lt;=0),"",ROUND(F50/H50*1000,2))</x:f>
      </x:c>
      <x:c r="K50" s="145"/>
      <x:c r="L50" t="str">
        <x:v>Vacancy Not Published</x:v>
      </x:c>
      <x:c r="M50" t="str">
        <x:v>observed</x:v>
      </x:c>
      <x:c r="N50" t="str">
        <x:f>IF(K50="",IF(J50="","PASS","FAIL"),IF(ABS(J50-K50)&lt;0.01,"PASS","FAIL"))</x:f>
        <x:v>PASS</x:v>
      </x:c>
    </x:row>
    <x:row r="51">
      <x:c r="A51" t="str">
        <x:v>PR_46</x:v>
      </x:c>
      <x:c r="B51" t="str">
        <x:v>Manitoba</x:v>
      </x:c>
      <x:c r="C51" t="str">
        <x:v>72201</x:v>
      </x:c>
      <x:c r="D51" t="str">
        <x:v>Industrial electricians</x:v>
      </x:c>
      <x:c r="E51" t="str">
        <x:v>trade_electricians</x:v>
      </x:c>
      <x:c r="F51" s="167" t="n">
        <x:v>10</x:v>
      </x:c>
      <x:c r="G51" s="153" t="n">
        <x:v>46112</x:v>
      </x:c>
      <x:c r="H51" s="167" t="n">
        <x:v>670</x:v>
      </x:c>
      <x:c r="I51" s="153" t="n">
        <x:v>44324</x:v>
      </x:c>
      <x:c r="J51" s="145" t="n">
        <x:f>IF(OR(F51="",H51&lt;=0),"",ROUND(F51/H51*1000,2))</x:f>
        <x:v>14.93</x:v>
      </x:c>
      <x:c r="K51" s="145" t="n">
        <x:v>14.93</x:v>
      </x:c>
      <x:c r="L51" t="str">
        <x:v>Available</x:v>
      </x:c>
      <x:c r="M51" t="str">
        <x:v>inferred</x:v>
      </x:c>
      <x:c r="N51" t="str">
        <x:f>IF(K51="",IF(J51="","PASS","FAIL"),IF(ABS(J51-K51)&lt;0.01,"PASS","FAIL"))</x:f>
        <x:v>PASS</x:v>
      </x:c>
    </x:row>
    <x:row r="52">
      <x:c r="A52" t="str">
        <x:v>PR_46</x:v>
      </x:c>
      <x:c r="B52" t="str">
        <x:v>Manitoba</x:v>
      </x:c>
      <x:c r="C52" t="str">
        <x:v>72402</x:v>
      </x:c>
      <x:c r="D52" t="str">
        <x:v>Heating, refrigeration and air conditioning mechanics</x:v>
      </x:c>
      <x:c r="E52" t="str">
        <x:v>trade_hvac</x:v>
      </x:c>
      <x:c r="F52" s="167"/>
      <x:c r="G52" s="153" t="n">
        <x:v>46112</x:v>
      </x:c>
      <x:c r="H52" s="167" t="n">
        <x:v>1070</x:v>
      </x:c>
      <x:c r="I52" s="153" t="n">
        <x:v>44324</x:v>
      </x:c>
      <x:c r="J52" s="145" t="str">
        <x:f>IF(OR(F52="",H52&lt;=0),"",ROUND(F52/H52*1000,2))</x:f>
      </x:c>
      <x:c r="K52" s="145"/>
      <x:c r="L52" t="str">
        <x:v>Vacancy Not Published</x:v>
      </x:c>
      <x:c r="M52" t="str">
        <x:v>observed</x:v>
      </x:c>
      <x:c r="N52" t="str">
        <x:f>IF(K52="",IF(J52="","PASS","FAIL"),IF(ABS(J52-K52)&lt;0.01,"PASS","FAIL"))</x:f>
        <x:v>PASS</x:v>
      </x:c>
    </x:row>
    <x:row r="53">
      <x:c r="A53" t="str">
        <x:v>PR_46</x:v>
      </x:c>
      <x:c r="B53" t="str">
        <x:v>Manitoba</x:v>
      </x:c>
      <x:c r="C53" t="str">
        <x:v>72202</x:v>
      </x:c>
      <x:c r="D53" t="str">
        <x:v>Power system electricians</x:v>
      </x:c>
      <x:c r="E53" t="str">
        <x:v>trade_power_line</x:v>
      </x:c>
      <x:c r="F53" s="167"/>
      <x:c r="G53" s="153" t="n">
        <x:v>46112</x:v>
      </x:c>
      <x:c r="H53" s="167" t="n">
        <x:v>210</x:v>
      </x:c>
      <x:c r="I53" s="153" t="n">
        <x:v>44324</x:v>
      </x:c>
      <x:c r="J53" s="145" t="str">
        <x:f>IF(OR(F53="",H53&lt;=0),"",ROUND(F53/H53*1000,2))</x:f>
      </x:c>
      <x:c r="K53" s="145"/>
      <x:c r="L53" t="str">
        <x:v>Vacancy Not Published</x:v>
      </x:c>
      <x:c r="M53" t="str">
        <x:v>observed</x:v>
      </x:c>
      <x:c r="N53" t="str">
        <x:f>IF(K53="",IF(J53="","PASS","FAIL"),IF(ABS(J53-K53)&lt;0.01,"PASS","FAIL"))</x:f>
        <x:v>PASS</x:v>
      </x:c>
    </x:row>
    <x:row r="54">
      <x:c r="A54" t="str">
        <x:v>PR_46</x:v>
      </x:c>
      <x:c r="B54" t="str">
        <x:v>Manitoba</x:v>
      </x:c>
      <x:c r="C54" t="str">
        <x:v>72203</x:v>
      </x:c>
      <x:c r="D54" t="str">
        <x:v>Electrical power line and cable workers</x:v>
      </x:c>
      <x:c r="E54" t="str">
        <x:v>trade_power_line</x:v>
      </x:c>
      <x:c r="F54" s="167" t="n">
        <x:v>0</x:v>
      </x:c>
      <x:c r="G54" s="153" t="n">
        <x:v>46112</x:v>
      </x:c>
      <x:c r="H54" s="167" t="n">
        <x:v>625</x:v>
      </x:c>
      <x:c r="I54" s="153" t="n">
        <x:v>44324</x:v>
      </x:c>
      <x:c r="J54" s="145" t="str">
        <x:f>IF(OR(F54="",H54&lt;=0),"",ROUND(F54/H54*1000,2))</x:f>
      </x:c>
      <x:c r="K54" s="145" t="n">
        <x:v>0</x:v>
      </x:c>
      <x:c r="L54" t="str">
        <x:v>Available</x:v>
      </x:c>
      <x:c r="M54" t="str">
        <x:v>inferred</x:v>
      </x:c>
      <x:c r="N54" t="str">
        <x:f>IF(K54="",IF(J54="","PASS","FAIL"),IF(ABS(J54-K54)&lt;0.01,"PASS","FAIL"))</x:f>
        <x:v>PASS</x:v>
      </x:c>
    </x:row>
    <x:row r="55">
      <x:c r="A55" t="str">
        <x:v>PR_47</x:v>
      </x:c>
      <x:c r="B55" t="str">
        <x:v>Saskatchewan</x:v>
      </x:c>
      <x:c r="C55" t="str">
        <x:v>73100</x:v>
      </x:c>
      <x:c r="D55" t="str">
        <x:v>Concrete finishers</x:v>
      </x:c>
      <x:c r="E55" t="str">
        <x:v>trade_concrete</x:v>
      </x:c>
      <x:c r="F55" s="167"/>
      <x:c r="G55" s="153" t="n">
        <x:v>46112</x:v>
      </x:c>
      <x:c r="H55" s="167" t="n">
        <x:v>165</x:v>
      </x:c>
      <x:c r="I55" s="153" t="n">
        <x:v>44324</x:v>
      </x:c>
      <x:c r="J55" s="145" t="str">
        <x:f>IF(OR(F55="",H55&lt;=0),"",ROUND(F55/H55*1000,2))</x:f>
      </x:c>
      <x:c r="K55" s="145"/>
      <x:c r="L55" t="str">
        <x:v>Vacancy Not Published</x:v>
      </x:c>
      <x:c r="M55" t="str">
        <x:v>observed</x:v>
      </x:c>
      <x:c r="N55" t="str">
        <x:f>IF(K55="",IF(J55="","PASS","FAIL"),IF(ABS(J55-K55)&lt;0.01,"PASS","FAIL"))</x:f>
        <x:v>PASS</x:v>
      </x:c>
    </x:row>
    <x:row r="56">
      <x:c r="A56" t="str">
        <x:v>PR_47</x:v>
      </x:c>
      <x:c r="B56" t="str">
        <x:v>Saskatchewan</x:v>
      </x:c>
      <x:c r="C56" t="str">
        <x:v>72200</x:v>
      </x:c>
      <x:c r="D56" t="str">
        <x:v>Electricians (except industrial and power system)</x:v>
      </x:c>
      <x:c r="E56" t="str">
        <x:v>trade_electricians</x:v>
      </x:c>
      <x:c r="F56" s="167"/>
      <x:c r="G56" s="153" t="n">
        <x:v>46112</x:v>
      </x:c>
      <x:c r="H56" s="167" t="n">
        <x:v>2780</x:v>
      </x:c>
      <x:c r="I56" s="153" t="n">
        <x:v>44324</x:v>
      </x:c>
      <x:c r="J56" s="145" t="str">
        <x:f>IF(OR(F56="",H56&lt;=0),"",ROUND(F56/H56*1000,2))</x:f>
      </x:c>
      <x:c r="K56" s="145"/>
      <x:c r="L56" t="str">
        <x:v>Vacancy Not Published</x:v>
      </x:c>
      <x:c r="M56" t="str">
        <x:v>observed</x:v>
      </x:c>
      <x:c r="N56" t="str">
        <x:f>IF(K56="",IF(J56="","PASS","FAIL"),IF(ABS(J56-K56)&lt;0.01,"PASS","FAIL"))</x:f>
        <x:v>PASS</x:v>
      </x:c>
    </x:row>
    <x:row r="57">
      <x:c r="A57" t="str">
        <x:v>PR_47</x:v>
      </x:c>
      <x:c r="B57" t="str">
        <x:v>Saskatchewan</x:v>
      </x:c>
      <x:c r="C57" t="str">
        <x:v>72201</x:v>
      </x:c>
      <x:c r="D57" t="str">
        <x:v>Industrial electricians</x:v>
      </x:c>
      <x:c r="E57" t="str">
        <x:v>trade_electricians</x:v>
      </x:c>
      <x:c r="F57" s="167" t="n">
        <x:v>30</x:v>
      </x:c>
      <x:c r="G57" s="153" t="n">
        <x:v>46112</x:v>
      </x:c>
      <x:c r="H57" s="167" t="n">
        <x:v>920</x:v>
      </x:c>
      <x:c r="I57" s="153" t="n">
        <x:v>44324</x:v>
      </x:c>
      <x:c r="J57" s="145" t="n">
        <x:f>IF(OR(F57="",H57&lt;=0),"",ROUND(F57/H57*1000,2))</x:f>
        <x:v>32.61</x:v>
      </x:c>
      <x:c r="K57" s="145" t="n">
        <x:v>32.61</x:v>
      </x:c>
      <x:c r="L57" t="str">
        <x:v>Available</x:v>
      </x:c>
      <x:c r="M57" t="str">
        <x:v>inferred</x:v>
      </x:c>
      <x:c r="N57" t="str">
        <x:f>IF(K57="",IF(J57="","PASS","FAIL"),IF(ABS(J57-K57)&lt;0.01,"PASS","FAIL"))</x:f>
        <x:v>PASS</x:v>
      </x:c>
    </x:row>
    <x:row r="58">
      <x:c r="A58" t="str">
        <x:v>PR_47</x:v>
      </x:c>
      <x:c r="B58" t="str">
        <x:v>Saskatchewan</x:v>
      </x:c>
      <x:c r="C58" t="str">
        <x:v>72402</x:v>
      </x:c>
      <x:c r="D58" t="str">
        <x:v>Heating, refrigeration and air conditioning mechanics</x:v>
      </x:c>
      <x:c r="E58" t="str">
        <x:v>trade_hvac</x:v>
      </x:c>
      <x:c r="F58" s="167" t="n">
        <x:v>5</x:v>
      </x:c>
      <x:c r="G58" s="153" t="n">
        <x:v>46112</x:v>
      </x:c>
      <x:c r="H58" s="167" t="n">
        <x:v>520</x:v>
      </x:c>
      <x:c r="I58" s="153" t="n">
        <x:v>44324</x:v>
      </x:c>
      <x:c r="J58" s="145" t="n">
        <x:f>IF(OR(F58="",H58&lt;=0),"",ROUND(F58/H58*1000,2))</x:f>
        <x:v>9.62</x:v>
      </x:c>
      <x:c r="K58" s="145" t="n">
        <x:v>9.62</x:v>
      </x:c>
      <x:c r="L58" t="str">
        <x:v>Available</x:v>
      </x:c>
      <x:c r="M58" t="str">
        <x:v>inferred</x:v>
      </x:c>
      <x:c r="N58" t="str">
        <x:f>IF(K58="",IF(J58="","PASS","FAIL"),IF(ABS(J58-K58)&lt;0.01,"PASS","FAIL"))</x:f>
        <x:v>PASS</x:v>
      </x:c>
    </x:row>
    <x:row r="59">
      <x:c r="A59" t="str">
        <x:v>PR_47</x:v>
      </x:c>
      <x:c r="B59" t="str">
        <x:v>Saskatchewan</x:v>
      </x:c>
      <x:c r="C59" t="str">
        <x:v>72202</x:v>
      </x:c>
      <x:c r="D59" t="str">
        <x:v>Power system electricians</x:v>
      </x:c>
      <x:c r="E59" t="str">
        <x:v>trade_power_line</x:v>
      </x:c>
      <x:c r="F59" s="167"/>
      <x:c r="G59" s="153" t="n">
        <x:v>46112</x:v>
      </x:c>
      <x:c r="H59" s="167" t="n">
        <x:v>130</x:v>
      </x:c>
      <x:c r="I59" s="153" t="n">
        <x:v>44324</x:v>
      </x:c>
      <x:c r="J59" s="145" t="str">
        <x:f>IF(OR(F59="",H59&lt;=0),"",ROUND(F59/H59*1000,2))</x:f>
      </x:c>
      <x:c r="K59" s="145"/>
      <x:c r="L59" t="str">
        <x:v>Vacancy Not Published</x:v>
      </x:c>
      <x:c r="M59" t="str">
        <x:v>observed</x:v>
      </x:c>
      <x:c r="N59" t="str">
        <x:f>IF(K59="",IF(J59="","PASS","FAIL"),IF(ABS(J59-K59)&lt;0.01,"PASS","FAIL"))</x:f>
        <x:v>PASS</x:v>
      </x:c>
    </x:row>
    <x:row r="60">
      <x:c r="A60" t="str">
        <x:v>PR_47</x:v>
      </x:c>
      <x:c r="B60" t="str">
        <x:v>Saskatchewan</x:v>
      </x:c>
      <x:c r="C60" t="str">
        <x:v>72203</x:v>
      </x:c>
      <x:c r="D60" t="str">
        <x:v>Electrical power line and cable workers</x:v>
      </x:c>
      <x:c r="E60" t="str">
        <x:v>trade_power_line</x:v>
      </x:c>
      <x:c r="F60" s="167"/>
      <x:c r="G60" s="153" t="n">
        <x:v>46112</x:v>
      </x:c>
      <x:c r="H60" s="167" t="n">
        <x:v>820</x:v>
      </x:c>
      <x:c r="I60" s="153" t="n">
        <x:v>44324</x:v>
      </x:c>
      <x:c r="J60" s="145" t="str">
        <x:f>IF(OR(F60="",H60&lt;=0),"",ROUND(F60/H60*1000,2))</x:f>
      </x:c>
      <x:c r="K60" s="145"/>
      <x:c r="L60" t="str">
        <x:v>Vacancy Not Published</x:v>
      </x:c>
      <x:c r="M60" t="str">
        <x:v>observed</x:v>
      </x:c>
      <x:c r="N60" t="str">
        <x:f>IF(K60="",IF(J60="","PASS","FAIL"),IF(ABS(J60-K60)&lt;0.01,"PASS","FAIL"))</x:f>
        <x:v>PASS</x:v>
      </x:c>
    </x:row>
    <x:row r="61">
      <x:c r="A61" t="str">
        <x:v>PR_48</x:v>
      </x:c>
      <x:c r="B61" t="str">
        <x:v>Alberta</x:v>
      </x:c>
      <x:c r="C61" t="str">
        <x:v>73100</x:v>
      </x:c>
      <x:c r="D61" t="str">
        <x:v>Concrete finishers</x:v>
      </x:c>
      <x:c r="E61" t="str">
        <x:v>trade_concrete</x:v>
      </x:c>
      <x:c r="F61" s="167"/>
      <x:c r="G61" s="153" t="n">
        <x:v>46112</x:v>
      </x:c>
      <x:c r="H61" s="167" t="n">
        <x:v>1105</x:v>
      </x:c>
      <x:c r="I61" s="153" t="n">
        <x:v>44324</x:v>
      </x:c>
      <x:c r="J61" s="145" t="str">
        <x:f>IF(OR(F61="",H61&lt;=0),"",ROUND(F61/H61*1000,2))</x:f>
      </x:c>
      <x:c r="K61" s="145"/>
      <x:c r="L61" t="str">
        <x:v>Vacancy Not Published</x:v>
      </x:c>
      <x:c r="M61" t="str">
        <x:v>observed</x:v>
      </x:c>
      <x:c r="N61" t="str">
        <x:f>IF(K61="",IF(J61="","PASS","FAIL"),IF(ABS(J61-K61)&lt;0.01,"PASS","FAIL"))</x:f>
        <x:v>PASS</x:v>
      </x:c>
    </x:row>
    <x:row r="62">
      <x:c r="A62" t="str">
        <x:v>PR_48</x:v>
      </x:c>
      <x:c r="B62" t="str">
        <x:v>Alberta</x:v>
      </x:c>
      <x:c r="C62" t="str">
        <x:v>72200</x:v>
      </x:c>
      <x:c r="D62" t="str">
        <x:v>Electricians (except industrial and power system)</x:v>
      </x:c>
      <x:c r="E62" t="str">
        <x:v>trade_electricians</x:v>
      </x:c>
      <x:c r="F62" s="167" t="n">
        <x:v>460</x:v>
      </x:c>
      <x:c r="G62" s="153" t="n">
        <x:v>46112</x:v>
      </x:c>
      <x:c r="H62" s="167" t="n">
        <x:v>13375</x:v>
      </x:c>
      <x:c r="I62" s="153" t="n">
        <x:v>44324</x:v>
      </x:c>
      <x:c r="J62" s="145" t="n">
        <x:f>IF(OR(F62="",H62&lt;=0),"",ROUND(F62/H62*1000,2))</x:f>
        <x:v>34.39</x:v>
      </x:c>
      <x:c r="K62" s="145" t="n">
        <x:v>34.39</x:v>
      </x:c>
      <x:c r="L62" t="str">
        <x:v>Available</x:v>
      </x:c>
      <x:c r="M62" t="str">
        <x:v>inferred</x:v>
      </x:c>
      <x:c r="N62" t="str">
        <x:f>IF(K62="",IF(J62="","PASS","FAIL"),IF(ABS(J62-K62)&lt;0.01,"PASS","FAIL"))</x:f>
        <x:v>PASS</x:v>
      </x:c>
    </x:row>
    <x:row r="63">
      <x:c r="A63" t="str">
        <x:v>PR_48</x:v>
      </x:c>
      <x:c r="B63" t="str">
        <x:v>Alberta</x:v>
      </x:c>
      <x:c r="C63" t="str">
        <x:v>72201</x:v>
      </x:c>
      <x:c r="D63" t="str">
        <x:v>Industrial electricians</x:v>
      </x:c>
      <x:c r="E63" t="str">
        <x:v>trade_electricians</x:v>
      </x:c>
      <x:c r="F63" s="167" t="n">
        <x:v>80</x:v>
      </x:c>
      <x:c r="G63" s="153" t="n">
        <x:v>46112</x:v>
      </x:c>
      <x:c r="H63" s="167" t="n">
        <x:v>4175</x:v>
      </x:c>
      <x:c r="I63" s="153" t="n">
        <x:v>44324</x:v>
      </x:c>
      <x:c r="J63" s="145" t="n">
        <x:f>IF(OR(F63="",H63&lt;=0),"",ROUND(F63/H63*1000,2))</x:f>
        <x:v>19.16</x:v>
      </x:c>
      <x:c r="K63" s="145" t="n">
        <x:v>19.16</x:v>
      </x:c>
      <x:c r="L63" t="str">
        <x:v>Available</x:v>
      </x:c>
      <x:c r="M63" t="str">
        <x:v>inferred</x:v>
      </x:c>
      <x:c r="N63" t="str">
        <x:f>IF(K63="",IF(J63="","PASS","FAIL"),IF(ABS(J63-K63)&lt;0.01,"PASS","FAIL"))</x:f>
        <x:v>PASS</x:v>
      </x:c>
    </x:row>
    <x:row r="64">
      <x:c r="A64" t="str">
        <x:v>PR_48</x:v>
      </x:c>
      <x:c r="B64" t="str">
        <x:v>Alberta</x:v>
      </x:c>
      <x:c r="C64" t="str">
        <x:v>72402</x:v>
      </x:c>
      <x:c r="D64" t="str">
        <x:v>Heating, refrigeration and air conditioning mechanics</x:v>
      </x:c>
      <x:c r="E64" t="str">
        <x:v>trade_hvac</x:v>
      </x:c>
      <x:c r="F64" s="167" t="n">
        <x:v>230</x:v>
      </x:c>
      <x:c r="G64" s="153" t="n">
        <x:v>46112</x:v>
      </x:c>
      <x:c r="H64" s="167" t="n">
        <x:v>3095</x:v>
      </x:c>
      <x:c r="I64" s="153" t="n">
        <x:v>44324</x:v>
      </x:c>
      <x:c r="J64" s="145" t="n">
        <x:f>IF(OR(F64="",H64&lt;=0),"",ROUND(F64/H64*1000,2))</x:f>
        <x:v>74.31</x:v>
      </x:c>
      <x:c r="K64" s="145" t="n">
        <x:v>74.31</x:v>
      </x:c>
      <x:c r="L64" t="str">
        <x:v>Available</x:v>
      </x:c>
      <x:c r="M64" t="str">
        <x:v>inferred</x:v>
      </x:c>
      <x:c r="N64" t="str">
        <x:f>IF(K64="",IF(J64="","PASS","FAIL"),IF(ABS(J64-K64)&lt;0.01,"PASS","FAIL"))</x:f>
        <x:v>PASS</x:v>
      </x:c>
    </x:row>
    <x:row r="65">
      <x:c r="A65" t="str">
        <x:v>PR_48</x:v>
      </x:c>
      <x:c r="B65" t="str">
        <x:v>Alberta</x:v>
      </x:c>
      <x:c r="C65" t="str">
        <x:v>72202</x:v>
      </x:c>
      <x:c r="D65" t="str">
        <x:v>Power system electricians</x:v>
      </x:c>
      <x:c r="E65" t="str">
        <x:v>trade_power_line</x:v>
      </x:c>
      <x:c r="F65" s="167"/>
      <x:c r="G65" s="153" t="n">
        <x:v>46112</x:v>
      </x:c>
      <x:c r="H65" s="167" t="n">
        <x:v>770</x:v>
      </x:c>
      <x:c r="I65" s="153" t="n">
        <x:v>44324</x:v>
      </x:c>
      <x:c r="J65" s="145" t="str">
        <x:f>IF(OR(F65="",H65&lt;=0),"",ROUND(F65/H65*1000,2))</x:f>
      </x:c>
      <x:c r="K65" s="145"/>
      <x:c r="L65" t="str">
        <x:v>Vacancy Not Published</x:v>
      </x:c>
      <x:c r="M65" t="str">
        <x:v>observed</x:v>
      </x:c>
      <x:c r="N65" t="str">
        <x:f>IF(K65="",IF(J65="","PASS","FAIL"),IF(ABS(J65-K65)&lt;0.01,"PASS","FAIL"))</x:f>
        <x:v>PASS</x:v>
      </x:c>
    </x:row>
    <x:row r="66">
      <x:c r="A66" t="str">
        <x:v>PR_48</x:v>
      </x:c>
      <x:c r="B66" t="str">
        <x:v>Alberta</x:v>
      </x:c>
      <x:c r="C66" t="str">
        <x:v>72203</x:v>
      </x:c>
      <x:c r="D66" t="str">
        <x:v>Electrical power line and cable workers</x:v>
      </x:c>
      <x:c r="E66" t="str">
        <x:v>trade_power_line</x:v>
      </x:c>
      <x:c r="F66" s="167"/>
      <x:c r="G66" s="153" t="n">
        <x:v>46112</x:v>
      </x:c>
      <x:c r="H66" s="167" t="n">
        <x:v>1725</x:v>
      </x:c>
      <x:c r="I66" s="153" t="n">
        <x:v>44324</x:v>
      </x:c>
      <x:c r="J66" s="145" t="str">
        <x:f>IF(OR(F66="",H66&lt;=0),"",ROUND(F66/H66*1000,2))</x:f>
      </x:c>
      <x:c r="K66" s="145"/>
      <x:c r="L66" t="str">
        <x:v>Vacancy Not Published</x:v>
      </x:c>
      <x:c r="M66" t="str">
        <x:v>observed</x:v>
      </x:c>
      <x:c r="N66" t="str">
        <x:f>IF(K66="",IF(J66="","PASS","FAIL"),IF(ABS(J66-K66)&lt;0.01,"PASS","FAIL"))</x:f>
        <x:v>PASS</x:v>
      </x:c>
    </x:row>
    <x:row r="67">
      <x:c r="A67" t="str">
        <x:v>PR_59</x:v>
      </x:c>
      <x:c r="B67" t="str">
        <x:v>British Columbia</x:v>
      </x:c>
      <x:c r="C67" t="str">
        <x:v>73100</x:v>
      </x:c>
      <x:c r="D67" t="str">
        <x:v>Concrete finishers</x:v>
      </x:c>
      <x:c r="E67" t="str">
        <x:v>trade_concrete</x:v>
      </x:c>
      <x:c r="F67" s="167"/>
      <x:c r="G67" s="153" t="n">
        <x:v>46112</x:v>
      </x:c>
      <x:c r="H67" s="167" t="n">
        <x:v>1330</x:v>
      </x:c>
      <x:c r="I67" s="153" t="n">
        <x:v>44324</x:v>
      </x:c>
      <x:c r="J67" s="145" t="str">
        <x:f>IF(OR(F67="",H67&lt;=0),"",ROUND(F67/H67*1000,2))</x:f>
      </x:c>
      <x:c r="K67" s="145"/>
      <x:c r="L67" t="str">
        <x:v>Vacancy Not Published</x:v>
      </x:c>
      <x:c r="M67" t="str">
        <x:v>observed</x:v>
      </x:c>
      <x:c r="N67" t="str">
        <x:f>IF(K67="",IF(J67="","PASS","FAIL"),IF(ABS(J67-K67)&lt;0.01,"PASS","FAIL"))</x:f>
        <x:v>PASS</x:v>
      </x:c>
    </x:row>
    <x:row r="68">
      <x:c r="A68" t="str">
        <x:v>PR_59</x:v>
      </x:c>
      <x:c r="B68" t="str">
        <x:v>British Columbia</x:v>
      </x:c>
      <x:c r="C68" t="str">
        <x:v>72200</x:v>
      </x:c>
      <x:c r="D68" t="str">
        <x:v>Electricians (except industrial and power system)</x:v>
      </x:c>
      <x:c r="E68" t="str">
        <x:v>trade_electricians</x:v>
      </x:c>
      <x:c r="F68" s="167"/>
      <x:c r="G68" s="153" t="n">
        <x:v>46112</x:v>
      </x:c>
      <x:c r="H68" s="167" t="n">
        <x:v>15325</x:v>
      </x:c>
      <x:c r="I68" s="153" t="n">
        <x:v>44324</x:v>
      </x:c>
      <x:c r="J68" s="145" t="str">
        <x:f>IF(OR(F68="",H68&lt;=0),"",ROUND(F68/H68*1000,2))</x:f>
      </x:c>
      <x:c r="K68" s="145"/>
      <x:c r="L68" t="str">
        <x:v>Vacancy Not Published</x:v>
      </x:c>
      <x:c r="M68" t="str">
        <x:v>observed</x:v>
      </x:c>
      <x:c r="N68" t="str">
        <x:f>IF(K68="",IF(J68="","PASS","FAIL"),IF(ABS(J68-K68)&lt;0.01,"PASS","FAIL"))</x:f>
        <x:v>PASS</x:v>
      </x:c>
    </x:row>
    <x:row r="69">
      <x:c r="A69" t="str">
        <x:v>PR_59</x:v>
      </x:c>
      <x:c r="B69" t="str">
        <x:v>British Columbia</x:v>
      </x:c>
      <x:c r="C69" t="str">
        <x:v>72201</x:v>
      </x:c>
      <x:c r="D69" t="str">
        <x:v>Industrial electricians</x:v>
      </x:c>
      <x:c r="E69" t="str">
        <x:v>trade_electricians</x:v>
      </x:c>
      <x:c r="F69" s="167"/>
      <x:c r="G69" s="153" t="n">
        <x:v>46112</x:v>
      </x:c>
      <x:c r="H69" s="167" t="n">
        <x:v>2715</x:v>
      </x:c>
      <x:c r="I69" s="153" t="n">
        <x:v>44324</x:v>
      </x:c>
      <x:c r="J69" s="145" t="str">
        <x:f>IF(OR(F69="",H69&lt;=0),"",ROUND(F69/H69*1000,2))</x:f>
      </x:c>
      <x:c r="K69" s="145"/>
      <x:c r="L69" t="str">
        <x:v>Vacancy Not Published</x:v>
      </x:c>
      <x:c r="M69" t="str">
        <x:v>observed</x:v>
      </x:c>
      <x:c r="N69" t="str">
        <x:f>IF(K69="",IF(J69="","PASS","FAIL"),IF(ABS(J69-K69)&lt;0.01,"PASS","FAIL"))</x:f>
        <x:v>PASS</x:v>
      </x:c>
    </x:row>
    <x:row r="70">
      <x:c r="A70" t="str">
        <x:v>PR_59</x:v>
      </x:c>
      <x:c r="B70" t="str">
        <x:v>British Columbia</x:v>
      </x:c>
      <x:c r="C70" t="str">
        <x:v>72402</x:v>
      </x:c>
      <x:c r="D70" t="str">
        <x:v>Heating, refrigeration and air conditioning mechanics</x:v>
      </x:c>
      <x:c r="E70" t="str">
        <x:v>trade_hvac</x:v>
      </x:c>
      <x:c r="F70" s="167"/>
      <x:c r="G70" s="153" t="n">
        <x:v>46112</x:v>
      </x:c>
      <x:c r="H70" s="167" t="n">
        <x:v>3330</x:v>
      </x:c>
      <x:c r="I70" s="153" t="n">
        <x:v>44324</x:v>
      </x:c>
      <x:c r="J70" s="145" t="str">
        <x:f>IF(OR(F70="",H70&lt;=0),"",ROUND(F70/H70*1000,2))</x:f>
      </x:c>
      <x:c r="K70" s="145"/>
      <x:c r="L70" t="str">
        <x:v>Vacancy Not Published</x:v>
      </x:c>
      <x:c r="M70" t="str">
        <x:v>observed</x:v>
      </x:c>
      <x:c r="N70" t="str">
        <x:f>IF(K70="",IF(J70="","PASS","FAIL"),IF(ABS(J70-K70)&lt;0.01,"PASS","FAIL"))</x:f>
        <x:v>PASS</x:v>
      </x:c>
    </x:row>
    <x:row r="71">
      <x:c r="A71" t="str">
        <x:v>PR_59</x:v>
      </x:c>
      <x:c r="B71" t="str">
        <x:v>British Columbia</x:v>
      </x:c>
      <x:c r="C71" t="str">
        <x:v>72202</x:v>
      </x:c>
      <x:c r="D71" t="str">
        <x:v>Power system electricians</x:v>
      </x:c>
      <x:c r="E71" t="str">
        <x:v>trade_power_line</x:v>
      </x:c>
      <x:c r="F71" s="167"/>
      <x:c r="G71" s="153" t="n">
        <x:v>46112</x:v>
      </x:c>
      <x:c r="H71" s="167" t="n">
        <x:v>490</x:v>
      </x:c>
      <x:c r="I71" s="153" t="n">
        <x:v>44324</x:v>
      </x:c>
      <x:c r="J71" s="145" t="str">
        <x:f>IF(OR(F71="",H71&lt;=0),"",ROUND(F71/H71*1000,2))</x:f>
      </x:c>
      <x:c r="K71" s="145"/>
      <x:c r="L71" t="str">
        <x:v>Vacancy Not Published</x:v>
      </x:c>
      <x:c r="M71" t="str">
        <x:v>observed</x:v>
      </x:c>
      <x:c r="N71" t="str">
        <x:f>IF(K71="",IF(J71="","PASS","FAIL"),IF(ABS(J71-K71)&lt;0.01,"PASS","FAIL"))</x:f>
        <x:v>PASS</x:v>
      </x:c>
    </x:row>
    <x:row r="72">
      <x:c r="A72" t="str">
        <x:v>PR_59</x:v>
      </x:c>
      <x:c r="B72" t="str">
        <x:v>British Columbia</x:v>
      </x:c>
      <x:c r="C72" t="str">
        <x:v>72203</x:v>
      </x:c>
      <x:c r="D72" t="str">
        <x:v>Electrical power line and cable workers</x:v>
      </x:c>
      <x:c r="E72" t="str">
        <x:v>trade_power_line</x:v>
      </x:c>
      <x:c r="F72" s="167"/>
      <x:c r="G72" s="153" t="n">
        <x:v>46112</x:v>
      </x:c>
      <x:c r="H72" s="167" t="n">
        <x:v>1210</x:v>
      </x:c>
      <x:c r="I72" s="153" t="n">
        <x:v>44324</x:v>
      </x:c>
      <x:c r="J72" s="145" t="str">
        <x:f>IF(OR(F72="",H72&lt;=0),"",ROUND(F72/H72*1000,2))</x:f>
      </x:c>
      <x:c r="K72" s="145"/>
      <x:c r="L72" t="str">
        <x:v>Vacancy Not Published</x:v>
      </x:c>
      <x:c r="M72" t="str">
        <x:v>observed</x:v>
      </x:c>
      <x:c r="N72" t="str">
        <x:f>IF(K72="",IF(J72="","PASS","FAIL"),IF(ABS(J72-K72)&lt;0.01,"PASS","FAIL"))</x:f>
        <x:v>PASS</x:v>
      </x:c>
    </x:row>
    <x:row r="73">
      <x:c r="A73" t="str">
        <x:v>PR_60</x:v>
      </x:c>
      <x:c r="B73" t="str">
        <x:v>Yukon</x:v>
      </x:c>
      <x:c r="C73" t="str">
        <x:v>73100</x:v>
      </x:c>
      <x:c r="D73" t="str">
        <x:v>Concrete finishers</x:v>
      </x:c>
      <x:c r="E73" t="str">
        <x:v>trade_concrete</x:v>
      </x:c>
      <x:c r="F73" s="167"/>
      <x:c r="G73" s="153" t="n">
        <x:v>46112</x:v>
      </x:c>
      <x:c r="H73" s="167" t="n">
        <x:v>0</x:v>
      </x:c>
      <x:c r="I73" s="153" t="n">
        <x:v>44324</x:v>
      </x:c>
      <x:c r="J73" s="145" t="str">
        <x:f>IF(OR(F73="",H73&lt;=0),"",ROUND(F73/H73*1000,2))</x:f>
      </x:c>
      <x:c r="K73" s="145"/>
      <x:c r="L73" t="str">
        <x:v>Vacancy Not Published And Workforce Denominator Zero</x:v>
      </x:c>
      <x:c r="M73" t="str">
        <x:v>observed</x:v>
      </x:c>
      <x:c r="N73" t="str">
        <x:f>IF(K73="",IF(J73="","PASS","FAIL"),IF(ABS(J73-K73)&lt;0.01,"PASS","FAIL"))</x:f>
        <x:v>PASS</x:v>
      </x:c>
    </x:row>
    <x:row r="74">
      <x:c r="A74" t="str">
        <x:v>PR_60</x:v>
      </x:c>
      <x:c r="B74" t="str">
        <x:v>Yukon</x:v>
      </x:c>
      <x:c r="C74" t="str">
        <x:v>72200</x:v>
      </x:c>
      <x:c r="D74" t="str">
        <x:v>Electricians (except industrial and power system)</x:v>
      </x:c>
      <x:c r="E74" t="str">
        <x:v>trade_electricians</x:v>
      </x:c>
      <x:c r="F74" s="167"/>
      <x:c r="G74" s="153" t="n">
        <x:v>46112</x:v>
      </x:c>
      <x:c r="H74" s="167" t="n">
        <x:v>140</x:v>
      </x:c>
      <x:c r="I74" s="153" t="n">
        <x:v>44324</x:v>
      </x:c>
      <x:c r="J74" s="145" t="str">
        <x:f>IF(OR(F74="",H74&lt;=0),"",ROUND(F74/H74*1000,2))</x:f>
      </x:c>
      <x:c r="K74" s="145"/>
      <x:c r="L74" t="str">
        <x:v>Vacancy Not Published</x:v>
      </x:c>
      <x:c r="M74" t="str">
        <x:v>observed</x:v>
      </x:c>
      <x:c r="N74" t="str">
        <x:f>IF(K74="",IF(J74="","PASS","FAIL"),IF(ABS(J74-K74)&lt;0.01,"PASS","FAIL"))</x:f>
        <x:v>PASS</x:v>
      </x:c>
    </x:row>
    <x:row r="75">
      <x:c r="A75" t="str">
        <x:v>PR_60</x:v>
      </x:c>
      <x:c r="B75" t="str">
        <x:v>Yukon</x:v>
      </x:c>
      <x:c r="C75" t="str">
        <x:v>72201</x:v>
      </x:c>
      <x:c r="D75" t="str">
        <x:v>Industrial electricians</x:v>
      </x:c>
      <x:c r="E75" t="str">
        <x:v>trade_electricians</x:v>
      </x:c>
      <x:c r="F75" s="167"/>
      <x:c r="G75" s="153" t="n">
        <x:v>46112</x:v>
      </x:c>
      <x:c r="H75" s="167" t="n">
        <x:v>10</x:v>
      </x:c>
      <x:c r="I75" s="153" t="n">
        <x:v>44324</x:v>
      </x:c>
      <x:c r="J75" s="145" t="str">
        <x:f>IF(OR(F75="",H75&lt;=0),"",ROUND(F75/H75*1000,2))</x:f>
      </x:c>
      <x:c r="K75" s="145"/>
      <x:c r="L75" t="str">
        <x:v>Vacancy Not Published</x:v>
      </x:c>
      <x:c r="M75" t="str">
        <x:v>observed</x:v>
      </x:c>
      <x:c r="N75" t="str">
        <x:f>IF(K75="",IF(J75="","PASS","FAIL"),IF(ABS(J75-K75)&lt;0.01,"PASS","FAIL"))</x:f>
        <x:v>PASS</x:v>
      </x:c>
    </x:row>
    <x:row r="76">
      <x:c r="A76" t="str">
        <x:v>PR_60</x:v>
      </x:c>
      <x:c r="B76" t="str">
        <x:v>Yukon</x:v>
      </x:c>
      <x:c r="C76" t="str">
        <x:v>72402</x:v>
      </x:c>
      <x:c r="D76" t="str">
        <x:v>Heating, refrigeration and air conditioning mechanics</x:v>
      </x:c>
      <x:c r="E76" t="str">
        <x:v>trade_hvac</x:v>
      </x:c>
      <x:c r="F76" s="167"/>
      <x:c r="G76" s="153" t="n">
        <x:v>46112</x:v>
      </x:c>
      <x:c r="H76" s="167" t="n">
        <x:v>10</x:v>
      </x:c>
      <x:c r="I76" s="153" t="n">
        <x:v>44324</x:v>
      </x:c>
      <x:c r="J76" s="145" t="str">
        <x:f>IF(OR(F76="",H76&lt;=0),"",ROUND(F76/H76*1000,2))</x:f>
      </x:c>
      <x:c r="K76" s="145"/>
      <x:c r="L76" t="str">
        <x:v>Vacancy Not Published</x:v>
      </x:c>
      <x:c r="M76" t="str">
        <x:v>observed</x:v>
      </x:c>
      <x:c r="N76" t="str">
        <x:f>IF(K76="",IF(J76="","PASS","FAIL"),IF(ABS(J76-K76)&lt;0.01,"PASS","FAIL"))</x:f>
        <x:v>PASS</x:v>
      </x:c>
    </x:row>
    <x:row r="77">
      <x:c r="A77" t="str">
        <x:v>PR_60</x:v>
      </x:c>
      <x:c r="B77" t="str">
        <x:v>Yukon</x:v>
      </x:c>
      <x:c r="C77" t="str">
        <x:v>72202</x:v>
      </x:c>
      <x:c r="D77" t="str">
        <x:v>Power system electricians</x:v>
      </x:c>
      <x:c r="E77" t="str">
        <x:v>trade_power_line</x:v>
      </x:c>
      <x:c r="F77" s="167"/>
      <x:c r="G77" s="153" t="n">
        <x:v>46112</x:v>
      </x:c>
      <x:c r="H77" s="167" t="n">
        <x:v>15</x:v>
      </x:c>
      <x:c r="I77" s="153" t="n">
        <x:v>44324</x:v>
      </x:c>
      <x:c r="J77" s="145" t="str">
        <x:f>IF(OR(F77="",H77&lt;=0),"",ROUND(F77/H77*1000,2))</x:f>
      </x:c>
      <x:c r="K77" s="145"/>
      <x:c r="L77" t="str">
        <x:v>Vacancy Not Published</x:v>
      </x:c>
      <x:c r="M77" t="str">
        <x:v>observed</x:v>
      </x:c>
      <x:c r="N77" t="str">
        <x:f>IF(K77="",IF(J77="","PASS","FAIL"),IF(ABS(J77-K77)&lt;0.01,"PASS","FAIL"))</x:f>
        <x:v>PASS</x:v>
      </x:c>
    </x:row>
    <x:row r="78">
      <x:c r="A78" t="str">
        <x:v>PR_60</x:v>
      </x:c>
      <x:c r="B78" t="str">
        <x:v>Yukon</x:v>
      </x:c>
      <x:c r="C78" t="str">
        <x:v>72203</x:v>
      </x:c>
      <x:c r="D78" t="str">
        <x:v>Electrical power line and cable workers</x:v>
      </x:c>
      <x:c r="E78" t="str">
        <x:v>trade_power_line</x:v>
      </x:c>
      <x:c r="F78" s="167"/>
      <x:c r="G78" s="153" t="n">
        <x:v>46112</x:v>
      </x:c>
      <x:c r="H78" s="167" t="n">
        <x:v>20</x:v>
      </x:c>
      <x:c r="I78" s="153" t="n">
        <x:v>44324</x:v>
      </x:c>
      <x:c r="J78" s="145" t="str">
        <x:f>IF(OR(F78="",H78&lt;=0),"",ROUND(F78/H78*1000,2))</x:f>
      </x:c>
      <x:c r="K78" s="145"/>
      <x:c r="L78" t="str">
        <x:v>Vacancy Not Published</x:v>
      </x:c>
      <x:c r="M78" t="str">
        <x:v>observed</x:v>
      </x:c>
      <x:c r="N78" t="str">
        <x:f>IF(K78="",IF(J78="","PASS","FAIL"),IF(ABS(J78-K78)&lt;0.01,"PASS","FAIL"))</x:f>
        <x:v>PASS</x:v>
      </x:c>
    </x:row>
    <x:row r="79">
      <x:c r="A79" t="str">
        <x:v>PR_61</x:v>
      </x:c>
      <x:c r="B79" t="str">
        <x:v>Northwest Territories</x:v>
      </x:c>
      <x:c r="C79" t="str">
        <x:v>73100</x:v>
      </x:c>
      <x:c r="D79" t="str">
        <x:v>Concrete finishers</x:v>
      </x:c>
      <x:c r="E79" t="str">
        <x:v>trade_concrete</x:v>
      </x:c>
      <x:c r="F79" s="167"/>
      <x:c r="G79" s="153" t="n">
        <x:v>46112</x:v>
      </x:c>
      <x:c r="H79" s="167" t="n">
        <x:v>0</x:v>
      </x:c>
      <x:c r="I79" s="153" t="n">
        <x:v>44324</x:v>
      </x:c>
      <x:c r="J79" s="145" t="str">
        <x:f>IF(OR(F79="",H79&lt;=0),"",ROUND(F79/H79*1000,2))</x:f>
      </x:c>
      <x:c r="K79" s="145"/>
      <x:c r="L79" t="str">
        <x:v>Vacancy Not Published And Workforce Denominator Zero</x:v>
      </x:c>
      <x:c r="M79" t="str">
        <x:v>observed</x:v>
      </x:c>
      <x:c r="N79" t="str">
        <x:f>IF(K79="",IF(J79="","PASS","FAIL"),IF(ABS(J79-K79)&lt;0.01,"PASS","FAIL"))</x:f>
        <x:v>PASS</x:v>
      </x:c>
    </x:row>
    <x:row r="80">
      <x:c r="A80" t="str">
        <x:v>PR_61</x:v>
      </x:c>
      <x:c r="B80" t="str">
        <x:v>Northwest Territories</x:v>
      </x:c>
      <x:c r="C80" t="str">
        <x:v>72200</x:v>
      </x:c>
      <x:c r="D80" t="str">
        <x:v>Electricians (except industrial and power system)</x:v>
      </x:c>
      <x:c r="E80" t="str">
        <x:v>trade_electricians</x:v>
      </x:c>
      <x:c r="F80" s="167"/>
      <x:c r="G80" s="153" t="n">
        <x:v>46112</x:v>
      </x:c>
      <x:c r="H80" s="167" t="n">
        <x:v>85</x:v>
      </x:c>
      <x:c r="I80" s="153" t="n">
        <x:v>44324</x:v>
      </x:c>
      <x:c r="J80" s="145" t="str">
        <x:f>IF(OR(F80="",H80&lt;=0),"",ROUND(F80/H80*1000,2))</x:f>
      </x:c>
      <x:c r="K80" s="145"/>
      <x:c r="L80" t="str">
        <x:v>Vacancy Not Published</x:v>
      </x:c>
      <x:c r="M80" t="str">
        <x:v>observed</x:v>
      </x:c>
      <x:c r="N80" t="str">
        <x:f>IF(K80="",IF(J80="","PASS","FAIL"),IF(ABS(J80-K80)&lt;0.01,"PASS","FAIL"))</x:f>
        <x:v>PASS</x:v>
      </x:c>
    </x:row>
    <x:row r="81">
      <x:c r="A81" t="str">
        <x:v>PR_61</x:v>
      </x:c>
      <x:c r="B81" t="str">
        <x:v>Northwest Territories</x:v>
      </x:c>
      <x:c r="C81" t="str">
        <x:v>72201</x:v>
      </x:c>
      <x:c r="D81" t="str">
        <x:v>Industrial electricians</x:v>
      </x:c>
      <x:c r="E81" t="str">
        <x:v>trade_electricians</x:v>
      </x:c>
      <x:c r="F81" s="167"/>
      <x:c r="G81" s="153" t="n">
        <x:v>46112</x:v>
      </x:c>
      <x:c r="H81" s="167" t="n">
        <x:v>20</x:v>
      </x:c>
      <x:c r="I81" s="153" t="n">
        <x:v>44324</x:v>
      </x:c>
      <x:c r="J81" s="145" t="str">
        <x:f>IF(OR(F81="",H81&lt;=0),"",ROUND(F81/H81*1000,2))</x:f>
      </x:c>
      <x:c r="K81" s="145"/>
      <x:c r="L81" t="str">
        <x:v>Vacancy Not Published</x:v>
      </x:c>
      <x:c r="M81" t="str">
        <x:v>observed</x:v>
      </x:c>
      <x:c r="N81" t="str">
        <x:f>IF(K81="",IF(J81="","PASS","FAIL"),IF(ABS(J81-K81)&lt;0.01,"PASS","FAIL"))</x:f>
        <x:v>PASS</x:v>
      </x:c>
    </x:row>
    <x:row r="82">
      <x:c r="A82" t="str">
        <x:v>PR_61</x:v>
      </x:c>
      <x:c r="B82" t="str">
        <x:v>Northwest Territories</x:v>
      </x:c>
      <x:c r="C82" t="str">
        <x:v>72402</x:v>
      </x:c>
      <x:c r="D82" t="str">
        <x:v>Heating, refrigeration and air conditioning mechanics</x:v>
      </x:c>
      <x:c r="E82" t="str">
        <x:v>trade_hvac</x:v>
      </x:c>
      <x:c r="F82" s="167"/>
      <x:c r="G82" s="153" t="n">
        <x:v>46112</x:v>
      </x:c>
      <x:c r="H82" s="167" t="n">
        <x:v>10</x:v>
      </x:c>
      <x:c r="I82" s="153" t="n">
        <x:v>44324</x:v>
      </x:c>
      <x:c r="J82" s="145" t="str">
        <x:f>IF(OR(F82="",H82&lt;=0),"",ROUND(F82/H82*1000,2))</x:f>
      </x:c>
      <x:c r="K82" s="145"/>
      <x:c r="L82" t="str">
        <x:v>Vacancy Not Published</x:v>
      </x:c>
      <x:c r="M82" t="str">
        <x:v>observed</x:v>
      </x:c>
      <x:c r="N82" t="str">
        <x:f>IF(K82="",IF(J82="","PASS","FAIL"),IF(ABS(J82-K82)&lt;0.01,"PASS","FAIL"))</x:f>
        <x:v>PASS</x:v>
      </x:c>
    </x:row>
    <x:row r="83">
      <x:c r="A83" t="str">
        <x:v>PR_61</x:v>
      </x:c>
      <x:c r="B83" t="str">
        <x:v>Northwest Territories</x:v>
      </x:c>
      <x:c r="C83" t="str">
        <x:v>72202</x:v>
      </x:c>
      <x:c r="D83" t="str">
        <x:v>Power system electricians</x:v>
      </x:c>
      <x:c r="E83" t="str">
        <x:v>trade_power_line</x:v>
      </x:c>
      <x:c r="F83" s="167"/>
      <x:c r="G83" s="153" t="n">
        <x:v>46112</x:v>
      </x:c>
      <x:c r="H83" s="167" t="n">
        <x:v>20</x:v>
      </x:c>
      <x:c r="I83" s="153" t="n">
        <x:v>44324</x:v>
      </x:c>
      <x:c r="J83" s="145" t="str">
        <x:f>IF(OR(F83="",H83&lt;=0),"",ROUND(F83/H83*1000,2))</x:f>
      </x:c>
      <x:c r="K83" s="145"/>
      <x:c r="L83" t="str">
        <x:v>Vacancy Not Published</x:v>
      </x:c>
      <x:c r="M83" t="str">
        <x:v>observed</x:v>
      </x:c>
      <x:c r="N83" t="str">
        <x:f>IF(K83="",IF(J83="","PASS","FAIL"),IF(ABS(J83-K83)&lt;0.01,"PASS","FAIL"))</x:f>
        <x:v>PASS</x:v>
      </x:c>
    </x:row>
    <x:row r="84">
      <x:c r="A84" t="str">
        <x:v>PR_61</x:v>
      </x:c>
      <x:c r="B84" t="str">
        <x:v>Northwest Territories</x:v>
      </x:c>
      <x:c r="C84" t="str">
        <x:v>72203</x:v>
      </x:c>
      <x:c r="D84" t="str">
        <x:v>Electrical power line and cable workers</x:v>
      </x:c>
      <x:c r="E84" t="str">
        <x:v>trade_power_line</x:v>
      </x:c>
      <x:c r="F84" s="167"/>
      <x:c r="G84" s="153" t="n">
        <x:v>46112</x:v>
      </x:c>
      <x:c r="H84" s="167" t="n">
        <x:v>25</x:v>
      </x:c>
      <x:c r="I84" s="153" t="n">
        <x:v>44324</x:v>
      </x:c>
      <x:c r="J84" s="145" t="str">
        <x:f>IF(OR(F84="",H84&lt;=0),"",ROUND(F84/H84*1000,2))</x:f>
      </x:c>
      <x:c r="K84" s="145"/>
      <x:c r="L84" t="str">
        <x:v>Vacancy Not Published</x:v>
      </x:c>
      <x:c r="M84" t="str">
        <x:v>observed</x:v>
      </x:c>
      <x:c r="N84" t="str">
        <x:f>IF(K84="",IF(J84="","PASS","FAIL"),IF(ABS(J84-K84)&lt;0.01,"PASS","FAIL"))</x:f>
        <x:v>PASS</x:v>
      </x:c>
    </x:row>
    <x:row r="85">
      <x:c r="A85" t="str">
        <x:v>PR_62</x:v>
      </x:c>
      <x:c r="B85" t="str">
        <x:v>Nunavut</x:v>
      </x:c>
      <x:c r="C85" t="str">
        <x:v>73100</x:v>
      </x:c>
      <x:c r="D85" t="str">
        <x:v>Concrete finishers</x:v>
      </x:c>
      <x:c r="E85" t="str">
        <x:v>trade_concrete</x:v>
      </x:c>
      <x:c r="F85" s="167"/>
      <x:c r="G85" s="153" t="n">
        <x:v>46112</x:v>
      </x:c>
      <x:c r="H85" s="167" t="n">
        <x:v>0</x:v>
      </x:c>
      <x:c r="I85" s="153" t="n">
        <x:v>44324</x:v>
      </x:c>
      <x:c r="J85" s="145" t="str">
        <x:f>IF(OR(F85="",H85&lt;=0),"",ROUND(F85/H85*1000,2))</x:f>
      </x:c>
      <x:c r="K85" s="145"/>
      <x:c r="L85" t="str">
        <x:v>Vacancy Not Published And Workforce Denominator Zero</x:v>
      </x:c>
      <x:c r="M85" t="str">
        <x:v>observed</x:v>
      </x:c>
      <x:c r="N85" t="str">
        <x:f>IF(K85="",IF(J85="","PASS","FAIL"),IF(ABS(J85-K85)&lt;0.01,"PASS","FAIL"))</x:f>
        <x:v>PASS</x:v>
      </x:c>
    </x:row>
    <x:row r="86">
      <x:c r="A86" t="str">
        <x:v>PR_62</x:v>
      </x:c>
      <x:c r="B86" t="str">
        <x:v>Nunavut</x:v>
      </x:c>
      <x:c r="C86" t="str">
        <x:v>72200</x:v>
      </x:c>
      <x:c r="D86" t="str">
        <x:v>Electricians (except industrial and power system)</x:v>
      </x:c>
      <x:c r="E86" t="str">
        <x:v>trade_electricians</x:v>
      </x:c>
      <x:c r="F86" s="167"/>
      <x:c r="G86" s="153" t="n">
        <x:v>46112</x:v>
      </x:c>
      <x:c r="H86" s="167" t="n">
        <x:v>35</x:v>
      </x:c>
      <x:c r="I86" s="153" t="n">
        <x:v>44324</x:v>
      </x:c>
      <x:c r="J86" s="145" t="str">
        <x:f>IF(OR(F86="",H86&lt;=0),"",ROUND(F86/H86*1000,2))</x:f>
      </x:c>
      <x:c r="K86" s="145"/>
      <x:c r="L86" t="str">
        <x:v>Vacancy Not Published</x:v>
      </x:c>
      <x:c r="M86" t="str">
        <x:v>observed</x:v>
      </x:c>
      <x:c r="N86" t="str">
        <x:f>IF(K86="",IF(J86="","PASS","FAIL"),IF(ABS(J86-K86)&lt;0.01,"PASS","FAIL"))</x:f>
        <x:v>PASS</x:v>
      </x:c>
    </x:row>
    <x:row r="87">
      <x:c r="A87" t="str">
        <x:v>PR_62</x:v>
      </x:c>
      <x:c r="B87" t="str">
        <x:v>Nunavut</x:v>
      </x:c>
      <x:c r="C87" t="str">
        <x:v>72201</x:v>
      </x:c>
      <x:c r="D87" t="str">
        <x:v>Industrial electricians</x:v>
      </x:c>
      <x:c r="E87" t="str">
        <x:v>trade_electricians</x:v>
      </x:c>
      <x:c r="F87" s="167"/>
      <x:c r="G87" s="153" t="n">
        <x:v>46112</x:v>
      </x:c>
      <x:c r="H87" s="167" t="n">
        <x:v>0</x:v>
      </x:c>
      <x:c r="I87" s="153" t="n">
        <x:v>44324</x:v>
      </x:c>
      <x:c r="J87" s="145" t="str">
        <x:f>IF(OR(F87="",H87&lt;=0),"",ROUND(F87/H87*1000,2))</x:f>
      </x:c>
      <x:c r="K87" s="145"/>
      <x:c r="L87" t="str">
        <x:v>Vacancy Not Published And Workforce Denominator Zero</x:v>
      </x:c>
      <x:c r="M87" t="str">
        <x:v>observed</x:v>
      </x:c>
      <x:c r="N87" t="str">
        <x:f>IF(K87="",IF(J87="","PASS","FAIL"),IF(ABS(J87-K87)&lt;0.01,"PASS","FAIL"))</x:f>
        <x:v>PASS</x:v>
      </x:c>
    </x:row>
    <x:row r="88">
      <x:c r="A88" t="str">
        <x:v>PR_62</x:v>
      </x:c>
      <x:c r="B88" t="str">
        <x:v>Nunavut</x:v>
      </x:c>
      <x:c r="C88" t="str">
        <x:v>72402</x:v>
      </x:c>
      <x:c r="D88" t="str">
        <x:v>Heating, refrigeration and air conditioning mechanics</x:v>
      </x:c>
      <x:c r="E88" t="str">
        <x:v>trade_hvac</x:v>
      </x:c>
      <x:c r="F88" s="167"/>
      <x:c r="G88" s="153" t="n">
        <x:v>46112</x:v>
      </x:c>
      <x:c r="H88" s="167" t="n">
        <x:v>0</x:v>
      </x:c>
      <x:c r="I88" s="153" t="n">
        <x:v>44324</x:v>
      </x:c>
      <x:c r="J88" s="145" t="str">
        <x:f>IF(OR(F88="",H88&lt;=0),"",ROUND(F88/H88*1000,2))</x:f>
      </x:c>
      <x:c r="K88" s="145"/>
      <x:c r="L88" t="str">
        <x:v>Vacancy Not Published And Workforce Denominator Zero</x:v>
      </x:c>
      <x:c r="M88" t="str">
        <x:v>observed</x:v>
      </x:c>
      <x:c r="N88" t="str">
        <x:f>IF(K88="",IF(J88="","PASS","FAIL"),IF(ABS(J88-K88)&lt;0.01,"PASS","FAIL"))</x:f>
        <x:v>PASS</x:v>
      </x:c>
    </x:row>
    <x:row r="89">
      <x:c r="A89" t="str">
        <x:v>PR_62</x:v>
      </x:c>
      <x:c r="B89" t="str">
        <x:v>Nunavut</x:v>
      </x:c>
      <x:c r="C89" t="str">
        <x:v>72202</x:v>
      </x:c>
      <x:c r="D89" t="str">
        <x:v>Power system electricians</x:v>
      </x:c>
      <x:c r="E89" t="str">
        <x:v>trade_power_line</x:v>
      </x:c>
      <x:c r="F89" s="167"/>
      <x:c r="G89" s="153" t="n">
        <x:v>46112</x:v>
      </x:c>
      <x:c r="H89" s="167" t="n">
        <x:v>10</x:v>
      </x:c>
      <x:c r="I89" s="153" t="n">
        <x:v>44324</x:v>
      </x:c>
      <x:c r="J89" s="145" t="str">
        <x:f>IF(OR(F89="",H89&lt;=0),"",ROUND(F89/H89*1000,2))</x:f>
      </x:c>
      <x:c r="K89" s="145"/>
      <x:c r="L89" t="str">
        <x:v>Vacancy Not Published</x:v>
      </x:c>
      <x:c r="M89" t="str">
        <x:v>observed</x:v>
      </x:c>
      <x:c r="N89" t="str">
        <x:f>IF(K89="",IF(J89="","PASS","FAIL"),IF(ABS(J89-K89)&lt;0.01,"PASS","FAIL"))</x:f>
        <x:v>PASS</x:v>
      </x:c>
    </x:row>
    <x:row r="90">
      <x:c r="A90" t="str">
        <x:v>PR_62</x:v>
      </x:c>
      <x:c r="B90" t="str">
        <x:v>Nunavut</x:v>
      </x:c>
      <x:c r="C90" t="str">
        <x:v>72203</x:v>
      </x:c>
      <x:c r="D90" t="str">
        <x:v>Electrical power line and cable workers</x:v>
      </x:c>
      <x:c r="E90" t="str">
        <x:v>trade_power_line</x:v>
      </x:c>
      <x:c r="F90" s="167"/>
      <x:c r="G90" s="153" t="n">
        <x:v>46112</x:v>
      </x:c>
      <x:c r="H90" s="167" t="n">
        <x:v>10</x:v>
      </x:c>
      <x:c r="I90" s="153" t="n">
        <x:v>44324</x:v>
      </x:c>
      <x:c r="J90" s="145" t="str">
        <x:f>IF(OR(F90="",H90&lt;=0),"",ROUND(F90/H90*1000,2))</x:f>
      </x:c>
      <x:c r="K90" s="145"/>
      <x:c r="L90" t="str">
        <x:v>Vacancy Not Published</x:v>
      </x:c>
      <x:c r="M90" t="str">
        <x:v>observed</x:v>
      </x:c>
      <x:c r="N90" t="str">
        <x:f>IF(K90="",IF(J90="","PASS","FAIL"),IF(ABS(J90-K90)&lt;0.01,"PASS","FAIL"))</x:f>
        <x:v>PASS</x:v>
      </x:c>
    </x:row>
  </x:sheetData>
  <x:mergeCells>
    <x:mergeCell ref="A1:N2"/>
    <x:mergeCell ref="A3:N3"/>
    <x:mergeCell ref="A10:N10"/>
  </x:mergeCells>
  <x:conditionalFormatting sqref="N13:N90">
    <x:cfRule type="containsText" dxfId="10" priority="1" operator="containsText" text="PASS"/>
    <x:cfRule type="containsText" dxfId="11" priority="2" operator="containsText" text="FAIL"/>
  </x:conditionalFormatting>
  <x:pageMargins left="0.7" right="0.7" top="0.75" bottom="0.75" header="0.3" footer="0.3"/>
  <x:tableParts count="2">
    <x:tablePart xmlns:r="http://schemas.openxmlformats.org/officeDocument/2006/relationships" r:id="R84125cf0ca0f4501"/>
    <x:tablePart xmlns:r="http://schemas.openxmlformats.org/officeDocument/2006/relationships" r:id="Rc4b60db5bb244eb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27" hidden="0" customWidth="1"/>
    <x:col min="4" max="4" width="54" hidden="0" customWidth="1"/>
    <x:col min="5" max="5" width="14" hidden="0" customWidth="1"/>
    <x:col min="6" max="6" width="13" hidden="0" customWidth="1"/>
    <x:col min="7" max="7" width="18" hidden="0" customWidth="1"/>
    <x:col min="8" max="8" width="18" hidden="0" customWidth="1"/>
    <x:col min="9" max="9" width="16" hidden="0" customWidth="1"/>
    <x:col min="10" max="10" width="17" hidden="0" customWidth="1"/>
    <x:col min="11" max="11" width="14" hidden="0" customWidth="1"/>
    <x:col min="12" max="12" width="14" hidden="0" customWidth="1"/>
    <x:col min="13" max="13" width="15" hidden="0" customWidth="1"/>
    <x:col min="14" max="14" width="14" hidden="0" customWidth="1"/>
    <x:col min="15" max="15" width="28" hidden="0" customWidth="1"/>
    <x:col min="16" max="16" width="16" hidden="0" customWidth="1"/>
    <x:col min="17" max="17" width="16" hidden="0" customWidth="1"/>
    <x:col min="18" max="18" width="45" hidden="0" customWidth="1"/>
  </x:cols>
  <x:sheetData>
    <x:row r="1" ht="28" customHeight="1">
      <x:c r="A1" s="61" t="str">
        <x:v>Alberta material-cost component screen</x:v>
      </x:c>
      <x:c r="B1" s="61"/>
      <x:c r="C1" s="61"/>
      <x:c r="D1" s="61"/>
      <x:c r="E1" s="61"/>
      <x:c r="F1" s="61"/>
      <x:c r="G1" s="61"/>
      <x:c r="H1" s="61"/>
      <x:c r="I1" s="61"/>
      <x:c r="J1" s="61"/>
      <x:c r="K1" s="61"/>
      <x:c r="L1" s="61"/>
      <x:c r="M1" s="61"/>
      <x:c r="N1" s="61"/>
      <x:c r="O1" s="61"/>
      <x:c r="P1" s="61"/>
      <x:c r="Q1" s="61"/>
      <x:c r="R1" s="61"/>
    </x:row>
    <x:row r="2" ht="28" customHeight="1">
      <x:c r="A2" s="61"/>
      <x:c r="B2" s="61"/>
      <x:c r="C2" s="61"/>
      <x:c r="D2" s="61"/>
      <x:c r="E2" s="61"/>
      <x:c r="F2" s="61"/>
      <x:c r="G2" s="61"/>
      <x:c r="H2" s="61"/>
      <x:c r="I2" s="61"/>
      <x:c r="J2" s="61"/>
      <x:c r="K2" s="61"/>
      <x:c r="L2" s="61"/>
      <x:c r="M2" s="61"/>
      <x:c r="N2" s="61"/>
      <x:c r="O2" s="61"/>
      <x:c r="P2" s="61"/>
      <x:c r="Q2" s="61"/>
      <x:c r="R2" s="61"/>
    </x:row>
    <x:row r="3" ht="21" customHeight="1">
      <x:c r="A3" s="62" t="str">
        <x:v>Selected Calgary and Edmonton BCPI proxies · period ending 2026-06-30 · not AI-attributed effects</x:v>
      </x:c>
      <x:c r="B3" s="62"/>
      <x:c r="C3" s="62"/>
      <x:c r="D3" s="62"/>
      <x:c r="E3" s="62"/>
      <x:c r="F3" s="62"/>
      <x:c r="G3" s="62"/>
      <x:c r="H3" s="62"/>
      <x:c r="I3" s="62"/>
      <x:c r="J3" s="62"/>
      <x:c r="K3" s="62"/>
      <x:c r="L3" s="62"/>
      <x:c r="M3" s="62"/>
      <x:c r="N3" s="62"/>
      <x:c r="O3" s="62"/>
      <x:c r="P3" s="62"/>
      <x:c r="Q3" s="62"/>
      <x:c r="R3" s="62"/>
    </x:row>
    <x:row r="4" ht="28" customHeight="1">
      <x:c r="A4" s="44" t="str">
        <x:v>Geography ID</x:v>
      </x:c>
      <x:c r="B4" s="84" t="str">
        <x:v>Building archetype</x:v>
      </x:c>
      <x:c r="C4" s="84" t="str">
        <x:v>Component</x:v>
      </x:c>
      <x:c r="D4" s="84" t="str">
        <x:v>Indicator ID</x:v>
      </x:c>
      <x:c r="E4" s="84" t="str">
        <x:v>Period end</x:v>
      </x:c>
      <x:c r="F4" s="84" t="str">
        <x:v>Index value</x:v>
      </x:c>
      <x:c r="G4" s="84" t="str">
        <x:v>Unit</x:v>
      </x:c>
      <x:c r="H4" s="84" t="str">
        <x:v>Points from 2023 base</x:v>
      </x:c>
      <x:c r="I4" s="84" t="str">
        <x:v>Prior-quarter end</x:v>
      </x:c>
      <x:c r="J4" s="84" t="str">
        <x:v>Prior-quarter index</x:v>
      </x:c>
      <x:c r="K4" s="84" t="str">
        <x:v>QoQ change</x:v>
      </x:c>
      <x:c r="L4" s="84" t="str">
        <x:v>Year-ago end</x:v>
      </x:c>
      <x:c r="M4" s="84" t="str">
        <x:v>Year-ago index</x:v>
      </x:c>
      <x:c r="N4" s="84" t="str">
        <x:v>YoY change</x:v>
      </x:c>
      <x:c r="O4" s="84" t="str">
        <x:v>Source ID</x:v>
      </x:c>
      <x:c r="P4" s="84" t="str">
        <x:v>Source status</x:v>
      </x:c>
      <x:c r="Q4" s="84" t="str">
        <x:v>Change status</x:v>
      </x:c>
      <x:c r="R4" s="45" t="str">
        <x:v>Source URL</x:v>
      </x:c>
    </x:row>
    <x:row r="5">
      <x:c r="A5" s="63" t="str">
        <x:v>CMA_825</x:v>
      </x:c>
      <x:c r="B5" s="63" t="str">
        <x:v>Industrial Factory Proxy</x:v>
      </x:c>
      <x:c r="C5" s="63" t="str">
        <x:v>Concrete</x:v>
      </x:c>
      <x:c r="D5" s="63" t="str">
        <x:v>BCPI_FACTORY_CONCRETE</x:v>
      </x:c>
      <x:c r="E5" s="155" t="n">
        <x:v>46203</x:v>
      </x:c>
      <x:c r="F5" s="157" t="n">
        <x:v>114</x:v>
      </x:c>
      <x:c r="G5" s="63" t="str">
        <x:v>Index, 2023=100</x:v>
      </x:c>
      <x:c r="H5" s="157" t="n">
        <x:v>14</x:v>
      </x:c>
      <x:c r="I5" s="155" t="n">
        <x:v>46112</x:v>
      </x:c>
      <x:c r="J5" s="157" t="n">
        <x:v>111.4</x:v>
      </x:c>
      <x:c r="K5" s="151" t="n">
        <x:v>0.02334</x:v>
      </x:c>
      <x:c r="L5" s="155" t="n">
        <x:v>45838</x:v>
      </x:c>
      <x:c r="M5" s="157" t="n">
        <x:v>109.5</x:v>
      </x:c>
      <x:c r="N5" s="151" t="n">
        <x:v>0.041100000000000005</x:v>
      </x:c>
      <x:c r="O5" s="63" t="str">
        <x:v>STATCAN_BCPI_18100289</x:v>
      </x:c>
      <x:c r="P5" s="63" t="str">
        <x:v>observed</x:v>
      </x:c>
      <x:c r="Q5" s="63" t="str">
        <x:v>inferred</x:v>
      </x:c>
      <x:c r="R5" s="63" t="str">
        <x:v>https://www150.statcan.gc.ca/t1/tbl1/en/tv.action?pid=1810028901</x:v>
      </x:c>
    </x:row>
    <x:row r="6">
      <x:c r="A6" s="63" t="str">
        <x:v>CMA_825</x:v>
      </x:c>
      <x:c r="B6" s="63" t="str">
        <x:v>Industrial Factory Proxy</x:v>
      </x:c>
      <x:c r="C6" s="63" t="str">
        <x:v>Electrical Systems</x:v>
      </x:c>
      <x:c r="D6" s="63" t="str">
        <x:v>BCPI_FACTORY_ELECTRICAL</x:v>
      </x:c>
      <x:c r="E6" s="155" t="n">
        <x:v>46203</x:v>
      </x:c>
      <x:c r="F6" s="157" t="n">
        <x:v>109.2</x:v>
      </x:c>
      <x:c r="G6" s="63" t="str">
        <x:v>Index, 2023=100</x:v>
      </x:c>
      <x:c r="H6" s="157" t="n">
        <x:v>9.2</x:v>
      </x:c>
      <x:c r="I6" s="155" t="n">
        <x:v>46112</x:v>
      </x:c>
      <x:c r="J6" s="157" t="n">
        <x:v>108.8</x:v>
      </x:c>
      <x:c r="K6" s="151" t="n">
        <x:v>0.00368</x:v>
      </x:c>
      <x:c r="L6" s="155" t="n">
        <x:v>45838</x:v>
      </x:c>
      <x:c r="M6" s="157" t="n">
        <x:v>108.3</x:v>
      </x:c>
      <x:c r="N6" s="151" t="n">
        <x:v>0.00831</x:v>
      </x:c>
      <x:c r="O6" s="63" t="str">
        <x:v>STATCAN_BCPI_18100289</x:v>
      </x:c>
      <x:c r="P6" s="63" t="str">
        <x:v>observed</x:v>
      </x:c>
      <x:c r="Q6" s="63" t="str">
        <x:v>inferred</x:v>
      </x:c>
      <x:c r="R6" s="63" t="str">
        <x:v>https://www150.statcan.gc.ca/t1/tbl1/en/tv.action?pid=1810028901</x:v>
      </x:c>
    </x:row>
    <x:row r="7">
      <x:c r="A7" s="63" t="str">
        <x:v>CMA_825</x:v>
      </x:c>
      <x:c r="B7" s="63" t="str">
        <x:v>Industrial Factory Proxy</x:v>
      </x:c>
      <x:c r="C7" s="63" t="str">
        <x:v>Hvac</x:v>
      </x:c>
      <x:c r="D7" s="63" t="str">
        <x:v>BCPI_FACTORY_HEATING_VENTILATION_AND_AIR_CONDITIONING</x:v>
      </x:c>
      <x:c r="E7" s="155" t="n">
        <x:v>46203</x:v>
      </x:c>
      <x:c r="F7" s="157" t="n">
        <x:v>119.3</x:v>
      </x:c>
      <x:c r="G7" s="63" t="str">
        <x:v>Index, 2023=100</x:v>
      </x:c>
      <x:c r="H7" s="157" t="n">
        <x:v>19.3</x:v>
      </x:c>
      <x:c r="I7" s="155" t="n">
        <x:v>46112</x:v>
      </x:c>
      <x:c r="J7" s="157" t="n">
        <x:v>118.7</x:v>
      </x:c>
      <x:c r="K7" s="151" t="n">
        <x:v>0.00505</x:v>
      </x:c>
      <x:c r="L7" s="155" t="n">
        <x:v>45838</x:v>
      </x:c>
      <x:c r="M7" s="157" t="n">
        <x:v>108.4</x:v>
      </x:c>
      <x:c r="N7" s="151" t="n">
        <x:v>0.10055</x:v>
      </x:c>
      <x:c r="O7" s="63" t="str">
        <x:v>STATCAN_BCPI_18100289</x:v>
      </x:c>
      <x:c r="P7" s="63" t="str">
        <x:v>observed</x:v>
      </x:c>
      <x:c r="Q7" s="63" t="str">
        <x:v>inferred</x:v>
      </x:c>
      <x:c r="R7" s="63" t="str">
        <x:v>https://www150.statcan.gc.ca/t1/tbl1/en/tv.action?pid=1810028901</x:v>
      </x:c>
    </x:row>
    <x:row r="8">
      <x:c r="A8" s="63" t="str">
        <x:v>CMA_825</x:v>
      </x:c>
      <x:c r="B8" s="63" t="str">
        <x:v>Industrial Factory Proxy</x:v>
      </x:c>
      <x:c r="C8" s="63" t="str">
        <x:v>Structural Steel Framing</x:v>
      </x:c>
      <x:c r="D8" s="63" t="str">
        <x:v>BCPI_FACTORY_STRUCTURAL_STEEL_FRAMING</x:v>
      </x:c>
      <x:c r="E8" s="155" t="n">
        <x:v>46203</x:v>
      </x:c>
      <x:c r="F8" s="157" t="n">
        <x:v>108.8</x:v>
      </x:c>
      <x:c r="G8" s="63" t="str">
        <x:v>Index, 2023=100</x:v>
      </x:c>
      <x:c r="H8" s="157" t="n">
        <x:v>8.8</x:v>
      </x:c>
      <x:c r="I8" s="155" t="n">
        <x:v>46112</x:v>
      </x:c>
      <x:c r="J8" s="157" t="n">
        <x:v>106.6</x:v>
      </x:c>
      <x:c r="K8" s="151" t="n">
        <x:v>0.020640000000000002</x:v>
      </x:c>
      <x:c r="L8" s="155" t="n">
        <x:v>45838</x:v>
      </x:c>
      <x:c r="M8" s="157" t="n">
        <x:v>101.4</x:v>
      </x:c>
      <x:c r="N8" s="151" t="n">
        <x:v>0.07298</x:v>
      </x:c>
      <x:c r="O8" s="63" t="str">
        <x:v>STATCAN_BCPI_18100289</x:v>
      </x:c>
      <x:c r="P8" s="63" t="str">
        <x:v>observed</x:v>
      </x:c>
      <x:c r="Q8" s="63" t="str">
        <x:v>inferred</x:v>
      </x:c>
      <x:c r="R8" s="63" t="str">
        <x:v>https://www150.statcan.gc.ca/t1/tbl1/en/tv.action?pid=1810028901</x:v>
      </x:c>
    </x:row>
    <x:row r="9">
      <x:c r="A9" s="63" t="str">
        <x:v>CMA_825</x:v>
      </x:c>
      <x:c r="B9" s="63" t="str">
        <x:v>Institutional Buildings</x:v>
      </x:c>
      <x:c r="C9" s="63" t="str">
        <x:v>Concrete</x:v>
      </x:c>
      <x:c r="D9" s="63" t="str">
        <x:v>BCPI_INSTITUTIONAL_BUILDINGS_62213_CONCRETE</x:v>
      </x:c>
      <x:c r="E9" s="155" t="n">
        <x:v>46203</x:v>
      </x:c>
      <x:c r="F9" s="157" t="n">
        <x:v>110.8</x:v>
      </x:c>
      <x:c r="G9" s="63" t="str">
        <x:v>Index, 2023=100</x:v>
      </x:c>
      <x:c r="H9" s="157" t="n">
        <x:v>10.8</x:v>
      </x:c>
      <x:c r="I9" s="155" t="n">
        <x:v>46112</x:v>
      </x:c>
      <x:c r="J9" s="157" t="n">
        <x:v>108.9</x:v>
      </x:c>
      <x:c r="K9" s="151" t="n">
        <x:v>0.01745</x:v>
      </x:c>
      <x:c r="L9" s="155" t="n">
        <x:v>45838</x:v>
      </x:c>
      <x:c r="M9" s="157" t="n">
        <x:v>106.6</x:v>
      </x:c>
      <x:c r="N9" s="151" t="n">
        <x:v>0.0394</x:v>
      </x:c>
      <x:c r="O9" s="63" t="str">
        <x:v>STATCAN_BCPI_18100289</x:v>
      </x:c>
      <x:c r="P9" s="63" t="str">
        <x:v>observed</x:v>
      </x:c>
      <x:c r="Q9" s="63" t="str">
        <x:v>inferred</x:v>
      </x:c>
      <x:c r="R9" s="63" t="str">
        <x:v>https://www150.statcan.gc.ca/t1/tbl1/en/tv.action?pid=1810028901</x:v>
      </x:c>
    </x:row>
    <x:row r="10">
      <x:c r="A10" s="63" t="str">
        <x:v>CMA_825</x:v>
      </x:c>
      <x:c r="B10" s="63" t="str">
        <x:v>Institutional Buildings</x:v>
      </x:c>
      <x:c r="C10" s="63" t="str">
        <x:v>Electrical Systems</x:v>
      </x:c>
      <x:c r="D10" s="63" t="str">
        <x:v>BCPI_INSTITUTIONAL_BUILDINGS_62213_ELECTRICAL</x:v>
      </x:c>
      <x:c r="E10" s="155" t="n">
        <x:v>46203</x:v>
      </x:c>
      <x:c r="F10" s="157" t="n">
        <x:v>112.9</x:v>
      </x:c>
      <x:c r="G10" s="63" t="str">
        <x:v>Index, 2023=100</x:v>
      </x:c>
      <x:c r="H10" s="157" t="n">
        <x:v>12.9</x:v>
      </x:c>
      <x:c r="I10" s="155" t="n">
        <x:v>46112</x:v>
      </x:c>
      <x:c r="J10" s="157" t="n">
        <x:v>112.7</x:v>
      </x:c>
      <x:c r="K10" s="151" t="n">
        <x:v>0.0017699999999999999</x:v>
      </x:c>
      <x:c r="L10" s="155" t="n">
        <x:v>45838</x:v>
      </x:c>
      <x:c r="M10" s="157" t="n">
        <x:v>112.1</x:v>
      </x:c>
      <x:c r="N10" s="151" t="n">
        <x:v>0.00714</x:v>
      </x:c>
      <x:c r="O10" s="63" t="str">
        <x:v>STATCAN_BCPI_18100289</x:v>
      </x:c>
      <x:c r="P10" s="63" t="str">
        <x:v>observed</x:v>
      </x:c>
      <x:c r="Q10" s="63" t="str">
        <x:v>inferred</x:v>
      </x:c>
      <x:c r="R10" s="63" t="str">
        <x:v>https://www150.statcan.gc.ca/t1/tbl1/en/tv.action?pid=1810028901</x:v>
      </x:c>
    </x:row>
    <x:row r="11">
      <x:c r="A11" s="63" t="str">
        <x:v>CMA_825</x:v>
      </x:c>
      <x:c r="B11" s="63" t="str">
        <x:v>Institutional Buildings</x:v>
      </x:c>
      <x:c r="C11" s="63" t="str">
        <x:v>Hvac</x:v>
      </x:c>
      <x:c r="D11" s="63" t="str">
        <x:v>BCPI_INSTITUTIONAL_BUILDINGS_62213_HEATING_VENTILATION_AND_AIR_CONDITIONING</x:v>
      </x:c>
      <x:c r="E11" s="155" t="n">
        <x:v>46203</x:v>
      </x:c>
      <x:c r="F11" s="157" t="n">
        <x:v>108.5</x:v>
      </x:c>
      <x:c r="G11" s="63" t="str">
        <x:v>Index, 2023=100</x:v>
      </x:c>
      <x:c r="H11" s="157" t="n">
        <x:v>8.5</x:v>
      </x:c>
      <x:c r="I11" s="155" t="n">
        <x:v>46112</x:v>
      </x:c>
      <x:c r="J11" s="157" t="n">
        <x:v>107.5</x:v>
      </x:c>
      <x:c r="K11" s="151" t="n">
        <x:v>0.009300000000000001</x:v>
      </x:c>
      <x:c r="L11" s="155" t="n">
        <x:v>45838</x:v>
      </x:c>
      <x:c r="M11" s="157" t="n">
        <x:v>111.7</x:v>
      </x:c>
      <x:c r="N11" s="151" t="n">
        <x:v>-0.028650000000000002</x:v>
      </x:c>
      <x:c r="O11" s="63" t="str">
        <x:v>STATCAN_BCPI_18100289</x:v>
      </x:c>
      <x:c r="P11" s="63" t="str">
        <x:v>observed</x:v>
      </x:c>
      <x:c r="Q11" s="63" t="str">
        <x:v>inferred</x:v>
      </x:c>
      <x:c r="R11" s="63" t="str">
        <x:v>https://www150.statcan.gc.ca/t1/tbl1/en/tv.action?pid=1810028901</x:v>
      </x:c>
    </x:row>
    <x:row r="12">
      <x:c r="A12" s="63" t="str">
        <x:v>CMA_825</x:v>
      </x:c>
      <x:c r="B12" s="63" t="str">
        <x:v>Institutional Buildings</x:v>
      </x:c>
      <x:c r="C12" s="63" t="str">
        <x:v>Structural Steel Framing</x:v>
      </x:c>
      <x:c r="D12" s="63" t="str">
        <x:v>BCPI_INSTITUTIONAL_BUILDINGS_62213_STRUCTURAL_STEEL_FRAMING</x:v>
      </x:c>
      <x:c r="E12" s="155" t="n">
        <x:v>46203</x:v>
      </x:c>
      <x:c r="F12" s="157" t="n">
        <x:v>108.8</x:v>
      </x:c>
      <x:c r="G12" s="63" t="str">
        <x:v>Index, 2023=100</x:v>
      </x:c>
      <x:c r="H12" s="157" t="n">
        <x:v>8.8</x:v>
      </x:c>
      <x:c r="I12" s="155" t="n">
        <x:v>46112</x:v>
      </x:c>
      <x:c r="J12" s="157" t="n">
        <x:v>106.6</x:v>
      </x:c>
      <x:c r="K12" s="151" t="n">
        <x:v>0.020640000000000002</x:v>
      </x:c>
      <x:c r="L12" s="155" t="n">
        <x:v>45838</x:v>
      </x:c>
      <x:c r="M12" s="157" t="n">
        <x:v>101.4</x:v>
      </x:c>
      <x:c r="N12" s="151" t="n">
        <x:v>0.07298</x:v>
      </x:c>
      <x:c r="O12" s="63" t="str">
        <x:v>STATCAN_BCPI_18100289</x:v>
      </x:c>
      <x:c r="P12" s="63" t="str">
        <x:v>observed</x:v>
      </x:c>
      <x:c r="Q12" s="63" t="str">
        <x:v>inferred</x:v>
      </x:c>
      <x:c r="R12" s="63" t="str">
        <x:v>https://www150.statcan.gc.ca/t1/tbl1/en/tv.action?pid=1810028901</x:v>
      </x:c>
    </x:row>
    <x:row r="13">
      <x:c r="A13" s="63" t="str">
        <x:v>CMA_825</x:v>
      </x:c>
      <x:c r="B13" s="63" t="str">
        <x:v>Municipal Operations Bus Depot</x:v>
      </x:c>
      <x:c r="C13" s="63" t="str">
        <x:v>Concrete</x:v>
      </x:c>
      <x:c r="D13" s="63" t="str">
        <x:v>BCPI_BUS_DEPOT_WITH_MAINTENANCE_AND_REPAIR_FACILITIES_CONCRETE</x:v>
      </x:c>
      <x:c r="E13" s="155" t="n">
        <x:v>46203</x:v>
      </x:c>
      <x:c r="F13" s="157" t="n">
        <x:v>112.1</x:v>
      </x:c>
      <x:c r="G13" s="63" t="str">
        <x:v>Index, 2023=100</x:v>
      </x:c>
      <x:c r="H13" s="157" t="n">
        <x:v>12.1</x:v>
      </x:c>
      <x:c r="I13" s="155" t="n">
        <x:v>46112</x:v>
      </x:c>
      <x:c r="J13" s="157" t="n">
        <x:v>109.9</x:v>
      </x:c>
      <x:c r="K13" s="151" t="n">
        <x:v>0.020019999999999996</x:v>
      </x:c>
      <x:c r="L13" s="155" t="n">
        <x:v>45838</x:v>
      </x:c>
      <x:c r="M13" s="157" t="n">
        <x:v>108.1</x:v>
      </x:c>
      <x:c r="N13" s="151" t="n">
        <x:v>0.037000000000000005</x:v>
      </x:c>
      <x:c r="O13" s="63" t="str">
        <x:v>STATCAN_BCPI_18100289</x:v>
      </x:c>
      <x:c r="P13" s="63" t="str">
        <x:v>observed</x:v>
      </x:c>
      <x:c r="Q13" s="63" t="str">
        <x:v>inferred</x:v>
      </x:c>
      <x:c r="R13" s="63" t="str">
        <x:v>https://www150.statcan.gc.ca/t1/tbl1/en/tv.action?pid=1810028901</x:v>
      </x:c>
    </x:row>
    <x:row r="14">
      <x:c r="A14" s="63" t="str">
        <x:v>CMA_825</x:v>
      </x:c>
      <x:c r="B14" s="63" t="str">
        <x:v>Municipal Operations Bus Depot</x:v>
      </x:c>
      <x:c r="C14" s="63" t="str">
        <x:v>Electrical Systems</x:v>
      </x:c>
      <x:c r="D14" s="63" t="str">
        <x:v>BCPI_BUS_DEPOT_WITH_MAINTENANCE_AND_REPAIR_FACILITIES_ELECTRICAL</x:v>
      </x:c>
      <x:c r="E14" s="155" t="n">
        <x:v>46203</x:v>
      </x:c>
      <x:c r="F14" s="157" t="n">
        <x:v>111.9</x:v>
      </x:c>
      <x:c r="G14" s="63" t="str">
        <x:v>Index, 2023=100</x:v>
      </x:c>
      <x:c r="H14" s="157" t="n">
        <x:v>11.9</x:v>
      </x:c>
      <x:c r="I14" s="155" t="n">
        <x:v>46112</x:v>
      </x:c>
      <x:c r="J14" s="157" t="n">
        <x:v>111</x:v>
      </x:c>
      <x:c r="K14" s="151" t="n">
        <x:v>0.008110000000000001</x:v>
      </x:c>
      <x:c r="L14" s="155" t="n">
        <x:v>45838</x:v>
      </x:c>
      <x:c r="M14" s="157" t="n">
        <x:v>110.6</x:v>
      </x:c>
      <x:c r="N14" s="151" t="n">
        <x:v>0.01175</x:v>
      </x:c>
      <x:c r="O14" s="63" t="str">
        <x:v>STATCAN_BCPI_18100289</x:v>
      </x:c>
      <x:c r="P14" s="63" t="str">
        <x:v>observed</x:v>
      </x:c>
      <x:c r="Q14" s="63" t="str">
        <x:v>inferred</x:v>
      </x:c>
      <x:c r="R14" s="63" t="str">
        <x:v>https://www150.statcan.gc.ca/t1/tbl1/en/tv.action?pid=1810028901</x:v>
      </x:c>
    </x:row>
    <x:row r="15">
      <x:c r="A15" s="63" t="str">
        <x:v>CMA_825</x:v>
      </x:c>
      <x:c r="B15" s="63" t="str">
        <x:v>Municipal Operations Bus Depot</x:v>
      </x:c>
      <x:c r="C15" s="63" t="str">
        <x:v>Hvac</x:v>
      </x:c>
      <x:c r="D15" s="63" t="str">
        <x:v>BCPI_BUS_DEPOT_WITH_MAINTENANCE_AND_REPAIR_FACILITIES_HEATING_VENTILATION_AND_AIR_CONDITIONING</x:v>
      </x:c>
      <x:c r="E15" s="155" t="n">
        <x:v>46203</x:v>
      </x:c>
      <x:c r="F15" s="157" t="n">
        <x:v>117.3</x:v>
      </x:c>
      <x:c r="G15" s="63" t="str">
        <x:v>Index, 2023=100</x:v>
      </x:c>
      <x:c r="H15" s="157" t="n">
        <x:v>17.3</x:v>
      </x:c>
      <x:c r="I15" s="155" t="n">
        <x:v>46112</x:v>
      </x:c>
      <x:c r="J15" s="157" t="n">
        <x:v>116.2</x:v>
      </x:c>
      <x:c r="K15" s="151" t="n">
        <x:v>0.00947</x:v>
      </x:c>
      <x:c r="L15" s="155" t="n">
        <x:v>45838</x:v>
      </x:c>
      <x:c r="M15" s="157" t="n">
        <x:v>109.1</x:v>
      </x:c>
      <x:c r="N15" s="151" t="n">
        <x:v>0.07516</x:v>
      </x:c>
      <x:c r="O15" s="63" t="str">
        <x:v>STATCAN_BCPI_18100289</x:v>
      </x:c>
      <x:c r="P15" s="63" t="str">
        <x:v>observed</x:v>
      </x:c>
      <x:c r="Q15" s="63" t="str">
        <x:v>inferred</x:v>
      </x:c>
      <x:c r="R15" s="63" t="str">
        <x:v>https://www150.statcan.gc.ca/t1/tbl1/en/tv.action?pid=1810028901</x:v>
      </x:c>
    </x:row>
    <x:row r="16">
      <x:c r="A16" s="63" t="str">
        <x:v>CMA_825</x:v>
      </x:c>
      <x:c r="B16" s="63" t="str">
        <x:v>Municipal Operations Bus Depot</x:v>
      </x:c>
      <x:c r="C16" s="63" t="str">
        <x:v>Structural Steel Framing</x:v>
      </x:c>
      <x:c r="D16" s="63" t="str">
        <x:v>BCPI_BUS_DEPOT_WITH_MAINTENANCE_AND_REPAIR_FACILITIES_STRUCTURAL_STEEL_FRAMING</x:v>
      </x:c>
      <x:c r="E16" s="155" t="n">
        <x:v>46203</x:v>
      </x:c>
      <x:c r="F16" s="157" t="n">
        <x:v>108.8</x:v>
      </x:c>
      <x:c r="G16" s="63" t="str">
        <x:v>Index, 2023=100</x:v>
      </x:c>
      <x:c r="H16" s="157" t="n">
        <x:v>8.8</x:v>
      </x:c>
      <x:c r="I16" s="155" t="n">
        <x:v>46112</x:v>
      </x:c>
      <x:c r="J16" s="157" t="n">
        <x:v>106.6</x:v>
      </x:c>
      <x:c r="K16" s="151" t="n">
        <x:v>0.020640000000000002</x:v>
      </x:c>
      <x:c r="L16" s="155" t="n">
        <x:v>45838</x:v>
      </x:c>
      <x:c r="M16" s="157" t="n">
        <x:v>101.4</x:v>
      </x:c>
      <x:c r="N16" s="151" t="n">
        <x:v>0.07298</x:v>
      </x:c>
      <x:c r="O16" s="63" t="str">
        <x:v>STATCAN_BCPI_18100289</x:v>
      </x:c>
      <x:c r="P16" s="63" t="str">
        <x:v>observed</x:v>
      </x:c>
      <x:c r="Q16" s="63" t="str">
        <x:v>inferred</x:v>
      </x:c>
      <x:c r="R16" s="63" t="str">
        <x:v>https://www150.statcan.gc.ca/t1/tbl1/en/tv.action?pid=1810028901</x:v>
      </x:c>
    </x:row>
    <x:row r="17">
      <x:c r="A17" s="63" t="str">
        <x:v>CMA_825</x:v>
      </x:c>
      <x:c r="B17" s="63" t="str">
        <x:v>Schools</x:v>
      </x:c>
      <x:c r="C17" s="63" t="str">
        <x:v>Concrete</x:v>
      </x:c>
      <x:c r="D17" s="63" t="str">
        <x:v>BCPI_SCHOOL_CONCRETE</x:v>
      </x:c>
      <x:c r="E17" s="155" t="n">
        <x:v>46203</x:v>
      </x:c>
      <x:c r="F17" s="157" t="n">
        <x:v>110.8</x:v>
      </x:c>
      <x:c r="G17" s="63" t="str">
        <x:v>Index, 2023=100</x:v>
      </x:c>
      <x:c r="H17" s="157" t="n">
        <x:v>10.8</x:v>
      </x:c>
      <x:c r="I17" s="155" t="n">
        <x:v>46112</x:v>
      </x:c>
      <x:c r="J17" s="157" t="n">
        <x:v>108.9</x:v>
      </x:c>
      <x:c r="K17" s="151" t="n">
        <x:v>0.01745</x:v>
      </x:c>
      <x:c r="L17" s="155" t="n">
        <x:v>45838</x:v>
      </x:c>
      <x:c r="M17" s="157" t="n">
        <x:v>106.6</x:v>
      </x:c>
      <x:c r="N17" s="151" t="n">
        <x:v>0.0394</x:v>
      </x:c>
      <x:c r="O17" s="63" t="str">
        <x:v>STATCAN_BCPI_18100289</x:v>
      </x:c>
      <x:c r="P17" s="63" t="str">
        <x:v>observed</x:v>
      </x:c>
      <x:c r="Q17" s="63" t="str">
        <x:v>inferred</x:v>
      </x:c>
      <x:c r="R17" s="63" t="str">
        <x:v>https://www150.statcan.gc.ca/t1/tbl1/en/tv.action?pid=1810028901</x:v>
      </x:c>
    </x:row>
    <x:row r="18">
      <x:c r="A18" s="63" t="str">
        <x:v>CMA_825</x:v>
      </x:c>
      <x:c r="B18" s="63" t="str">
        <x:v>Schools</x:v>
      </x:c>
      <x:c r="C18" s="63" t="str">
        <x:v>Electrical Systems</x:v>
      </x:c>
      <x:c r="D18" s="63" t="str">
        <x:v>BCPI_SCHOOL_ELECTRICAL</x:v>
      </x:c>
      <x:c r="E18" s="155" t="n">
        <x:v>46203</x:v>
      </x:c>
      <x:c r="F18" s="157" t="n">
        <x:v>112.9</x:v>
      </x:c>
      <x:c r="G18" s="63" t="str">
        <x:v>Index, 2023=100</x:v>
      </x:c>
      <x:c r="H18" s="157" t="n">
        <x:v>12.9</x:v>
      </x:c>
      <x:c r="I18" s="155" t="n">
        <x:v>46112</x:v>
      </x:c>
      <x:c r="J18" s="157" t="n">
        <x:v>112.7</x:v>
      </x:c>
      <x:c r="K18" s="151" t="n">
        <x:v>0.0017699999999999999</x:v>
      </x:c>
      <x:c r="L18" s="155" t="n">
        <x:v>45838</x:v>
      </x:c>
      <x:c r="M18" s="157" t="n">
        <x:v>112.1</x:v>
      </x:c>
      <x:c r="N18" s="151" t="n">
        <x:v>0.00714</x:v>
      </x:c>
      <x:c r="O18" s="63" t="str">
        <x:v>STATCAN_BCPI_18100289</x:v>
      </x:c>
      <x:c r="P18" s="63" t="str">
        <x:v>observed</x:v>
      </x:c>
      <x:c r="Q18" s="63" t="str">
        <x:v>inferred</x:v>
      </x:c>
      <x:c r="R18" s="63" t="str">
        <x:v>https://www150.statcan.gc.ca/t1/tbl1/en/tv.action?pid=1810028901</x:v>
      </x:c>
    </x:row>
    <x:row r="19">
      <x:c r="A19" s="63" t="str">
        <x:v>CMA_825</x:v>
      </x:c>
      <x:c r="B19" s="63" t="str">
        <x:v>Schools</x:v>
      </x:c>
      <x:c r="C19" s="63" t="str">
        <x:v>Hvac</x:v>
      </x:c>
      <x:c r="D19" s="63" t="str">
        <x:v>BCPI_SCHOOL_HEATING_VENTILATION_AND_AIR_CONDITIONING</x:v>
      </x:c>
      <x:c r="E19" s="155" t="n">
        <x:v>46203</x:v>
      </x:c>
      <x:c r="F19" s="157" t="n">
        <x:v>108.5</x:v>
      </x:c>
      <x:c r="G19" s="63" t="str">
        <x:v>Index, 2023=100</x:v>
      </x:c>
      <x:c r="H19" s="157" t="n">
        <x:v>8.5</x:v>
      </x:c>
      <x:c r="I19" s="155" t="n">
        <x:v>46112</x:v>
      </x:c>
      <x:c r="J19" s="157" t="n">
        <x:v>107.5</x:v>
      </x:c>
      <x:c r="K19" s="151" t="n">
        <x:v>0.009300000000000001</x:v>
      </x:c>
      <x:c r="L19" s="155" t="n">
        <x:v>45838</x:v>
      </x:c>
      <x:c r="M19" s="157" t="n">
        <x:v>111.7</x:v>
      </x:c>
      <x:c r="N19" s="151" t="n">
        <x:v>-0.028650000000000002</x:v>
      </x:c>
      <x:c r="O19" s="63" t="str">
        <x:v>STATCAN_BCPI_18100289</x:v>
      </x:c>
      <x:c r="P19" s="63" t="str">
        <x:v>observed</x:v>
      </x:c>
      <x:c r="Q19" s="63" t="str">
        <x:v>inferred</x:v>
      </x:c>
      <x:c r="R19" s="63" t="str">
        <x:v>https://www150.statcan.gc.ca/t1/tbl1/en/tv.action?pid=1810028901</x:v>
      </x:c>
    </x:row>
    <x:row r="20">
      <x:c r="A20" s="63" t="str">
        <x:v>CMA_825</x:v>
      </x:c>
      <x:c r="B20" s="63" t="str">
        <x:v>Schools</x:v>
      </x:c>
      <x:c r="C20" s="63" t="str">
        <x:v>Structural Steel Framing</x:v>
      </x:c>
      <x:c r="D20" s="63" t="str">
        <x:v>BCPI_SCHOOL_STRUCTURAL_STEEL_FRAMING</x:v>
      </x:c>
      <x:c r="E20" s="155" t="n">
        <x:v>46203</x:v>
      </x:c>
      <x:c r="F20" s="157" t="n">
        <x:v>108.8</x:v>
      </x:c>
      <x:c r="G20" s="63" t="str">
        <x:v>Index, 2023=100</x:v>
      </x:c>
      <x:c r="H20" s="157" t="n">
        <x:v>8.8</x:v>
      </x:c>
      <x:c r="I20" s="155" t="n">
        <x:v>46112</x:v>
      </x:c>
      <x:c r="J20" s="157" t="n">
        <x:v>106.6</x:v>
      </x:c>
      <x:c r="K20" s="151" t="n">
        <x:v>0.020640000000000002</x:v>
      </x:c>
      <x:c r="L20" s="155" t="n">
        <x:v>45838</x:v>
      </x:c>
      <x:c r="M20" s="157" t="n">
        <x:v>101.4</x:v>
      </x:c>
      <x:c r="N20" s="151" t="n">
        <x:v>0.07298</x:v>
      </x:c>
      <x:c r="O20" s="63" t="str">
        <x:v>STATCAN_BCPI_18100289</x:v>
      </x:c>
      <x:c r="P20" s="63" t="str">
        <x:v>observed</x:v>
      </x:c>
      <x:c r="Q20" s="63" t="str">
        <x:v>inferred</x:v>
      </x:c>
      <x:c r="R20" s="63" t="str">
        <x:v>https://www150.statcan.gc.ca/t1/tbl1/en/tv.action?pid=1810028901</x:v>
      </x:c>
    </x:row>
    <x:row r="21">
      <x:c r="A21" s="63" t="str">
        <x:v>CMA_835</x:v>
      </x:c>
      <x:c r="B21" s="63" t="str">
        <x:v>Industrial Factory Proxy</x:v>
      </x:c>
      <x:c r="C21" s="63" t="str">
        <x:v>Concrete</x:v>
      </x:c>
      <x:c r="D21" s="63" t="str">
        <x:v>BCPI_FACTORY_CONCRETE</x:v>
      </x:c>
      <x:c r="E21" s="155" t="n">
        <x:v>46203</x:v>
      </x:c>
      <x:c r="F21" s="157" t="n">
        <x:v>118.4</x:v>
      </x:c>
      <x:c r="G21" s="63" t="str">
        <x:v>Index, 2023=100</x:v>
      </x:c>
      <x:c r="H21" s="157" t="n">
        <x:v>18.4</x:v>
      </x:c>
      <x:c r="I21" s="155" t="n">
        <x:v>46112</x:v>
      </x:c>
      <x:c r="J21" s="157" t="n">
        <x:v>116.1</x:v>
      </x:c>
      <x:c r="K21" s="151" t="n">
        <x:v>0.01981</x:v>
      </x:c>
      <x:c r="L21" s="155" t="n">
        <x:v>45838</x:v>
      </x:c>
      <x:c r="M21" s="157" t="n">
        <x:v>112.5</x:v>
      </x:c>
      <x:c r="N21" s="151" t="n">
        <x:v>0.05244</x:v>
      </x:c>
      <x:c r="O21" s="63" t="str">
        <x:v>STATCAN_BCPI_18100289</x:v>
      </x:c>
      <x:c r="P21" s="63" t="str">
        <x:v>observed</x:v>
      </x:c>
      <x:c r="Q21" s="63" t="str">
        <x:v>inferred</x:v>
      </x:c>
      <x:c r="R21" s="63" t="str">
        <x:v>https://www150.statcan.gc.ca/t1/tbl1/en/tv.action?pid=1810028901</x:v>
      </x:c>
    </x:row>
    <x:row r="22">
      <x:c r="A22" s="63" t="str">
        <x:v>CMA_835</x:v>
      </x:c>
      <x:c r="B22" s="63" t="str">
        <x:v>Industrial Factory Proxy</x:v>
      </x:c>
      <x:c r="C22" s="63" t="str">
        <x:v>Electrical Systems</x:v>
      </x:c>
      <x:c r="D22" s="63" t="str">
        <x:v>BCPI_FACTORY_ELECTRICAL</x:v>
      </x:c>
      <x:c r="E22" s="155" t="n">
        <x:v>46203</x:v>
      </x:c>
      <x:c r="F22" s="157" t="n">
        <x:v>109.7</x:v>
      </x:c>
      <x:c r="G22" s="63" t="str">
        <x:v>Index, 2023=100</x:v>
      </x:c>
      <x:c r="H22" s="157" t="n">
        <x:v>9.7</x:v>
      </x:c>
      <x:c r="I22" s="155" t="n">
        <x:v>46112</x:v>
      </x:c>
      <x:c r="J22" s="157" t="n">
        <x:v>109.2</x:v>
      </x:c>
      <x:c r="K22" s="151" t="n">
        <x:v>0.00458</x:v>
      </x:c>
      <x:c r="L22" s="155" t="n">
        <x:v>45838</x:v>
      </x:c>
      <x:c r="M22" s="157" t="n">
        <x:v>108.6</x:v>
      </x:c>
      <x:c r="N22" s="151" t="n">
        <x:v>0.010129999999999998</x:v>
      </x:c>
      <x:c r="O22" s="63" t="str">
        <x:v>STATCAN_BCPI_18100289</x:v>
      </x:c>
      <x:c r="P22" s="63" t="str">
        <x:v>observed</x:v>
      </x:c>
      <x:c r="Q22" s="63" t="str">
        <x:v>inferred</x:v>
      </x:c>
      <x:c r="R22" s="63" t="str">
        <x:v>https://www150.statcan.gc.ca/t1/tbl1/en/tv.action?pid=1810028901</x:v>
      </x:c>
    </x:row>
    <x:row r="23">
      <x:c r="A23" s="63" t="str">
        <x:v>CMA_835</x:v>
      </x:c>
      <x:c r="B23" s="63" t="str">
        <x:v>Industrial Factory Proxy</x:v>
      </x:c>
      <x:c r="C23" s="63" t="str">
        <x:v>Hvac</x:v>
      </x:c>
      <x:c r="D23" s="63" t="str">
        <x:v>BCPI_FACTORY_HEATING_VENTILATION_AND_AIR_CONDITIONING</x:v>
      </x:c>
      <x:c r="E23" s="155" t="n">
        <x:v>46203</x:v>
      </x:c>
      <x:c r="F23" s="157" t="n">
        <x:v>119.4</x:v>
      </x:c>
      <x:c r="G23" s="63" t="str">
        <x:v>Index, 2023=100</x:v>
      </x:c>
      <x:c r="H23" s="157" t="n">
        <x:v>19.4</x:v>
      </x:c>
      <x:c r="I23" s="155" t="n">
        <x:v>46112</x:v>
      </x:c>
      <x:c r="J23" s="157" t="n">
        <x:v>118.7</x:v>
      </x:c>
      <x:c r="K23" s="151" t="n">
        <x:v>0.0059</x:v>
      </x:c>
      <x:c r="L23" s="155" t="n">
        <x:v>45838</x:v>
      </x:c>
      <x:c r="M23" s="157" t="n">
        <x:v>108.5</x:v>
      </x:c>
      <x:c r="N23" s="151" t="n">
        <x:v>0.10046</x:v>
      </x:c>
      <x:c r="O23" s="63" t="str">
        <x:v>STATCAN_BCPI_18100289</x:v>
      </x:c>
      <x:c r="P23" s="63" t="str">
        <x:v>observed</x:v>
      </x:c>
      <x:c r="Q23" s="63" t="str">
        <x:v>inferred</x:v>
      </x:c>
      <x:c r="R23" s="63" t="str">
        <x:v>https://www150.statcan.gc.ca/t1/tbl1/en/tv.action?pid=1810028901</x:v>
      </x:c>
    </x:row>
    <x:row r="24">
      <x:c r="A24" s="63" t="str">
        <x:v>CMA_835</x:v>
      </x:c>
      <x:c r="B24" s="63" t="str">
        <x:v>Industrial Factory Proxy</x:v>
      </x:c>
      <x:c r="C24" s="63" t="str">
        <x:v>Structural Steel Framing</x:v>
      </x:c>
      <x:c r="D24" s="63" t="str">
        <x:v>BCPI_FACTORY_STRUCTURAL_STEEL_FRAMING</x:v>
      </x:c>
      <x:c r="E24" s="155" t="n">
        <x:v>46203</x:v>
      </x:c>
      <x:c r="F24" s="157" t="n">
        <x:v>121.7</x:v>
      </x:c>
      <x:c r="G24" s="63" t="str">
        <x:v>Index, 2023=100</x:v>
      </x:c>
      <x:c r="H24" s="157" t="n">
        <x:v>21.7</x:v>
      </x:c>
      <x:c r="I24" s="155" t="n">
        <x:v>46112</x:v>
      </x:c>
      <x:c r="J24" s="157" t="n">
        <x:v>118.3</x:v>
      </x:c>
      <x:c r="K24" s="151" t="n">
        <x:v>0.02874</x:v>
      </x:c>
      <x:c r="L24" s="155" t="n">
        <x:v>45838</x:v>
      </x:c>
      <x:c r="M24" s="157" t="n">
        <x:v>110.2</x:v>
      </x:c>
      <x:c r="N24" s="151" t="n">
        <x:v>0.10436</x:v>
      </x:c>
      <x:c r="O24" s="63" t="str">
        <x:v>STATCAN_BCPI_18100289</x:v>
      </x:c>
      <x:c r="P24" s="63" t="str">
        <x:v>observed</x:v>
      </x:c>
      <x:c r="Q24" s="63" t="str">
        <x:v>inferred</x:v>
      </x:c>
      <x:c r="R24" s="63" t="str">
        <x:v>https://www150.statcan.gc.ca/t1/tbl1/en/tv.action?pid=1810028901</x:v>
      </x:c>
    </x:row>
    <x:row r="25">
      <x:c r="A25" s="63" t="str">
        <x:v>CMA_835</x:v>
      </x:c>
      <x:c r="B25" s="63" t="str">
        <x:v>Institutional Buildings</x:v>
      </x:c>
      <x:c r="C25" s="63" t="str">
        <x:v>Concrete</x:v>
      </x:c>
      <x:c r="D25" s="63" t="str">
        <x:v>BCPI_INSTITUTIONAL_BUILDINGS_62213_CONCRETE</x:v>
      </x:c>
      <x:c r="E25" s="155" t="n">
        <x:v>46203</x:v>
      </x:c>
      <x:c r="F25" s="157" t="n">
        <x:v>114.2</x:v>
      </x:c>
      <x:c r="G25" s="63" t="str">
        <x:v>Index, 2023=100</x:v>
      </x:c>
      <x:c r="H25" s="157" t="n">
        <x:v>14.2</x:v>
      </x:c>
      <x:c r="I25" s="155" t="n">
        <x:v>46112</x:v>
      </x:c>
      <x:c r="J25" s="157" t="n">
        <x:v>112.7</x:v>
      </x:c>
      <x:c r="K25" s="151" t="n">
        <x:v>0.013309999999999999</x:v>
      </x:c>
      <x:c r="L25" s="155" t="n">
        <x:v>45838</x:v>
      </x:c>
      <x:c r="M25" s="157" t="n">
        <x:v>109.2</x:v>
      </x:c>
      <x:c r="N25" s="151" t="n">
        <x:v>0.04579</x:v>
      </x:c>
      <x:c r="O25" s="63" t="str">
        <x:v>STATCAN_BCPI_18100289</x:v>
      </x:c>
      <x:c r="P25" s="63" t="str">
        <x:v>observed</x:v>
      </x:c>
      <x:c r="Q25" s="63" t="str">
        <x:v>inferred</x:v>
      </x:c>
      <x:c r="R25" s="63" t="str">
        <x:v>https://www150.statcan.gc.ca/t1/tbl1/en/tv.action?pid=1810028901</x:v>
      </x:c>
    </x:row>
    <x:row r="26">
      <x:c r="A26" s="63" t="str">
        <x:v>CMA_835</x:v>
      </x:c>
      <x:c r="B26" s="63" t="str">
        <x:v>Institutional Buildings</x:v>
      </x:c>
      <x:c r="C26" s="63" t="str">
        <x:v>Electrical Systems</x:v>
      </x:c>
      <x:c r="D26" s="63" t="str">
        <x:v>BCPI_INSTITUTIONAL_BUILDINGS_62213_ELECTRICAL</x:v>
      </x:c>
      <x:c r="E26" s="155" t="n">
        <x:v>46203</x:v>
      </x:c>
      <x:c r="F26" s="157" t="n">
        <x:v>113.1</x:v>
      </x:c>
      <x:c r="G26" s="63" t="str">
        <x:v>Index, 2023=100</x:v>
      </x:c>
      <x:c r="H26" s="157" t="n">
        <x:v>13.1</x:v>
      </x:c>
      <x:c r="I26" s="155" t="n">
        <x:v>46112</x:v>
      </x:c>
      <x:c r="J26" s="157" t="n">
        <x:v>112.9</x:v>
      </x:c>
      <x:c r="K26" s="151" t="n">
        <x:v>0.0017699999999999999</x:v>
      </x:c>
      <x:c r="L26" s="155" t="n">
        <x:v>45838</x:v>
      </x:c>
      <x:c r="M26" s="157" t="n">
        <x:v>112.2</x:v>
      </x:c>
      <x:c r="N26" s="151" t="n">
        <x:v>0.008020000000000001</x:v>
      </x:c>
      <x:c r="O26" s="63" t="str">
        <x:v>STATCAN_BCPI_18100289</x:v>
      </x:c>
      <x:c r="P26" s="63" t="str">
        <x:v>observed</x:v>
      </x:c>
      <x:c r="Q26" s="63" t="str">
        <x:v>inferred</x:v>
      </x:c>
      <x:c r="R26" s="63" t="str">
        <x:v>https://www150.statcan.gc.ca/t1/tbl1/en/tv.action?pid=1810028901</x:v>
      </x:c>
    </x:row>
    <x:row r="27">
      <x:c r="A27" s="63" t="str">
        <x:v>CMA_835</x:v>
      </x:c>
      <x:c r="B27" s="63" t="str">
        <x:v>Institutional Buildings</x:v>
      </x:c>
      <x:c r="C27" s="63" t="str">
        <x:v>Hvac</x:v>
      </x:c>
      <x:c r="D27" s="63" t="str">
        <x:v>BCPI_INSTITUTIONAL_BUILDINGS_62213_HEATING_VENTILATION_AND_AIR_CONDITIONING</x:v>
      </x:c>
      <x:c r="E27" s="155" t="n">
        <x:v>46203</x:v>
      </x:c>
      <x:c r="F27" s="157" t="n">
        <x:v>108.5</x:v>
      </x:c>
      <x:c r="G27" s="63" t="str">
        <x:v>Index, 2023=100</x:v>
      </x:c>
      <x:c r="H27" s="157" t="n">
        <x:v>8.5</x:v>
      </x:c>
      <x:c r="I27" s="155" t="n">
        <x:v>46112</x:v>
      </x:c>
      <x:c r="J27" s="157" t="n">
        <x:v>107.5</x:v>
      </x:c>
      <x:c r="K27" s="151" t="n">
        <x:v>0.009300000000000001</x:v>
      </x:c>
      <x:c r="L27" s="155" t="n">
        <x:v>45838</x:v>
      </x:c>
      <x:c r="M27" s="157" t="n">
        <x:v>111.7</x:v>
      </x:c>
      <x:c r="N27" s="151" t="n">
        <x:v>-0.028650000000000002</x:v>
      </x:c>
      <x:c r="O27" s="63" t="str">
        <x:v>STATCAN_BCPI_18100289</x:v>
      </x:c>
      <x:c r="P27" s="63" t="str">
        <x:v>observed</x:v>
      </x:c>
      <x:c r="Q27" s="63" t="str">
        <x:v>inferred</x:v>
      </x:c>
      <x:c r="R27" s="63" t="str">
        <x:v>https://www150.statcan.gc.ca/t1/tbl1/en/tv.action?pid=1810028901</x:v>
      </x:c>
    </x:row>
    <x:row r="28">
      <x:c r="A28" s="63" t="str">
        <x:v>CMA_835</x:v>
      </x:c>
      <x:c r="B28" s="63" t="str">
        <x:v>Institutional Buildings</x:v>
      </x:c>
      <x:c r="C28" s="63" t="str">
        <x:v>Structural Steel Framing</x:v>
      </x:c>
      <x:c r="D28" s="63" t="str">
        <x:v>BCPI_INSTITUTIONAL_BUILDINGS_62213_STRUCTURAL_STEEL_FRAMING</x:v>
      </x:c>
      <x:c r="E28" s="155" t="n">
        <x:v>46203</x:v>
      </x:c>
      <x:c r="F28" s="157" t="n">
        <x:v>121.7</x:v>
      </x:c>
      <x:c r="G28" s="63" t="str">
        <x:v>Index, 2023=100</x:v>
      </x:c>
      <x:c r="H28" s="157" t="n">
        <x:v>21.7</x:v>
      </x:c>
      <x:c r="I28" s="155" t="n">
        <x:v>46112</x:v>
      </x:c>
      <x:c r="J28" s="157" t="n">
        <x:v>118.3</x:v>
      </x:c>
      <x:c r="K28" s="151" t="n">
        <x:v>0.02874</x:v>
      </x:c>
      <x:c r="L28" s="155" t="n">
        <x:v>45838</x:v>
      </x:c>
      <x:c r="M28" s="157" t="n">
        <x:v>110.2</x:v>
      </x:c>
      <x:c r="N28" s="151" t="n">
        <x:v>0.10436</x:v>
      </x:c>
      <x:c r="O28" s="63" t="str">
        <x:v>STATCAN_BCPI_18100289</x:v>
      </x:c>
      <x:c r="P28" s="63" t="str">
        <x:v>observed</x:v>
      </x:c>
      <x:c r="Q28" s="63" t="str">
        <x:v>inferred</x:v>
      </x:c>
      <x:c r="R28" s="63" t="str">
        <x:v>https://www150.statcan.gc.ca/t1/tbl1/en/tv.action?pid=1810028901</x:v>
      </x:c>
    </x:row>
    <x:row r="29">
      <x:c r="A29" s="63" t="str">
        <x:v>CMA_835</x:v>
      </x:c>
      <x:c r="B29" s="63" t="str">
        <x:v>Municipal Operations Bus Depot</x:v>
      </x:c>
      <x:c r="C29" s="63" t="str">
        <x:v>Concrete</x:v>
      </x:c>
      <x:c r="D29" s="63" t="str">
        <x:v>BCPI_BUS_DEPOT_WITH_MAINTENANCE_AND_REPAIR_FACILITIES_CONCRETE</x:v>
      </x:c>
      <x:c r="E29" s="155" t="n">
        <x:v>46203</x:v>
      </x:c>
      <x:c r="F29" s="157" t="n">
        <x:v>117.3</x:v>
      </x:c>
      <x:c r="G29" s="63" t="str">
        <x:v>Index, 2023=100</x:v>
      </x:c>
      <x:c r="H29" s="157" t="n">
        <x:v>17.3</x:v>
      </x:c>
      <x:c r="I29" s="155" t="n">
        <x:v>46112</x:v>
      </x:c>
      <x:c r="J29" s="157" t="n">
        <x:v>115.2</x:v>
      </x:c>
      <x:c r="K29" s="151" t="n">
        <x:v>0.01823</x:v>
      </x:c>
      <x:c r="L29" s="155" t="n">
        <x:v>45838</x:v>
      </x:c>
      <x:c r="M29" s="157" t="n">
        <x:v>111.6</x:v>
      </x:c>
      <x:c r="N29" s="151" t="n">
        <x:v>0.05107999999999999</x:v>
      </x:c>
      <x:c r="O29" s="63" t="str">
        <x:v>STATCAN_BCPI_18100289</x:v>
      </x:c>
      <x:c r="P29" s="63" t="str">
        <x:v>observed</x:v>
      </x:c>
      <x:c r="Q29" s="63" t="str">
        <x:v>inferred</x:v>
      </x:c>
      <x:c r="R29" s="63" t="str">
        <x:v>https://www150.statcan.gc.ca/t1/tbl1/en/tv.action?pid=1810028901</x:v>
      </x:c>
    </x:row>
    <x:row r="30">
      <x:c r="A30" s="63" t="str">
        <x:v>CMA_835</x:v>
      </x:c>
      <x:c r="B30" s="63" t="str">
        <x:v>Municipal Operations Bus Depot</x:v>
      </x:c>
      <x:c r="C30" s="63" t="str">
        <x:v>Electrical Systems</x:v>
      </x:c>
      <x:c r="D30" s="63" t="str">
        <x:v>BCPI_BUS_DEPOT_WITH_MAINTENANCE_AND_REPAIR_FACILITIES_ELECTRICAL</x:v>
      </x:c>
      <x:c r="E30" s="155" t="n">
        <x:v>46203</x:v>
      </x:c>
      <x:c r="F30" s="157" t="n">
        <x:v>112.1</x:v>
      </x:c>
      <x:c r="G30" s="63" t="str">
        <x:v>Index, 2023=100</x:v>
      </x:c>
      <x:c r="H30" s="157" t="n">
        <x:v>12.1</x:v>
      </x:c>
      <x:c r="I30" s="155" t="n">
        <x:v>46112</x:v>
      </x:c>
      <x:c r="J30" s="157" t="n">
        <x:v>111.2</x:v>
      </x:c>
      <x:c r="K30" s="151" t="n">
        <x:v>0.00809</x:v>
      </x:c>
      <x:c r="L30" s="155" t="n">
        <x:v>45838</x:v>
      </x:c>
      <x:c r="M30" s="157" t="n">
        <x:v>110.8</x:v>
      </x:c>
      <x:c r="N30" s="151" t="n">
        <x:v>0.01173</x:v>
      </x:c>
      <x:c r="O30" s="63" t="str">
        <x:v>STATCAN_BCPI_18100289</x:v>
      </x:c>
      <x:c r="P30" s="63" t="str">
        <x:v>observed</x:v>
      </x:c>
      <x:c r="Q30" s="63" t="str">
        <x:v>inferred</x:v>
      </x:c>
      <x:c r="R30" s="63" t="str">
        <x:v>https://www150.statcan.gc.ca/t1/tbl1/en/tv.action?pid=1810028901</x:v>
      </x:c>
    </x:row>
    <x:row r="31">
      <x:c r="A31" s="63" t="str">
        <x:v>CMA_835</x:v>
      </x:c>
      <x:c r="B31" s="63" t="str">
        <x:v>Municipal Operations Bus Depot</x:v>
      </x:c>
      <x:c r="C31" s="63" t="str">
        <x:v>Hvac</x:v>
      </x:c>
      <x:c r="D31" s="63" t="str">
        <x:v>BCPI_BUS_DEPOT_WITH_MAINTENANCE_AND_REPAIR_FACILITIES_HEATING_VENTILATION_AND_AIR_CONDITIONING</x:v>
      </x:c>
      <x:c r="E31" s="155" t="n">
        <x:v>46203</x:v>
      </x:c>
      <x:c r="F31" s="157" t="n">
        <x:v>117.4</x:v>
      </x:c>
      <x:c r="G31" s="63" t="str">
        <x:v>Index, 2023=100</x:v>
      </x:c>
      <x:c r="H31" s="157" t="n">
        <x:v>17.4</x:v>
      </x:c>
      <x:c r="I31" s="155" t="n">
        <x:v>46112</x:v>
      </x:c>
      <x:c r="J31" s="157" t="n">
        <x:v>116.4</x:v>
      </x:c>
      <x:c r="K31" s="151" t="n">
        <x:v>0.00859</x:v>
      </x:c>
      <x:c r="L31" s="155" t="n">
        <x:v>45838</x:v>
      </x:c>
      <x:c r="M31" s="157" t="n">
        <x:v>109.2</x:v>
      </x:c>
      <x:c r="N31" s="151" t="n">
        <x:v>0.07509</x:v>
      </x:c>
      <x:c r="O31" s="63" t="str">
        <x:v>STATCAN_BCPI_18100289</x:v>
      </x:c>
      <x:c r="P31" s="63" t="str">
        <x:v>observed</x:v>
      </x:c>
      <x:c r="Q31" s="63" t="str">
        <x:v>inferred</x:v>
      </x:c>
      <x:c r="R31" s="63" t="str">
        <x:v>https://www150.statcan.gc.ca/t1/tbl1/en/tv.action?pid=1810028901</x:v>
      </x:c>
    </x:row>
    <x:row r="32">
      <x:c r="A32" s="63" t="str">
        <x:v>CMA_835</x:v>
      </x:c>
      <x:c r="B32" s="63" t="str">
        <x:v>Municipal Operations Bus Depot</x:v>
      </x:c>
      <x:c r="C32" s="63" t="str">
        <x:v>Structural Steel Framing</x:v>
      </x:c>
      <x:c r="D32" s="63" t="str">
        <x:v>BCPI_BUS_DEPOT_WITH_MAINTENANCE_AND_REPAIR_FACILITIES_STRUCTURAL_STEEL_FRAMING</x:v>
      </x:c>
      <x:c r="E32" s="155" t="n">
        <x:v>46203</x:v>
      </x:c>
      <x:c r="F32" s="157" t="n">
        <x:v>121.7</x:v>
      </x:c>
      <x:c r="G32" s="63" t="str">
        <x:v>Index, 2023=100</x:v>
      </x:c>
      <x:c r="H32" s="157" t="n">
        <x:v>21.7</x:v>
      </x:c>
      <x:c r="I32" s="155" t="n">
        <x:v>46112</x:v>
      </x:c>
      <x:c r="J32" s="157" t="n">
        <x:v>118.3</x:v>
      </x:c>
      <x:c r="K32" s="151" t="n">
        <x:v>0.02874</x:v>
      </x:c>
      <x:c r="L32" s="155" t="n">
        <x:v>45838</x:v>
      </x:c>
      <x:c r="M32" s="157" t="n">
        <x:v>110.2</x:v>
      </x:c>
      <x:c r="N32" s="151" t="n">
        <x:v>0.10436</x:v>
      </x:c>
      <x:c r="O32" s="63" t="str">
        <x:v>STATCAN_BCPI_18100289</x:v>
      </x:c>
      <x:c r="P32" s="63" t="str">
        <x:v>observed</x:v>
      </x:c>
      <x:c r="Q32" s="63" t="str">
        <x:v>inferred</x:v>
      </x:c>
      <x:c r="R32" s="63" t="str">
        <x:v>https://www150.statcan.gc.ca/t1/tbl1/en/tv.action?pid=1810028901</x:v>
      </x:c>
    </x:row>
    <x:row r="33">
      <x:c r="A33" s="63" t="str">
        <x:v>CMA_835</x:v>
      </x:c>
      <x:c r="B33" s="63" t="str">
        <x:v>Schools</x:v>
      </x:c>
      <x:c r="C33" s="63" t="str">
        <x:v>Concrete</x:v>
      </x:c>
      <x:c r="D33" s="63" t="str">
        <x:v>BCPI_SCHOOL_CONCRETE</x:v>
      </x:c>
      <x:c r="E33" s="155" t="n">
        <x:v>46203</x:v>
      </x:c>
      <x:c r="F33" s="157" t="n">
        <x:v>114.2</x:v>
      </x:c>
      <x:c r="G33" s="63" t="str">
        <x:v>Index, 2023=100</x:v>
      </x:c>
      <x:c r="H33" s="157" t="n">
        <x:v>14.2</x:v>
      </x:c>
      <x:c r="I33" s="155" t="n">
        <x:v>46112</x:v>
      </x:c>
      <x:c r="J33" s="157" t="n">
        <x:v>112.7</x:v>
      </x:c>
      <x:c r="K33" s="151" t="n">
        <x:v>0.013309999999999999</x:v>
      </x:c>
      <x:c r="L33" s="155" t="n">
        <x:v>45838</x:v>
      </x:c>
      <x:c r="M33" s="157" t="n">
        <x:v>109.2</x:v>
      </x:c>
      <x:c r="N33" s="151" t="n">
        <x:v>0.04579</x:v>
      </x:c>
      <x:c r="O33" s="63" t="str">
        <x:v>STATCAN_BCPI_18100289</x:v>
      </x:c>
      <x:c r="P33" s="63" t="str">
        <x:v>observed</x:v>
      </x:c>
      <x:c r="Q33" s="63" t="str">
        <x:v>inferred</x:v>
      </x:c>
      <x:c r="R33" s="63" t="str">
        <x:v>https://www150.statcan.gc.ca/t1/tbl1/en/tv.action?pid=1810028901</x:v>
      </x:c>
    </x:row>
    <x:row r="34">
      <x:c r="A34" s="63" t="str">
        <x:v>CMA_835</x:v>
      </x:c>
      <x:c r="B34" s="63" t="str">
        <x:v>Schools</x:v>
      </x:c>
      <x:c r="C34" s="63" t="str">
        <x:v>Electrical Systems</x:v>
      </x:c>
      <x:c r="D34" s="63" t="str">
        <x:v>BCPI_SCHOOL_ELECTRICAL</x:v>
      </x:c>
      <x:c r="E34" s="155" t="n">
        <x:v>46203</x:v>
      </x:c>
      <x:c r="F34" s="157" t="n">
        <x:v>113.1</x:v>
      </x:c>
      <x:c r="G34" s="63" t="str">
        <x:v>Index, 2023=100</x:v>
      </x:c>
      <x:c r="H34" s="157" t="n">
        <x:v>13.1</x:v>
      </x:c>
      <x:c r="I34" s="155" t="n">
        <x:v>46112</x:v>
      </x:c>
      <x:c r="J34" s="157" t="n">
        <x:v>112.9</x:v>
      </x:c>
      <x:c r="K34" s="151" t="n">
        <x:v>0.0017699999999999999</x:v>
      </x:c>
      <x:c r="L34" s="155" t="n">
        <x:v>45838</x:v>
      </x:c>
      <x:c r="M34" s="157" t="n">
        <x:v>112.2</x:v>
      </x:c>
      <x:c r="N34" s="151" t="n">
        <x:v>0.008020000000000001</x:v>
      </x:c>
      <x:c r="O34" s="63" t="str">
        <x:v>STATCAN_BCPI_18100289</x:v>
      </x:c>
      <x:c r="P34" s="63" t="str">
        <x:v>observed</x:v>
      </x:c>
      <x:c r="Q34" s="63" t="str">
        <x:v>inferred</x:v>
      </x:c>
      <x:c r="R34" s="63" t="str">
        <x:v>https://www150.statcan.gc.ca/t1/tbl1/en/tv.action?pid=1810028901</x:v>
      </x:c>
    </x:row>
    <x:row r="35">
      <x:c r="A35" s="63" t="str">
        <x:v>CMA_835</x:v>
      </x:c>
      <x:c r="B35" s="63" t="str">
        <x:v>Schools</x:v>
      </x:c>
      <x:c r="C35" s="63" t="str">
        <x:v>Hvac</x:v>
      </x:c>
      <x:c r="D35" s="63" t="str">
        <x:v>BCPI_SCHOOL_HEATING_VENTILATION_AND_AIR_CONDITIONING</x:v>
      </x:c>
      <x:c r="E35" s="155" t="n">
        <x:v>46203</x:v>
      </x:c>
      <x:c r="F35" s="157" t="n">
        <x:v>108.5</x:v>
      </x:c>
      <x:c r="G35" s="63" t="str">
        <x:v>Index, 2023=100</x:v>
      </x:c>
      <x:c r="H35" s="157" t="n">
        <x:v>8.5</x:v>
      </x:c>
      <x:c r="I35" s="155" t="n">
        <x:v>46112</x:v>
      </x:c>
      <x:c r="J35" s="157" t="n">
        <x:v>107.5</x:v>
      </x:c>
      <x:c r="K35" s="151" t="n">
        <x:v>0.009300000000000001</x:v>
      </x:c>
      <x:c r="L35" s="155" t="n">
        <x:v>45838</x:v>
      </x:c>
      <x:c r="M35" s="157" t="n">
        <x:v>111.7</x:v>
      </x:c>
      <x:c r="N35" s="151" t="n">
        <x:v>-0.028650000000000002</x:v>
      </x:c>
      <x:c r="O35" s="63" t="str">
        <x:v>STATCAN_BCPI_18100289</x:v>
      </x:c>
      <x:c r="P35" s="63" t="str">
        <x:v>observed</x:v>
      </x:c>
      <x:c r="Q35" s="63" t="str">
        <x:v>inferred</x:v>
      </x:c>
      <x:c r="R35" s="63" t="str">
        <x:v>https://www150.statcan.gc.ca/t1/tbl1/en/tv.action?pid=1810028901</x:v>
      </x:c>
    </x:row>
    <x:row r="36">
      <x:c r="A36" s="63" t="str">
        <x:v>CMA_835</x:v>
      </x:c>
      <x:c r="B36" s="63" t="str">
        <x:v>Schools</x:v>
      </x:c>
      <x:c r="C36" s="63" t="str">
        <x:v>Structural Steel Framing</x:v>
      </x:c>
      <x:c r="D36" s="63" t="str">
        <x:v>BCPI_SCHOOL_STRUCTURAL_STEEL_FRAMING</x:v>
      </x:c>
      <x:c r="E36" s="155" t="n">
        <x:v>46203</x:v>
      </x:c>
      <x:c r="F36" s="157" t="n">
        <x:v>121.7</x:v>
      </x:c>
      <x:c r="G36" s="63" t="str">
        <x:v>Index, 2023=100</x:v>
      </x:c>
      <x:c r="H36" s="157" t="n">
        <x:v>21.7</x:v>
      </x:c>
      <x:c r="I36" s="155" t="n">
        <x:v>46112</x:v>
      </x:c>
      <x:c r="J36" s="157" t="n">
        <x:v>118.3</x:v>
      </x:c>
      <x:c r="K36" s="151" t="n">
        <x:v>0.02874</x:v>
      </x:c>
      <x:c r="L36" s="155" t="n">
        <x:v>45838</x:v>
      </x:c>
      <x:c r="M36" s="157" t="n">
        <x:v>110.2</x:v>
      </x:c>
      <x:c r="N36" s="151" t="n">
        <x:v>0.10436</x:v>
      </x:c>
      <x:c r="O36" s="63" t="str">
        <x:v>STATCAN_BCPI_18100289</x:v>
      </x:c>
      <x:c r="P36" s="63" t="str">
        <x:v>observed</x:v>
      </x:c>
      <x:c r="Q36" s="63" t="str">
        <x:v>inferred</x:v>
      </x:c>
      <x:c r="R36" s="63" t="str">
        <x:v>https://www150.statcan.gc.ca/t1/tbl1/en/tv.action?pid=1810028901</x:v>
      </x:c>
    </x:row>
  </x:sheetData>
  <x:mergeCells>
    <x:mergeCell ref="A1:R2"/>
    <x:mergeCell ref="A3:R3"/>
  </x:mergeCells>
  <x:conditionalFormatting sqref="N5:N36">
    <x:cfRule type="colorScale" priority="1">
      <x:colorScale>
        <x:cfvo type="min"/>
        <x:cfvo type="percentile" val="50"/>
        <x:cfvo type="max"/>
        <x:color rgb="FFB7DED3"/>
        <x:color rgb="FFF4E7B2"/>
        <x:color rgb="FFF6D5C2"/>
      </x:colorScale>
    </x:cfRule>
  </x:conditionalFormatting>
  <x:pageMargins left="0.7" right="0.7" top="0.75" bottom="0.75" header="0.3" footer="0.3"/>
  <x:tableParts count="1">
    <x:tablePart xmlns:r="http://schemas.openxmlformats.org/officeDocument/2006/relationships" r:id="R14bb8ae609a94ab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5" hidden="0" customWidth="1"/>
    <x:col min="2" max="2" width="44" hidden="0" customWidth="1"/>
    <x:col min="3" max="3" width="31" hidden="0" customWidth="1"/>
    <x:col min="4" max="4" width="17" hidden="0" customWidth="1"/>
    <x:col min="5" max="5" width="27" hidden="0" customWidth="1"/>
    <x:col min="6" max="6" width="18" hidden="0" customWidth="1"/>
    <x:col min="7" max="7" width="38" hidden="0" customWidth="1"/>
    <x:col min="8" max="8" width="36" hidden="0" customWidth="1"/>
    <x:col min="9" max="9" width="17" hidden="0" customWidth="1"/>
    <x:col min="10" max="10" width="24" hidden="0" customWidth="1"/>
    <x:col min="11" max="11" width="19" hidden="0" customWidth="1"/>
    <x:col min="12" max="12" width="20" hidden="0" customWidth="1"/>
    <x:col min="13" max="13" width="12" hidden="0" customWidth="1"/>
    <x:col min="14" max="14" width="12" hidden="0" customWidth="1"/>
    <x:col min="15" max="15" width="32" hidden="0" customWidth="1"/>
    <x:col min="16" max="16" width="19" hidden="0" customWidth="1"/>
    <x:col min="17" max="17" width="27" hidden="0" customWidth="1"/>
    <x:col min="18" max="18" width="27" hidden="0" customWidth="1"/>
    <x:col min="19" max="19" width="13" hidden="0" customWidth="1"/>
    <x:col min="20" max="20" width="13" hidden="0" customWidth="1"/>
    <x:col min="21" max="21" width="18" hidden="0" customWidth="1"/>
    <x:col min="22" max="22" width="28" hidden="0" customWidth="1"/>
    <x:col min="23" max="23" width="15" hidden="0" customWidth="1"/>
    <x:col min="24" max="24" width="14" hidden="0" customWidth="1"/>
    <x:col min="25" max="25" width="39" hidden="0" customWidth="1"/>
  </x:cols>
  <x:sheetData>
    <x:row r="1" ht="28" customHeight="1">
      <x:c r="A1" s="61" t="str">
        <x:v>Alberta public-delivery asset exposure</x:v>
      </x:c>
      <x:c r="B1" s="61"/>
      <x:c r="C1" s="61"/>
      <x:c r="D1" s="61"/>
      <x:c r="E1" s="61"/>
      <x:c r="F1" s="61"/>
      <x:c r="G1" s="61"/>
      <x:c r="H1" s="61"/>
      <x:c r="I1" s="61"/>
      <x:c r="J1" s="61"/>
      <x:c r="K1" s="61"/>
      <x:c r="L1" s="61"/>
      <x:c r="M1" s="61"/>
      <x:c r="N1" s="61"/>
      <x:c r="O1" s="61"/>
      <x:c r="P1" s="61"/>
      <x:c r="Q1" s="61"/>
      <x:c r="R1" s="61"/>
      <x:c r="S1" s="61"/>
      <x:c r="T1" s="61"/>
      <x:c r="U1" s="61"/>
      <x:c r="V1" s="61"/>
      <x:c r="W1" s="61"/>
      <x:c r="X1" s="61"/>
      <x:c r="Y1" s="61"/>
    </x:row>
    <x:row r="2" ht="28" customHeight="1">
      <x:c r="A2" s="61"/>
      <x:c r="B2" s="61"/>
      <x:c r="C2" s="61"/>
      <x:c r="D2" s="61"/>
      <x:c r="E2" s="61"/>
      <x:c r="F2" s="61"/>
      <x:c r="G2" s="61"/>
      <x:c r="H2" s="61"/>
      <x:c r="I2" s="61"/>
      <x:c r="J2" s="61"/>
      <x:c r="K2" s="61"/>
      <x:c r="L2" s="61"/>
      <x:c r="M2" s="61"/>
      <x:c r="N2" s="61"/>
      <x:c r="O2" s="61"/>
      <x:c r="P2" s="61"/>
      <x:c r="Q2" s="61"/>
      <x:c r="R2" s="61"/>
      <x:c r="S2" s="61"/>
      <x:c r="T2" s="61"/>
      <x:c r="U2" s="61"/>
      <x:c r="V2" s="61"/>
      <x:c r="W2" s="61"/>
      <x:c r="X2" s="61"/>
      <x:c r="Y2" s="61"/>
    </x:row>
    <x:row r="3" ht="21" customHeight="1">
      <x:c r="A3" s="62" t="str">
        <x:v>Controlled classification + schedule-overlap screen · 2027–2036 · not a delay finding</x:v>
      </x:c>
      <x:c r="B3" s="62"/>
      <x:c r="C3" s="62"/>
      <x:c r="D3" s="62"/>
      <x:c r="E3" s="62"/>
      <x:c r="F3" s="62"/>
      <x:c r="G3" s="62"/>
      <x:c r="H3" s="62"/>
      <x:c r="I3" s="62"/>
      <x:c r="J3" s="62"/>
      <x:c r="K3" s="62"/>
      <x:c r="L3" s="62"/>
      <x:c r="M3" s="62"/>
      <x:c r="N3" s="62"/>
      <x:c r="O3" s="62"/>
      <x:c r="P3" s="62"/>
      <x:c r="Q3" s="62"/>
      <x:c r="R3" s="62"/>
      <x:c r="S3" s="62"/>
      <x:c r="T3" s="62"/>
      <x:c r="U3" s="62"/>
      <x:c r="V3" s="62"/>
      <x:c r="W3" s="62"/>
      <x:c r="X3" s="62"/>
      <x:c r="Y3" s="62"/>
    </x:row>
    <x:row r="4" ht="28" customHeight="1">
      <x:c r="A4" s="44" t="str">
        <x:v>Asset class</x:v>
      </x:c>
      <x:c r="B4" s="84" t="str">
        <x:v>Records</x:v>
      </x:c>
      <x:c r="C4" s="84" t="str">
        <x:v>Overlap</x:v>
      </x:c>
      <x:c r="D4" s="84" t="str">
        <x:v>Cost records</x:v>
      </x:c>
      <x:c r="E4" s="84" t="str">
        <x:v>Reported cost (CAD)</x:v>
      </x:c>
      <x:c r="F4" s="84" t="str">
        <x:v>Costed + dated overlap</x:v>
      </x:c>
      <x:c r="G4" s="84" t="str">
        <x:v>Cost allocated to window (CAD)</x:v>
      </x:c>
      <x:c r="H4" s="84" t="str">
        <x:v>Public sponsor signals</x:v>
      </x:c>
      <x:c r="I4" s="84" t="str">
        <x:v>Utility signals</x:v>
      </x:c>
      <x:c r="J4" s="45" t="str">
        <x:v>Unresolved sponsor signals</x:v>
      </x:c>
      <x:c r="K4" s="63"/>
      <x:c r="L4" s="63"/>
      <x:c r="M4" s="63"/>
      <x:c r="N4" s="63"/>
      <x:c r="O4" s="63"/>
      <x:c r="P4" s="63"/>
      <x:c r="Q4" s="63"/>
      <x:c r="R4" s="63"/>
      <x:c r="S4" s="63"/>
      <x:c r="T4" s="63"/>
      <x:c r="U4" s="63"/>
      <x:c r="V4" s="63"/>
      <x:c r="W4" s="63"/>
      <x:c r="X4" s="63"/>
      <x:c r="Y4" s="63"/>
    </x:row>
    <x:row r="5">
      <x:c r="A5" s="63" t="str">
        <x:v>Government And Civic Facilities</x:v>
      </x:c>
      <x:c r="B5" s="168" t="n">
        <x:v>35</x:v>
      </x:c>
      <x:c r="C5" s="168" t="n">
        <x:v>14</x:v>
      </x:c>
      <x:c r="D5" s="168" t="n">
        <x:v>28</x:v>
      </x:c>
      <x:c r="E5" s="143" t="n">
        <x:v>2941630000</x:v>
      </x:c>
      <x:c r="F5" s="168" t="n">
        <x:v>14</x:v>
      </x:c>
      <x:c r="G5" s="143" t="n">
        <x:v>1569098809.5238094</x:v>
      </x:c>
      <x:c r="H5" s="168" t="n">
        <x:v>20</x:v>
      </x:c>
      <x:c r="I5" s="168" t="n">
        <x:v>0</x:v>
      </x:c>
      <x:c r="J5" s="168" t="n">
        <x:v>15</x:v>
      </x:c>
      <x:c r="K5" s="63"/>
      <x:c r="L5" s="63"/>
      <x:c r="M5" s="63"/>
      <x:c r="N5" s="63"/>
      <x:c r="O5" s="63"/>
      <x:c r="P5" s="63"/>
      <x:c r="Q5" s="63"/>
      <x:c r="R5" s="63"/>
      <x:c r="S5" s="63"/>
      <x:c r="T5" s="63"/>
      <x:c r="U5" s="63"/>
      <x:c r="V5" s="63"/>
      <x:c r="W5" s="63"/>
      <x:c r="X5" s="63"/>
      <x:c r="Y5" s="63"/>
    </x:row>
    <x:row r="6">
      <x:c r="A6" s="63" t="str">
        <x:v>Health Facilities</x:v>
      </x:c>
      <x:c r="B6" s="168" t="n">
        <x:v>95</x:v>
      </x:c>
      <x:c r="C6" s="168" t="n">
        <x:v>30</x:v>
      </x:c>
      <x:c r="D6" s="168" t="n">
        <x:v>20</x:v>
      </x:c>
      <x:c r="E6" s="143" t="n">
        <x:v>3664600000</x:v>
      </x:c>
      <x:c r="F6" s="168" t="n">
        <x:v>12</x:v>
      </x:c>
      <x:c r="G6" s="143" t="n">
        <x:v>1541928571.4285715</x:v>
      </x:c>
      <x:c r="H6" s="168" t="n">
        <x:v>80</x:v>
      </x:c>
      <x:c r="I6" s="168" t="n">
        <x:v>0</x:v>
      </x:c>
      <x:c r="J6" s="168" t="n">
        <x:v>15</x:v>
      </x:c>
      <x:c r="K6" s="63"/>
      <x:c r="L6" s="63"/>
      <x:c r="M6" s="63"/>
      <x:c r="N6" s="63"/>
      <x:c r="O6" s="63"/>
      <x:c r="P6" s="63"/>
      <x:c r="Q6" s="63"/>
      <x:c r="R6" s="63"/>
      <x:c r="S6" s="63"/>
      <x:c r="T6" s="63"/>
      <x:c r="U6" s="63"/>
      <x:c r="V6" s="63"/>
      <x:c r="W6" s="63"/>
      <x:c r="X6" s="63"/>
      <x:c r="Y6" s="63"/>
    </x:row>
    <x:row r="7">
      <x:c r="A7" s="63" t="str">
        <x:v>Municipal Water And Resilience</x:v>
      </x:c>
      <x:c r="B7" s="168" t="n">
        <x:v>46</x:v>
      </x:c>
      <x:c r="C7" s="168" t="n">
        <x:v>20</x:v>
      </x:c>
      <x:c r="D7" s="168" t="n">
        <x:v>36</x:v>
      </x:c>
      <x:c r="E7" s="143" t="n">
        <x:v>6151100000</x:v>
      </x:c>
      <x:c r="F7" s="168" t="n">
        <x:v>13</x:v>
      </x:c>
      <x:c r="G7" s="143" t="n">
        <x:v>821846428.5714287</x:v>
      </x:c>
      <x:c r="H7" s="168" t="n">
        <x:v>30</x:v>
      </x:c>
      <x:c r="I7" s="168" t="n">
        <x:v>1</x:v>
      </x:c>
      <x:c r="J7" s="168" t="n">
        <x:v>15</x:v>
      </x:c>
      <x:c r="K7" s="63"/>
      <x:c r="L7" s="63"/>
      <x:c r="M7" s="63"/>
      <x:c r="N7" s="63"/>
      <x:c r="O7" s="63"/>
      <x:c r="P7" s="63"/>
      <x:c r="Q7" s="63"/>
      <x:c r="R7" s="63"/>
      <x:c r="S7" s="63"/>
      <x:c r="T7" s="63"/>
      <x:c r="U7" s="63"/>
      <x:c r="V7" s="63"/>
      <x:c r="W7" s="63"/>
      <x:c r="X7" s="63"/>
      <x:c r="Y7" s="63"/>
    </x:row>
    <x:row r="8">
      <x:c r="A8" s="63" t="str">
        <x:v>Power Sector Infrastructure</x:v>
      </x:c>
      <x:c r="B8" s="168" t="n">
        <x:v>73</x:v>
      </x:c>
      <x:c r="C8" s="168" t="n">
        <x:v>5</x:v>
      </x:c>
      <x:c r="D8" s="168" t="n">
        <x:v>19</x:v>
      </x:c>
      <x:c r="E8" s="143" t="n">
        <x:v>53725700000</x:v>
      </x:c>
      <x:c r="F8" s="168" t="n">
        <x:v>2</x:v>
      </x:c>
      <x:c r="G8" s="143" t="n">
        <x:v>550000000</x:v>
      </x:c>
      <x:c r="H8" s="168" t="n">
        <x:v>5</x:v>
      </x:c>
      <x:c r="I8" s="168" t="n">
        <x:v>2</x:v>
      </x:c>
      <x:c r="J8" s="168" t="n">
        <x:v>66</x:v>
      </x:c>
      <x:c r="K8" s="63"/>
      <x:c r="L8" s="63"/>
      <x:c r="M8" s="63"/>
      <x:c r="N8" s="63"/>
      <x:c r="O8" s="63"/>
      <x:c r="P8" s="63"/>
      <x:c r="Q8" s="63"/>
      <x:c r="R8" s="63"/>
      <x:c r="S8" s="63"/>
      <x:c r="T8" s="63"/>
      <x:c r="U8" s="63"/>
      <x:c r="V8" s="63"/>
      <x:c r="W8" s="63"/>
      <x:c r="X8" s="63"/>
      <x:c r="Y8" s="63"/>
    </x:row>
    <x:row r="9">
      <x:c r="A9" s="63" t="str">
        <x:v>Roads Transit And Airports</x:v>
      </x:c>
      <x:c r="B9" s="168" t="n">
        <x:v>113</x:v>
      </x:c>
      <x:c r="C9" s="168" t="n">
        <x:v>62</x:v>
      </x:c>
      <x:c r="D9" s="168" t="n">
        <x:v>38</x:v>
      </x:c>
      <x:c r="E9" s="143" t="n">
        <x:v>14845200000</x:v>
      </x:c>
      <x:c r="F9" s="168" t="n">
        <x:v>17</x:v>
      </x:c>
      <x:c r="G9" s="143" t="n">
        <x:v>6813710634.920634</x:v>
      </x:c>
      <x:c r="H9" s="168" t="n">
        <x:v>103</x:v>
      </x:c>
      <x:c r="I9" s="168" t="n">
        <x:v>0</x:v>
      </x:c>
      <x:c r="J9" s="168" t="n">
        <x:v>10</x:v>
      </x:c>
      <x:c r="K9" s="63"/>
      <x:c r="L9" s="63"/>
      <x:c r="M9" s="63"/>
      <x:c r="N9" s="63"/>
      <x:c r="O9" s="63"/>
      <x:c r="P9" s="63"/>
      <x:c r="Q9" s="63"/>
      <x:c r="R9" s="63"/>
      <x:c r="S9" s="63"/>
      <x:c r="T9" s="63"/>
      <x:c r="U9" s="63"/>
      <x:c r="V9" s="63"/>
      <x:c r="W9" s="63"/>
      <x:c r="X9" s="63"/>
      <x:c r="Y9" s="63"/>
    </x:row>
    <x:row r="10">
      <x:c r="A10" s="63" t="str">
        <x:v>Schools And Postsecondary</x:v>
      </x:c>
      <x:c r="B10" s="168" t="n">
        <x:v>179</x:v>
      </x:c>
      <x:c r="C10" s="168" t="n">
        <x:v>35</x:v>
      </x:c>
      <x:c r="D10" s="168" t="n">
        <x:v>98</x:v>
      </x:c>
      <x:c r="E10" s="143" t="n">
        <x:v>5178500000</x:v>
      </x:c>
      <x:c r="F10" s="168" t="n">
        <x:v>34</x:v>
      </x:c>
      <x:c r="G10" s="143" t="n">
        <x:v>1269306666.6666667</x:v>
      </x:c>
      <x:c r="H10" s="168" t="n">
        <x:v>173</x:v>
      </x:c>
      <x:c r="I10" s="168" t="n">
        <x:v>0</x:v>
      </x:c>
      <x:c r="J10" s="168" t="n">
        <x:v>6</x:v>
      </x:c>
      <x:c r="K10" s="63"/>
      <x:c r="L10" s="63"/>
      <x:c r="M10" s="63"/>
      <x:c r="N10" s="63"/>
      <x:c r="O10" s="63"/>
      <x:c r="P10" s="63"/>
      <x:c r="Q10" s="63"/>
      <x:c r="R10" s="63"/>
      <x:c r="S10" s="63"/>
      <x:c r="T10" s="63"/>
      <x:c r="U10" s="63"/>
      <x:c r="V10" s="63"/>
      <x:c r="W10" s="63"/>
      <x:c r="X10" s="63"/>
      <x:c r="Y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row>
    <x:row r="12" ht="34" customHeight="1">
      <x:c r="A12" s="164" t="str">
        <x:v>Asset class, sponsor signal and uniform cost allocation are disclosed inferences. Incomplete schedules remain indeterminate. Reported-cost totals are not probability-weighted budgets or expenditure forecasts.</x:v>
      </x:c>
      <x:c r="B12" s="165"/>
      <x:c r="C12" s="165"/>
      <x:c r="D12" s="165"/>
      <x:c r="E12" s="165"/>
      <x:c r="F12" s="165"/>
      <x:c r="G12" s="165"/>
      <x:c r="H12" s="165"/>
      <x:c r="I12" s="165"/>
      <x:c r="J12" s="165"/>
      <x:c r="K12" s="165"/>
      <x:c r="L12" s="165"/>
      <x:c r="M12" s="165"/>
      <x:c r="N12" s="165"/>
      <x:c r="O12" s="165"/>
      <x:c r="P12" s="165"/>
      <x:c r="Q12" s="165"/>
      <x:c r="R12" s="165"/>
      <x:c r="S12" s="165"/>
      <x:c r="T12" s="165"/>
      <x:c r="U12" s="165"/>
      <x:c r="V12" s="165"/>
      <x:c r="W12" s="165"/>
      <x:c r="X12" s="165"/>
      <x:c r="Y12" s="166"/>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row>
    <x:row r="14" ht="28" customHeight="1">
      <x:c r="A14" s="44" t="str">
        <x:v>Project ID</x:v>
      </x:c>
      <x:c r="B14" s="84" t="str">
        <x:v>Name</x:v>
      </x:c>
      <x:c r="C14" s="84" t="str">
        <x:v>Asset class</x:v>
      </x:c>
      <x:c r="D14" s="84" t="str">
        <x:v>Asset class status</x:v>
      </x:c>
      <x:c r="E14" s="84" t="str">
        <x:v>Project type</x:v>
      </x:c>
      <x:c r="F14" s="84" t="str">
        <x:v>Sector</x:v>
      </x:c>
      <x:c r="G14" s="84" t="str">
        <x:v>Developer</x:v>
      </x:c>
      <x:c r="H14" s="84" t="str">
        <x:v>Sponsor signal</x:v>
      </x:c>
      <x:c r="I14" s="84" t="str">
        <x:v>Sponsor status</x:v>
      </x:c>
      <x:c r="J14" s="84" t="str">
        <x:v>Municipality</x:v>
      </x:c>
      <x:c r="K14" s="84" t="str">
        <x:v>Stage</x:v>
      </x:c>
      <x:c r="L14" s="84" t="str">
        <x:v>Reported cost (CAD)</x:v>
      </x:c>
      <x:c r="M14" s="84" t="str">
        <x:v>Start year</x:v>
      </x:c>
      <x:c r="N14" s="84" t="str">
        <x:v>End year</x:v>
      </x:c>
      <x:c r="O14" s="84" t="str">
        <x:v>Overlap status</x:v>
      </x:c>
      <x:c r="P14" s="84" t="str">
        <x:v>Overlap years</x:v>
      </x:c>
      <x:c r="Q14" s="84" t="str">
        <x:v>Annualized cost if complete (CAD)</x:v>
      </x:c>
      <x:c r="R14" s="84" t="str">
        <x:v>Cost allocated to window (CAD)</x:v>
      </x:c>
      <x:c r="S14" s="84" t="str">
        <x:v>Longitude</x:v>
      </x:c>
      <x:c r="T14" s="84" t="str">
        <x:v>Latitude</x:v>
      </x:c>
      <x:c r="U14" s="84" t="str">
        <x:v>Location precision</x:v>
      </x:c>
      <x:c r="V14" s="84" t="str">
        <x:v>Source ID</x:v>
      </x:c>
      <x:c r="W14" s="84" t="str">
        <x:v>Source status</x:v>
      </x:c>
      <x:c r="X14" s="84" t="str">
        <x:v>As-of date</x:v>
      </x:c>
      <x:c r="Y14" s="45" t="str">
        <x:v>Source URL</x:v>
      </x:c>
    </x:row>
    <x:row r="15">
      <x:c r="A15" s="63" t="str">
        <x:v>ABMP_11662</x:v>
      </x:c>
      <x:c r="B15" s="63" t="str">
        <x:v>Alberta Sheriffs Facility Consolidation - Planning</x:v>
      </x:c>
      <x:c r="C15" s="63" t="str">
        <x:v>Government And Civic Facilities</x:v>
      </x:c>
      <x:c r="D15" s="63" t="str">
        <x:v>inferred</x:v>
      </x:c>
      <x:c r="E15" s="63" t="str">
        <x:v>Emergency Services</x:v>
      </x:c>
      <x:c r="F15" s="63" t="str">
        <x:v>Institutional</x:v>
      </x:c>
      <x:c r="G15" s="63" t="str">
        <x:v>Alberta Infrastructure</x:v>
      </x:c>
      <x:c r="H15" s="63" t="str">
        <x:v>Government Or Public Institution Signal</x:v>
      </x:c>
      <x:c r="I15" s="63" t="str">
        <x:v>inferred</x:v>
      </x:c>
      <x:c r="J15" s="63" t="str">
        <x:v>Edmonton</x:v>
      </x:c>
      <x:c r="K15" s="63" t="str">
        <x:v>Proposed</x:v>
      </x:c>
      <x:c r="L15" s="143"/>
      <x:c r="M15" s="179"/>
      <x:c r="N15" s="179"/>
      <x:c r="O15" s="63" t="str">
        <x:v>indeterminate_incomplete_schedule</x:v>
      </x:c>
      <x:c r="P15" s="63" t="str"/>
      <x:c r="Q15" s="143"/>
      <x:c r="R15" s="143"/>
      <x:c r="S15" s="154" t="n">
        <x:v>-113.503909</x:v>
      </x:c>
      <x:c r="T15" s="154" t="n">
        <x:v>53.533819</x:v>
      </x:c>
      <x:c r="U15" s="63" t="str">
        <x:v>approximate</x:v>
      </x:c>
      <x:c r="V15" s="63" t="str">
        <x:v>ALBERTA_MAJOR_PROJECTS</x:v>
      </x:c>
      <x:c r="W15" s="63" t="str">
        <x:v>observed</x:v>
      </x:c>
      <x:c r="X15" s="155" t="n">
        <x:v>46265</x:v>
      </x:c>
      <x:c r="Y15" s="63" t="str">
        <x:v>https://www.majorprojects.alberta.ca/</x:v>
      </x:c>
    </x:row>
    <x:row r="16">
      <x:c r="A16" s="63" t="str">
        <x:v>ABMP_11839</x:v>
      </x:c>
      <x:c r="B16" s="63" t="str">
        <x:v>Blood Tribe Police Service Detachment</x:v>
      </x:c>
      <x:c r="C16" s="63" t="str">
        <x:v>Government And Civic Facilities</x:v>
      </x:c>
      <x:c r="D16" s="63" t="str">
        <x:v>inferred</x:v>
      </x:c>
      <x:c r="E16" s="63" t="str">
        <x:v>Emergency Services</x:v>
      </x:c>
      <x:c r="F16" s="63" t="str">
        <x:v>Institutional</x:v>
      </x:c>
      <x:c r="G16" s="63" t="str">
        <x:v>Blood Tribe</x:v>
      </x:c>
      <x:c r="H16" s="63" t="str">
        <x:v>Unresolved</x:v>
      </x:c>
      <x:c r="I16" s="63" t="str">
        <x:v>inferred</x:v>
      </x:c>
      <x:c r="J16" s="63" t="str">
        <x:v>Blood 148</x:v>
      </x:c>
      <x:c r="K16" s="63" t="str">
        <x:v>Under Construction</x:v>
      </x:c>
      <x:c r="L16" s="143" t="n">
        <x:v>17300000</x:v>
      </x:c>
      <x:c r="M16" s="179" t="n">
        <x:v>2026</x:v>
      </x:c>
      <x:c r="N16" s="179" t="n">
        <x:v>2027</x:v>
      </x:c>
      <x:c r="O16" s="63" t="str">
        <x:v>overlaps</x:v>
      </x:c>
      <x:c r="P16" s="63" t="str">
        <x:v>2027</x:v>
      </x:c>
      <x:c r="Q16" s="143" t="n">
        <x:v>8650000</x:v>
      </x:c>
      <x:c r="R16" s="143" t="n">
        <x:v>8650000</x:v>
      </x:c>
      <x:c r="S16" s="154" t="n">
        <x:v>-113.29769</x:v>
      </x:c>
      <x:c r="T16" s="154" t="n">
        <x:v>49.462463</x:v>
      </x:c>
      <x:c r="U16" s="63" t="str">
        <x:v>reported</x:v>
      </x:c>
      <x:c r="V16" s="63" t="str">
        <x:v>ALBERTA_MAJOR_PROJECTS</x:v>
      </x:c>
      <x:c r="W16" s="63" t="str">
        <x:v>observed</x:v>
      </x:c>
      <x:c r="X16" s="155" t="n">
        <x:v>46265</x:v>
      </x:c>
      <x:c r="Y16" s="63" t="str">
        <x:v>https://www.majorprojects.alberta.ca/</x:v>
      </x:c>
    </x:row>
    <x:row r="17">
      <x:c r="A17" s="63" t="str">
        <x:v>ABMP_11530</x:v>
      </x:c>
      <x:c r="B17" s="63" t="str">
        <x:v>CFB Cold Lake Tactical Control Radar Infrastructure Modernization</x:v>
      </x:c>
      <x:c r="C17" s="63" t="str">
        <x:v>Government And Civic Facilities</x:v>
      </x:c>
      <x:c r="D17" s="63" t="str">
        <x:v>inferred</x:v>
      </x:c>
      <x:c r="E17" s="63" t="str">
        <x:v>Military</x:v>
      </x:c>
      <x:c r="F17" s="63" t="str">
        <x:v>Institutional</x:v>
      </x:c>
      <x:c r="G17" s="63" t="str">
        <x:v>Defence Construction Canada</x:v>
      </x:c>
      <x:c r="H17" s="63" t="str">
        <x:v>Government Or Public Institution Signal</x:v>
      </x:c>
      <x:c r="I17" s="63" t="str">
        <x:v>inferred</x:v>
      </x:c>
      <x:c r="J17" s="63" t="str">
        <x:v>Improvement District No. 349</x:v>
      </x:c>
      <x:c r="K17" s="63" t="str">
        <x:v>Under Construction</x:v>
      </x:c>
      <x:c r="L17" s="143" t="n">
        <x:v>15000000</x:v>
      </x:c>
      <x:c r="M17" s="179" t="n">
        <x:v>2026</x:v>
      </x:c>
      <x:c r="N17" s="179"/>
      <x:c r="O17" s="63" t="str">
        <x:v>indeterminate_incomplete_schedule</x:v>
      </x:c>
      <x:c r="P17" s="63" t="str"/>
      <x:c r="Q17" s="143"/>
      <x:c r="R17" s="143"/>
      <x:c r="S17" s="154" t="n">
        <x:v>-110.06545</x:v>
      </x:c>
      <x:c r="T17" s="154" t="n">
        <x:v>54.772539</x:v>
      </x:c>
      <x:c r="U17" s="63" t="str">
        <x:v>reported</x:v>
      </x:c>
      <x:c r="V17" s="63" t="str">
        <x:v>ALBERTA_MAJOR_PROJECTS</x:v>
      </x:c>
      <x:c r="W17" s="63" t="str">
        <x:v>observed</x:v>
      </x:c>
      <x:c r="X17" s="155" t="n">
        <x:v>46265</x:v>
      </x:c>
      <x:c r="Y17" s="63" t="str">
        <x:v>https://www.majorprojects.alberta.ca/</x:v>
      </x:c>
    </x:row>
    <x:row r="18">
      <x:c r="A18" s="63" t="str">
        <x:v>ABMP_11078</x:v>
      </x:c>
      <x:c r="B18" s="63" t="str">
        <x:v>CFB Edmonton Energy Retrofits</x:v>
      </x:c>
      <x:c r="C18" s="63" t="str">
        <x:v>Government And Civic Facilities</x:v>
      </x:c>
      <x:c r="D18" s="63" t="str">
        <x:v>inferred</x:v>
      </x:c>
      <x:c r="E18" s="63" t="str">
        <x:v>Military</x:v>
      </x:c>
      <x:c r="F18" s="63" t="str">
        <x:v>Institutional</x:v>
      </x:c>
      <x:c r="G18" s="63" t="str">
        <x:v>Defence Construction Canada</x:v>
      </x:c>
      <x:c r="H18" s="63" t="str">
        <x:v>Government Or Public Institution Signal</x:v>
      </x:c>
      <x:c r="I18" s="63" t="str">
        <x:v>inferred</x:v>
      </x:c>
      <x:c r="J18" s="63" t="str">
        <x:v>Sturgeon County</x:v>
      </x:c>
      <x:c r="K18" s="63" t="str">
        <x:v>Under Construction</x:v>
      </x:c>
      <x:c r="L18" s="143" t="n">
        <x:v>45300000</x:v>
      </x:c>
      <x:c r="M18" s="179" t="n">
        <x:v>2024</x:v>
      </x:c>
      <x:c r="N18" s="179" t="n">
        <x:v>2026</x:v>
      </x:c>
      <x:c r="O18" s="63" t="str">
        <x:v>outside_window</x:v>
      </x:c>
      <x:c r="P18" s="63" t="str"/>
      <x:c r="Q18" s="143" t="n">
        <x:v>15100000</x:v>
      </x:c>
      <x:c r="R18" s="143" t="n">
        <x:v>0</x:v>
      </x:c>
      <x:c r="S18" s="154" t="n">
        <x:v>-113.478103</x:v>
      </x:c>
      <x:c r="T18" s="154" t="n">
        <x:v>53.682945</x:v>
      </x:c>
      <x:c r="U18" s="63" t="str">
        <x:v>reported</x:v>
      </x:c>
      <x:c r="V18" s="63" t="str">
        <x:v>ALBERTA_MAJOR_PROJECTS</x:v>
      </x:c>
      <x:c r="W18" s="63" t="str">
        <x:v>observed</x:v>
      </x:c>
      <x:c r="X18" s="155" t="n">
        <x:v>46265</x:v>
      </x:c>
      <x:c r="Y18" s="63" t="str">
        <x:v>https://www.majorprojects.alberta.ca/</x:v>
      </x:c>
    </x:row>
    <x:row r="19">
      <x:c r="A19" s="63" t="str">
        <x:v>ABMP_11496</x:v>
      </x:c>
      <x:c r="B19" s="63" t="str">
        <x:v>CFB Suffield Defence Research Centre Lab</x:v>
      </x:c>
      <x:c r="C19" s="63" t="str">
        <x:v>Government And Civic Facilities</x:v>
      </x:c>
      <x:c r="D19" s="63" t="str">
        <x:v>inferred</x:v>
      </x:c>
      <x:c r="E19" s="63" t="str">
        <x:v>Military</x:v>
      </x:c>
      <x:c r="F19" s="63" t="str">
        <x:v>Institutional</x:v>
      </x:c>
      <x:c r="G19" s="63" t="str">
        <x:v>Defence Construction Canada</x:v>
      </x:c>
      <x:c r="H19" s="63" t="str">
        <x:v>Government Or Public Institution Signal</x:v>
      </x:c>
      <x:c r="I19" s="63" t="str">
        <x:v>inferred</x:v>
      </x:c>
      <x:c r="J19" s="63" t="str">
        <x:v>Cypress County</x:v>
      </x:c>
      <x:c r="K19" s="63" t="str">
        <x:v>Proposed</x:v>
      </x:c>
      <x:c r="L19" s="143" t="n">
        <x:v>752000000</x:v>
      </x:c>
      <x:c r="M19" s="179" t="n">
        <x:v>2027</x:v>
      </x:c>
      <x:c r="N19" s="179" t="n">
        <x:v>2032</x:v>
      </x:c>
      <x:c r="O19" s="63" t="str">
        <x:v>overlaps</x:v>
      </x:c>
      <x:c r="P19" s="63" t="str">
        <x:v>2027|2028|2029|2030|2031|2032</x:v>
      </x:c>
      <x:c r="Q19" s="143" t="n">
        <x:v>125333333.33333333</x:v>
      </x:c>
      <x:c r="R19" s="143" t="n">
        <x:v>752000000</x:v>
      </x:c>
      <x:c r="S19" s="154" t="n">
        <x:v>-111.172509</x:v>
      </x:c>
      <x:c r="T19" s="154" t="n">
        <x:v>50.273858</x:v>
      </x:c>
      <x:c r="U19" s="63" t="str">
        <x:v>reported</x:v>
      </x:c>
      <x:c r="V19" s="63" t="str">
        <x:v>ALBERTA_MAJOR_PROJECTS</x:v>
      </x:c>
      <x:c r="W19" s="63" t="str">
        <x:v>observed</x:v>
      </x:c>
      <x:c r="X19" s="155" t="n">
        <x:v>46265</x:v>
      </x:c>
      <x:c r="Y19" s="63" t="str">
        <x:v>https://www.majorprojects.alberta.ca/</x:v>
      </x:c>
    </x:row>
    <x:row r="20">
      <x:c r="A20" s="63" t="str">
        <x:v>ABMP_3764</x:v>
      </x:c>
      <x:c r="B20" s="63" t="str">
        <x:v>Calgary Arts Commons Transformation Project</x:v>
      </x:c>
      <x:c r="C20" s="63" t="str">
        <x:v>Government And Civic Facilities</x:v>
      </x:c>
      <x:c r="D20" s="63" t="str">
        <x:v>inferred</x:v>
      </x:c>
      <x:c r="E20" s="63" t="str">
        <x:v>Arts and Culture</x:v>
      </x:c>
      <x:c r="F20" s="63" t="str">
        <x:v>Tourism / Recreation</x:v>
      </x:c>
      <x:c r="G20" s="63" t="str">
        <x:v>Calgary Municipal Land Corp. (CMLC)</x:v>
      </x:c>
      <x:c r="H20" s="63" t="str">
        <x:v>Unresolved</x:v>
      </x:c>
      <x:c r="I20" s="63" t="str">
        <x:v>inferred</x:v>
      </x:c>
      <x:c r="J20" s="63" t="str">
        <x:v>Calgary</x:v>
      </x:c>
      <x:c r="K20" s="63" t="str">
        <x:v>Under Construction</x:v>
      </x:c>
      <x:c r="L20" s="143" t="n">
        <x:v>660000000</x:v>
      </x:c>
      <x:c r="M20" s="179" t="n">
        <x:v>2024</x:v>
      </x:c>
      <x:c r="N20" s="179" t="n">
        <x:v>2030</x:v>
      </x:c>
      <x:c r="O20" s="63" t="str">
        <x:v>overlaps</x:v>
      </x:c>
      <x:c r="P20" s="63" t="str">
        <x:v>2027|2028|2029|2030</x:v>
      </x:c>
      <x:c r="Q20" s="143" t="n">
        <x:v>94285714.28571428</x:v>
      </x:c>
      <x:c r="R20" s="143" t="n">
        <x:v>377142857.14285713</x:v>
      </x:c>
      <x:c r="S20" s="154" t="n">
        <x:v>-114.05898809473001</x:v>
      </x:c>
      <x:c r="T20" s="154" t="n">
        <x:v>51.04492725360773</x:v>
      </x:c>
      <x:c r="U20" s="63" t="str">
        <x:v>reported</x:v>
      </x:c>
      <x:c r="V20" s="63" t="str">
        <x:v>ALBERTA_MAJOR_PROJECTS</x:v>
      </x:c>
      <x:c r="W20" s="63" t="str">
        <x:v>observed</x:v>
      </x:c>
      <x:c r="X20" s="155" t="n">
        <x:v>46265</x:v>
      </x:c>
      <x:c r="Y20" s="63" t="str">
        <x:v>https://www.majorprojects.alberta.ca/</x:v>
      </x:c>
    </x:row>
    <x:row r="21">
      <x:c r="A21" s="63" t="str">
        <x:v>ABMP_11426</x:v>
      </x:c>
      <x:c r="B21" s="63" t="str">
        <x:v>Cambrian Crossing Fire Hall</x:v>
      </x:c>
      <x:c r="C21" s="63" t="str">
        <x:v>Government And Civic Facilities</x:v>
      </x:c>
      <x:c r="D21" s="63" t="str">
        <x:v>inferred</x:v>
      </x:c>
      <x:c r="E21" s="63" t="str">
        <x:v>Emergency Services</x:v>
      </x:c>
      <x:c r="F21" s="63" t="str">
        <x:v>Institutional</x:v>
      </x:c>
      <x:c r="G21" s="63" t="str">
        <x:v>Strathcona County</x:v>
      </x:c>
      <x:c r="H21" s="63" t="str">
        <x:v>Unresolved</x:v>
      </x:c>
      <x:c r="I21" s="63" t="str">
        <x:v>inferred</x:v>
      </x:c>
      <x:c r="J21" s="63" t="str">
        <x:v>Strathcona County</x:v>
      </x:c>
      <x:c r="K21" s="63" t="str">
        <x:v>Proposed</x:v>
      </x:c>
      <x:c r="L21" s="143" t="n">
        <x:v>24600000</x:v>
      </x:c>
      <x:c r="M21" s="179" t="n">
        <x:v>2026</x:v>
      </x:c>
      <x:c r="N21" s="179"/>
      <x:c r="O21" s="63" t="str">
        <x:v>indeterminate_incomplete_schedule</x:v>
      </x:c>
      <x:c r="P21" s="63" t="str"/>
      <x:c r="Q21" s="143"/>
      <x:c r="R21" s="143"/>
      <x:c r="S21" s="154" t="n">
        <x:v>-113.2689</x:v>
      </x:c>
      <x:c r="T21" s="154" t="n">
        <x:v>53.586962</x:v>
      </x:c>
      <x:c r="U21" s="63" t="str">
        <x:v>reported</x:v>
      </x:c>
      <x:c r="V21" s="63" t="str">
        <x:v>ALBERTA_MAJOR_PROJECTS</x:v>
      </x:c>
      <x:c r="W21" s="63" t="str">
        <x:v>observed</x:v>
      </x:c>
      <x:c r="X21" s="155" t="n">
        <x:v>46265</x:v>
      </x:c>
      <x:c r="Y21" s="63" t="str">
        <x:v>https://www.majorprojects.alberta.ca/</x:v>
      </x:c>
    </x:row>
    <x:row r="22">
      <x:c r="A22" s="63" t="str">
        <x:v>ABMP_11943</x:v>
      </x:c>
      <x:c r="B22" s="63" t="str">
        <x:v>Canadian Kerala Cultural Centre</x:v>
      </x:c>
      <x:c r="C22" s="63" t="str">
        <x:v>Government And Civic Facilities</x:v>
      </x:c>
      <x:c r="D22" s="63" t="str">
        <x:v>inferred</x:v>
      </x:c>
      <x:c r="E22" s="63" t="str">
        <x:v>Community Centre</x:v>
      </x:c>
      <x:c r="F22" s="63" t="str">
        <x:v>Tourism / Recreation</x:v>
      </x:c>
      <x:c r="G22" s="63" t="str">
        <x:v>Canadian Kerala Cultural Association of Alberta</x:v>
      </x:c>
      <x:c r="H22" s="63" t="str">
        <x:v>Unresolved</x:v>
      </x:c>
      <x:c r="I22" s="63" t="str">
        <x:v>inferred</x:v>
      </x:c>
      <x:c r="J22" s="63" t="str">
        <x:v>Edmonton</x:v>
      </x:c>
      <x:c r="K22" s="63" t="str">
        <x:v>Under Construction</x:v>
      </x:c>
      <x:c r="L22" s="143" t="n">
        <x:v>5000000</x:v>
      </x:c>
      <x:c r="M22" s="179" t="n">
        <x:v>2026</x:v>
      </x:c>
      <x:c r="N22" s="179" t="n">
        <x:v>2027</x:v>
      </x:c>
      <x:c r="O22" s="63" t="str">
        <x:v>overlaps</x:v>
      </x:c>
      <x:c r="P22" s="63" t="str">
        <x:v>2027</x:v>
      </x:c>
      <x:c r="Q22" s="143" t="n">
        <x:v>2500000</x:v>
      </x:c>
      <x:c r="R22" s="143" t="n">
        <x:v>2500000</x:v>
      </x:c>
      <x:c r="S22" s="154" t="n">
        <x:v>-113.490792</x:v>
      </x:c>
      <x:c r="T22" s="154" t="n">
        <x:v>53.402737</x:v>
      </x:c>
      <x:c r="U22" s="63" t="str">
        <x:v>reported</x:v>
      </x:c>
      <x:c r="V22" s="63" t="str">
        <x:v>ALBERTA_MAJOR_PROJECTS</x:v>
      </x:c>
      <x:c r="W22" s="63" t="str">
        <x:v>observed</x:v>
      </x:c>
      <x:c r="X22" s="155" t="n">
        <x:v>46265</x:v>
      </x:c>
      <x:c r="Y22" s="63" t="str">
        <x:v>https://www.majorprojects.alberta.ca/</x:v>
      </x:c>
    </x:row>
    <x:row r="23">
      <x:c r="A23" s="63" t="str">
        <x:v>ABMP_11600</x:v>
      </x:c>
      <x:c r="B23" s="63" t="str">
        <x:v>City Arts Centre Rehabilitation</x:v>
      </x:c>
      <x:c r="C23" s="63" t="str">
        <x:v>Government And Civic Facilities</x:v>
      </x:c>
      <x:c r="D23" s="63" t="str">
        <x:v>inferred</x:v>
      </x:c>
      <x:c r="E23" s="63" t="str">
        <x:v>Community Centre</x:v>
      </x:c>
      <x:c r="F23" s="63" t="str">
        <x:v>Tourism / Recreation</x:v>
      </x:c>
      <x:c r="G23" s="63" t="str">
        <x:v>City of Edmonton</x:v>
      </x:c>
      <x:c r="H23" s="63" t="str">
        <x:v>Government Or Public Institution Signal</x:v>
      </x:c>
      <x:c r="I23" s="63" t="str">
        <x:v>inferred</x:v>
      </x:c>
      <x:c r="J23" s="63" t="str">
        <x:v>Edmonton</x:v>
      </x:c>
      <x:c r="K23" s="63" t="str">
        <x:v>Under Construction</x:v>
      </x:c>
      <x:c r="L23" s="143" t="n">
        <x:v>5200000</x:v>
      </x:c>
      <x:c r="M23" s="179" t="n">
        <x:v>2025</x:v>
      </x:c>
      <x:c r="N23" s="179" t="n">
        <x:v>2026</x:v>
      </x:c>
      <x:c r="O23" s="63" t="str">
        <x:v>outside_window</x:v>
      </x:c>
      <x:c r="P23" s="63" t="str"/>
      <x:c r="Q23" s="143" t="n">
        <x:v>2600000</x:v>
      </x:c>
      <x:c r="R23" s="143" t="n">
        <x:v>0</x:v>
      </x:c>
      <x:c r="S23" s="154" t="n">
        <x:v>-113.513987</x:v>
      </x:c>
      <x:c r="T23" s="154" t="n">
        <x:v>53.519722</x:v>
      </x:c>
      <x:c r="U23" s="63" t="str">
        <x:v>reported</x:v>
      </x:c>
      <x:c r="V23" s="63" t="str">
        <x:v>ALBERTA_MAJOR_PROJECTS</x:v>
      </x:c>
      <x:c r="W23" s="63" t="str">
        <x:v>observed</x:v>
      </x:c>
      <x:c r="X23" s="155" t="n">
        <x:v>46265</x:v>
      </x:c>
      <x:c r="Y23" s="63" t="str">
        <x:v>https://www.majorprojects.alberta.ca/</x:v>
      </x:c>
    </x:row>
    <x:row r="24">
      <x:c r="A24" s="63" t="str">
        <x:v>ABMP_10575</x:v>
      </x:c>
      <x:c r="B24" s="63" t="str">
        <x:v>Cold Lake Public Works Operations Centre</x:v>
      </x:c>
      <x:c r="C24" s="63" t="str">
        <x:v>Government And Civic Facilities</x:v>
      </x:c>
      <x:c r="D24" s="63" t="str">
        <x:v>inferred</x:v>
      </x:c>
      <x:c r="E24" s="63" t="str">
        <x:v>Administration</x:v>
      </x:c>
      <x:c r="F24" s="63" t="str">
        <x:v>Institutional</x:v>
      </x:c>
      <x:c r="G24" s="63" t="str">
        <x:v>City of Cold Lake</x:v>
      </x:c>
      <x:c r="H24" s="63" t="str">
        <x:v>Government Or Public Institution Signal</x:v>
      </x:c>
      <x:c r="I24" s="63" t="str">
        <x:v>inferred</x:v>
      </x:c>
      <x:c r="J24" s="63" t="str">
        <x:v>Bonnyville No. 87</x:v>
      </x:c>
      <x:c r="K24" s="63" t="str">
        <x:v>Under Construction</x:v>
      </x:c>
      <x:c r="L24" s="143" t="n">
        <x:v>48000000</x:v>
      </x:c>
      <x:c r="M24" s="179" t="n">
        <x:v>2023</x:v>
      </x:c>
      <x:c r="N24" s="179" t="n">
        <x:v>2026</x:v>
      </x:c>
      <x:c r="O24" s="63" t="str">
        <x:v>outside_window</x:v>
      </x:c>
      <x:c r="P24" s="63" t="str"/>
      <x:c r="Q24" s="143" t="n">
        <x:v>12000000</x:v>
      </x:c>
      <x:c r="R24" s="143" t="n">
        <x:v>0</x:v>
      </x:c>
      <x:c r="S24" s="154" t="n">
        <x:v>-110.183071</x:v>
      </x:c>
      <x:c r="T24" s="154" t="n">
        <x:v>54.434195</x:v>
      </x:c>
      <x:c r="U24" s="63" t="str">
        <x:v>reported</x:v>
      </x:c>
      <x:c r="V24" s="63" t="str">
        <x:v>ALBERTA_MAJOR_PROJECTS</x:v>
      </x:c>
      <x:c r="W24" s="63" t="str">
        <x:v>observed</x:v>
      </x:c>
      <x:c r="X24" s="155" t="n">
        <x:v>46265</x:v>
      </x:c>
      <x:c r="Y24" s="63" t="str">
        <x:v>https://www.majorprojects.alberta.ca/</x:v>
      </x:c>
    </x:row>
    <x:row r="25">
      <x:c r="A25" s="63" t="str">
        <x:v>ABMP_12185</x:v>
      </x:c>
      <x:c r="B25" s="63" t="str">
        <x:v>Contemporary Calgary Centennial Planetarium Transformation Project</x:v>
      </x:c>
      <x:c r="C25" s="63" t="str">
        <x:v>Government And Civic Facilities</x:v>
      </x:c>
      <x:c r="D25" s="63" t="str">
        <x:v>inferred</x:v>
      </x:c>
      <x:c r="E25" s="63" t="str">
        <x:v>Arts and Culture</x:v>
      </x:c>
      <x:c r="F25" s="63" t="str">
        <x:v>Tourism / Recreation</x:v>
      </x:c>
      <x:c r="G25" s="63" t="str">
        <x:v>Contemporary Calgary</x:v>
      </x:c>
      <x:c r="H25" s="63" t="str">
        <x:v>Unresolved</x:v>
      </x:c>
      <x:c r="I25" s="63" t="str">
        <x:v>inferred</x:v>
      </x:c>
      <x:c r="J25" s="63" t="str">
        <x:v>Calgary</x:v>
      </x:c>
      <x:c r="K25" s="63" t="str">
        <x:v>Proposed</x:v>
      </x:c>
      <x:c r="L25" s="143" t="n">
        <x:v>160000000</x:v>
      </x:c>
      <x:c r="M25" s="179" t="n">
        <x:v>2026</x:v>
      </x:c>
      <x:c r="N25" s="179"/>
      <x:c r="O25" s="63" t="str">
        <x:v>indeterminate_incomplete_schedule</x:v>
      </x:c>
      <x:c r="P25" s="63" t="str"/>
      <x:c r="Q25" s="143"/>
      <x:c r="R25" s="143"/>
      <x:c r="S25" s="154" t="n">
        <x:v>-114.08925442935858</x:v>
      </x:c>
      <x:c r="T25" s="154" t="n">
        <x:v>51.04741168758767</x:v>
      </x:c>
      <x:c r="U25" s="63" t="str">
        <x:v>reported</x:v>
      </x:c>
      <x:c r="V25" s="63" t="str">
        <x:v>ALBERTA_MAJOR_PROJECTS</x:v>
      </x:c>
      <x:c r="W25" s="63" t="str">
        <x:v>observed</x:v>
      </x:c>
      <x:c r="X25" s="155" t="n">
        <x:v>46265</x:v>
      </x:c>
      <x:c r="Y25" s="63" t="str">
        <x:v>https://www.majorprojects.alberta.ca/</x:v>
      </x:c>
    </x:row>
    <x:row r="26">
      <x:c r="A26" s="63" t="str">
        <x:v>ABMP_10870</x:v>
      </x:c>
      <x:c r="B26" s="63" t="str">
        <x:v>Critical Medicines Production Centre (Edmonton Research Park)</x:v>
      </x:c>
      <x:c r="C26" s="63" t="str">
        <x:v>Government And Civic Facilities</x:v>
      </x:c>
      <x:c r="D26" s="63" t="str">
        <x:v>inferred</x:v>
      </x:c>
      <x:c r="E26" s="63" t="str">
        <x:v>Research Centre</x:v>
      </x:c>
      <x:c r="F26" s="63" t="str">
        <x:v>Industrial</x:v>
      </x:c>
      <x:c r="G26" s="63" t="str">
        <x:v>Applied Pharmaceutical Innovation</x:v>
      </x:c>
      <x:c r="H26" s="63" t="str">
        <x:v>Unresolved</x:v>
      </x:c>
      <x:c r="I26" s="63" t="str">
        <x:v>inferred</x:v>
      </x:c>
      <x:c r="J26" s="63" t="str">
        <x:v>Edmonton</x:v>
      </x:c>
      <x:c r="K26" s="63" t="str">
        <x:v>Under Construction</x:v>
      </x:c>
      <x:c r="L26" s="143" t="n">
        <x:v>200000000</x:v>
      </x:c>
      <x:c r="M26" s="179" t="n">
        <x:v>2024</x:v>
      </x:c>
      <x:c r="N26" s="179" t="n">
        <x:v>2026</x:v>
      </x:c>
      <x:c r="O26" s="63" t="str">
        <x:v>outside_window</x:v>
      </x:c>
      <x:c r="P26" s="63" t="str"/>
      <x:c r="Q26" s="143" t="n">
        <x:v>66666666.666666664</x:v>
      </x:c>
      <x:c r="R26" s="143" t="n">
        <x:v>0</x:v>
      </x:c>
      <x:c r="S26" s="154" t="n">
        <x:v>-113.473674</x:v>
      </x:c>
      <x:c r="T26" s="154" t="n">
        <x:v>53.448402</x:v>
      </x:c>
      <x:c r="U26" s="63" t="str">
        <x:v>approximate</x:v>
      </x:c>
      <x:c r="V26" s="63" t="str">
        <x:v>ALBERTA_MAJOR_PROJECTS</x:v>
      </x:c>
      <x:c r="W26" s="63" t="str">
        <x:v>observed</x:v>
      </x:c>
      <x:c r="X26" s="155" t="n">
        <x:v>46265</x:v>
      </x:c>
      <x:c r="Y26" s="63" t="str">
        <x:v>https://www.majorprojects.alberta.ca/</x:v>
      </x:c>
    </x:row>
    <x:row r="27">
      <x:c r="A27" s="63" t="str">
        <x:v>ABMP_11760</x:v>
      </x:c>
      <x:c r="B27" s="63" t="str">
        <x:v>Entos Pharmaceuticals Biomanufacturing, Research and Development Facility</x:v>
      </x:c>
      <x:c r="C27" s="63" t="str">
        <x:v>Government And Civic Facilities</x:v>
      </x:c>
      <x:c r="D27" s="63" t="str">
        <x:v>inferred</x:v>
      </x:c>
      <x:c r="E27" s="63" t="str">
        <x:v>Research Centre</x:v>
      </x:c>
      <x:c r="F27" s="63" t="str">
        <x:v>Industrial</x:v>
      </x:c>
      <x:c r="G27" s="63" t="str">
        <x:v>Entos Pharmaceuticals</x:v>
      </x:c>
      <x:c r="H27" s="63" t="str">
        <x:v>Unresolved</x:v>
      </x:c>
      <x:c r="I27" s="63" t="str">
        <x:v>inferred</x:v>
      </x:c>
      <x:c r="J27" s="63" t="str">
        <x:v>Edmonton</x:v>
      </x:c>
      <x:c r="K27" s="63" t="str">
        <x:v>Under Construction</x:v>
      </x:c>
      <x:c r="L27" s="143" t="n">
        <x:v>198500000</x:v>
      </x:c>
      <x:c r="M27" s="179" t="n">
        <x:v>2026</x:v>
      </x:c>
      <x:c r="N27" s="179" t="n">
        <x:v>2029</x:v>
      </x:c>
      <x:c r="O27" s="63" t="str">
        <x:v>overlaps</x:v>
      </x:c>
      <x:c r="P27" s="63" t="str">
        <x:v>2027|2028|2029</x:v>
      </x:c>
      <x:c r="Q27" s="143" t="n">
        <x:v>49625000</x:v>
      </x:c>
      <x:c r="R27" s="143" t="n">
        <x:v>148875000</x:v>
      </x:c>
      <x:c r="S27" s="154" t="n">
        <x:v>-113.469317</x:v>
      </x:c>
      <x:c r="T27" s="154" t="n">
        <x:v>53.44546</x:v>
      </x:c>
      <x:c r="U27" s="63" t="str">
        <x:v>approximate</x:v>
      </x:c>
      <x:c r="V27" s="63" t="str">
        <x:v>ALBERTA_MAJOR_PROJECTS</x:v>
      </x:c>
      <x:c r="W27" s="63" t="str">
        <x:v>observed</x:v>
      </x:c>
      <x:c r="X27" s="155" t="n">
        <x:v>46265</x:v>
      </x:c>
      <x:c r="Y27" s="63" t="str">
        <x:v>https://www.majorprojects.alberta.ca/</x:v>
      </x:c>
    </x:row>
    <x:row r="28">
      <x:c r="A28" s="63" t="str">
        <x:v>ABMP_12079</x:v>
      </x:c>
      <x:c r="B28" s="63" t="str">
        <x:v>Fire Hall 3 (Leduc)</x:v>
      </x:c>
      <x:c r="C28" s="63" t="str">
        <x:v>Government And Civic Facilities</x:v>
      </x:c>
      <x:c r="D28" s="63" t="str">
        <x:v>inferred</x:v>
      </x:c>
      <x:c r="E28" s="63" t="str">
        <x:v>Emergency Services</x:v>
      </x:c>
      <x:c r="F28" s="63" t="str">
        <x:v>Institutional</x:v>
      </x:c>
      <x:c r="G28" s="63" t="str">
        <x:v>City of Leduc</x:v>
      </x:c>
      <x:c r="H28" s="63" t="str">
        <x:v>Government Or Public Institution Signal</x:v>
      </x:c>
      <x:c r="I28" s="63" t="str">
        <x:v>inferred</x:v>
      </x:c>
      <x:c r="J28" s="63" t="str">
        <x:v>Leduc</x:v>
      </x:c>
      <x:c r="K28" s="63" t="str">
        <x:v>Under Construction</x:v>
      </x:c>
      <x:c r="L28" s="143" t="n">
        <x:v>14100000</x:v>
      </x:c>
      <x:c r="M28" s="179" t="n">
        <x:v>2026</x:v>
      </x:c>
      <x:c r="N28" s="179" t="n">
        <x:v>2027</x:v>
      </x:c>
      <x:c r="O28" s="63" t="str">
        <x:v>overlaps</x:v>
      </x:c>
      <x:c r="P28" s="63" t="str">
        <x:v>2027</x:v>
      </x:c>
      <x:c r="Q28" s="143" t="n">
        <x:v>7050000</x:v>
      </x:c>
      <x:c r="R28" s="143" t="n">
        <x:v>7050000</x:v>
      </x:c>
      <x:c r="S28" s="154" t="n">
        <x:v>-113.51870273895739</x:v>
      </x:c>
      <x:c r="T28" s="154" t="n">
        <x:v>53.2784071135522</x:v>
      </x:c>
      <x:c r="U28" s="63" t="str">
        <x:v>approximate</x:v>
      </x:c>
      <x:c r="V28" s="63" t="str">
        <x:v>ALBERTA_MAJOR_PROJECTS</x:v>
      </x:c>
      <x:c r="W28" s="63" t="str">
        <x:v>observed</x:v>
      </x:c>
      <x:c r="X28" s="155" t="n">
        <x:v>46265</x:v>
      </x:c>
      <x:c r="Y28" s="63" t="str">
        <x:v>https://www.majorprojects.alberta.ca/</x:v>
      </x:c>
    </x:row>
    <x:row r="29">
      <x:c r="A29" s="63" t="str">
        <x:v>ABMP_12114</x:v>
      </x:c>
      <x:c r="B29" s="63" t="str">
        <x:v>Fire Station (Lacombe)</x:v>
      </x:c>
      <x:c r="C29" s="63" t="str">
        <x:v>Government And Civic Facilities</x:v>
      </x:c>
      <x:c r="D29" s="63" t="str">
        <x:v>inferred</x:v>
      </x:c>
      <x:c r="E29" s="63" t="str">
        <x:v>Emergency Services</x:v>
      </x:c>
      <x:c r="F29" s="63" t="str">
        <x:v>Institutional</x:v>
      </x:c>
      <x:c r="G29" s="63" t="str">
        <x:v>City of Lacombe</x:v>
      </x:c>
      <x:c r="H29" s="63" t="str">
        <x:v>Government Or Public Institution Signal</x:v>
      </x:c>
      <x:c r="I29" s="63" t="str">
        <x:v>inferred</x:v>
      </x:c>
      <x:c r="J29" s="63" t="str">
        <x:v>Lacombe</x:v>
      </x:c>
      <x:c r="K29" s="63" t="str">
        <x:v>Proposed</x:v>
      </x:c>
      <x:c r="L29" s="143" t="n">
        <x:v>8000000</x:v>
      </x:c>
      <x:c r="M29" s="179"/>
      <x:c r="N29" s="179" t="n">
        <x:v>2027</x:v>
      </x:c>
      <x:c r="O29" s="63" t="str">
        <x:v>indeterminate_incomplete_schedule</x:v>
      </x:c>
      <x:c r="P29" s="63" t="str"/>
      <x:c r="Q29" s="143"/>
      <x:c r="R29" s="143"/>
      <x:c r="S29" s="154" t="n">
        <x:v>-113.719548360498</x:v>
      </x:c>
      <x:c r="T29" s="154" t="n">
        <x:v>52.47610996912931</x:v>
      </x:c>
      <x:c r="U29" s="63" t="str">
        <x:v>reported</x:v>
      </x:c>
      <x:c r="V29" s="63" t="str">
        <x:v>ALBERTA_MAJOR_PROJECTS</x:v>
      </x:c>
      <x:c r="W29" s="63" t="str">
        <x:v>observed</x:v>
      </x:c>
      <x:c r="X29" s="155" t="n">
        <x:v>46265</x:v>
      </x:c>
      <x:c r="Y29" s="63" t="str">
        <x:v>https://www.majorprojects.alberta.ca/</x:v>
      </x:c>
    </x:row>
    <x:row r="30">
      <x:c r="A30" s="63" t="str">
        <x:v>ABMP_4044</x:v>
      </x:c>
      <x:c r="B30" s="63" t="str">
        <x:v>Glenbow Museum Renovations (JR Shaw Centre for Arts &amp; Culture)</x:v>
      </x:c>
      <x:c r="C30" s="63" t="str">
        <x:v>Government And Civic Facilities</x:v>
      </x:c>
      <x:c r="D30" s="63" t="str">
        <x:v>inferred</x:v>
      </x:c>
      <x:c r="E30" s="63" t="str">
        <x:v>Arts and Culture</x:v>
      </x:c>
      <x:c r="F30" s="63" t="str">
        <x:v>Tourism / Recreation</x:v>
      </x:c>
      <x:c r="G30" s="63" t="str">
        <x:v>Glenbow Museum</x:v>
      </x:c>
      <x:c r="H30" s="63" t="str">
        <x:v>Unresolved</x:v>
      </x:c>
      <x:c r="I30" s="63" t="str">
        <x:v>inferred</x:v>
      </x:c>
      <x:c r="J30" s="63" t="str">
        <x:v>Calgary</x:v>
      </x:c>
      <x:c r="K30" s="63" t="str">
        <x:v>Under Construction</x:v>
      </x:c>
      <x:c r="L30" s="143" t="n">
        <x:v>205000000</x:v>
      </x:c>
      <x:c r="M30" s="179" t="n">
        <x:v>2021</x:v>
      </x:c>
      <x:c r="N30" s="179" t="n">
        <x:v>2027</x:v>
      </x:c>
      <x:c r="O30" s="63" t="str">
        <x:v>overlaps</x:v>
      </x:c>
      <x:c r="P30" s="63" t="str">
        <x:v>2027</x:v>
      </x:c>
      <x:c r="Q30" s="143" t="n">
        <x:v>29285714.285714287</x:v>
      </x:c>
      <x:c r="R30" s="143" t="n">
        <x:v>29285714.285714287</x:v>
      </x:c>
      <x:c r="S30" s="154" t="n">
        <x:v>-114.06130313873291</x:v>
      </x:c>
      <x:c r="T30" s="154" t="n">
        <x:v>51.04493548704129</x:v>
      </x:c>
      <x:c r="U30" s="63" t="str">
        <x:v>reported</x:v>
      </x:c>
      <x:c r="V30" s="63" t="str">
        <x:v>ALBERTA_MAJOR_PROJECTS</x:v>
      </x:c>
      <x:c r="W30" s="63" t="str">
        <x:v>observed</x:v>
      </x:c>
      <x:c r="X30" s="155" t="n">
        <x:v>46265</x:v>
      </x:c>
      <x:c r="Y30" s="63" t="str">
        <x:v>https://www.majorprojects.alberta.ca/</x:v>
      </x:c>
    </x:row>
    <x:row r="31">
      <x:c r="A31" s="63" t="str">
        <x:v>ABMP_11933</x:v>
      </x:c>
      <x:c r="B31" s="63" t="str">
        <x:v>Helmuth Ritter Fire Station</x:v>
      </x:c>
      <x:c r="C31" s="63" t="str">
        <x:v>Government And Civic Facilities</x:v>
      </x:c>
      <x:c r="D31" s="63" t="str">
        <x:v>inferred</x:v>
      </x:c>
      <x:c r="E31" s="63" t="str">
        <x:v>Emergency Services</x:v>
      </x:c>
      <x:c r="F31" s="63" t="str">
        <x:v>Institutional</x:v>
      </x:c>
      <x:c r="G31" s="63" t="str">
        <x:v>City of Fort Saskatchewan</x:v>
      </x:c>
      <x:c r="H31" s="63" t="str">
        <x:v>Government Or Public Institution Signal</x:v>
      </x:c>
      <x:c r="I31" s="63" t="str">
        <x:v>inferred</x:v>
      </x:c>
      <x:c r="J31" s="63" t="str">
        <x:v>Fort Saskatchewan</x:v>
      </x:c>
      <x:c r="K31" s="63" t="str">
        <x:v>Proposed</x:v>
      </x:c>
      <x:c r="L31" s="143" t="n">
        <x:v>24500000</x:v>
      </x:c>
      <x:c r="M31" s="179" t="n">
        <x:v>2026</x:v>
      </x:c>
      <x:c r="N31" s="179"/>
      <x:c r="O31" s="63" t="str">
        <x:v>indeterminate_incomplete_schedule</x:v>
      </x:c>
      <x:c r="P31" s="63" t="str"/>
      <x:c r="Q31" s="143"/>
      <x:c r="R31" s="143"/>
      <x:c r="S31" s="154" t="n">
        <x:v>-113.241127</x:v>
      </x:c>
      <x:c r="T31" s="154" t="n">
        <x:v>53.673593</x:v>
      </x:c>
      <x:c r="U31" s="63" t="str">
        <x:v>reported</x:v>
      </x:c>
      <x:c r="V31" s="63" t="str">
        <x:v>ALBERTA_MAJOR_PROJECTS</x:v>
      </x:c>
      <x:c r="W31" s="63" t="str">
        <x:v>observed</x:v>
      </x:c>
      <x:c r="X31" s="155" t="n">
        <x:v>46265</x:v>
      </x:c>
      <x:c r="Y31" s="63" t="str">
        <x:v>https://www.majorprojects.alberta.ca/</x:v>
      </x:c>
    </x:row>
    <x:row r="32">
      <x:c r="A32" s="63" t="str">
        <x:v>ABMP_11024</x:v>
      </x:c>
      <x:c r="B32" s="63" t="str">
        <x:v>Lake Louise Fire Hall</x:v>
      </x:c>
      <x:c r="C32" s="63" t="str">
        <x:v>Government And Civic Facilities</x:v>
      </x:c>
      <x:c r="D32" s="63" t="str">
        <x:v>inferred</x:v>
      </x:c>
      <x:c r="E32" s="63" t="str">
        <x:v>Emergency Services</x:v>
      </x:c>
      <x:c r="F32" s="63" t="str">
        <x:v>Institutional</x:v>
      </x:c>
      <x:c r="G32" s="63" t="str">
        <x:v>Improvement District No. 9</x:v>
      </x:c>
      <x:c r="H32" s="63" t="str">
        <x:v>Government Or Public Institution Signal</x:v>
      </x:c>
      <x:c r="I32" s="63" t="str">
        <x:v>inferred</x:v>
      </x:c>
      <x:c r="J32" s="63" t="str">
        <x:v>Improvement District No.  9 Banff</x:v>
      </x:c>
      <x:c r="K32" s="63" t="str">
        <x:v>Under Construction</x:v>
      </x:c>
      <x:c r="L32" s="143" t="n">
        <x:v>13000000</x:v>
      </x:c>
      <x:c r="M32" s="179" t="n">
        <x:v>2025</x:v>
      </x:c>
      <x:c r="N32" s="179" t="n">
        <x:v>2028</x:v>
      </x:c>
      <x:c r="O32" s="63" t="str">
        <x:v>overlaps</x:v>
      </x:c>
      <x:c r="P32" s="63" t="str">
        <x:v>2027|2028</x:v>
      </x:c>
      <x:c r="Q32" s="143" t="n">
        <x:v>3250000</x:v>
      </x:c>
      <x:c r="R32" s="143" t="n">
        <x:v>6500000</x:v>
      </x:c>
      <x:c r="S32" s="154" t="n">
        <x:v>-116.188667</x:v>
      </x:c>
      <x:c r="T32" s="154" t="n">
        <x:v>51.431381</x:v>
      </x:c>
      <x:c r="U32" s="63" t="str">
        <x:v>reported</x:v>
      </x:c>
      <x:c r="V32" s="63" t="str">
        <x:v>ALBERTA_MAJOR_PROJECTS</x:v>
      </x:c>
      <x:c r="W32" s="63" t="str">
        <x:v>observed</x:v>
      </x:c>
      <x:c r="X32" s="155" t="n">
        <x:v>46265</x:v>
      </x:c>
      <x:c r="Y32" s="63" t="str">
        <x:v>https://www.majorprojects.alberta.ca/</x:v>
      </x:c>
    </x:row>
    <x:row r="33">
      <x:c r="A33" s="63" t="str">
        <x:v>ABMP_11594</x:v>
      </x:c>
      <x:c r="B33" s="63" t="str">
        <x:v>Madden Fire Hall</x:v>
      </x:c>
      <x:c r="C33" s="63" t="str">
        <x:v>Government And Civic Facilities</x:v>
      </x:c>
      <x:c r="D33" s="63" t="str">
        <x:v>inferred</x:v>
      </x:c>
      <x:c r="E33" s="63" t="str">
        <x:v>Emergency Services</x:v>
      </x:c>
      <x:c r="F33" s="63" t="str">
        <x:v>Institutional</x:v>
      </x:c>
      <x:c r="G33" s="63" t="str">
        <x:v>Rocky View County</x:v>
      </x:c>
      <x:c r="H33" s="63" t="str">
        <x:v>Unresolved</x:v>
      </x:c>
      <x:c r="I33" s="63" t="str">
        <x:v>inferred</x:v>
      </x:c>
      <x:c r="J33" s="63" t="str">
        <x:v>Rocky View County</x:v>
      </x:c>
      <x:c r="K33" s="63" t="str">
        <x:v>Under Construction</x:v>
      </x:c>
      <x:c r="L33" s="143" t="n">
        <x:v>6000000</x:v>
      </x:c>
      <x:c r="M33" s="179" t="n">
        <x:v>2026</x:v>
      </x:c>
      <x:c r="N33" s="179" t="n">
        <x:v>2027</x:v>
      </x:c>
      <x:c r="O33" s="63" t="str">
        <x:v>overlaps</x:v>
      </x:c>
      <x:c r="P33" s="63" t="str">
        <x:v>2027</x:v>
      </x:c>
      <x:c r="Q33" s="143" t="n">
        <x:v>3000000</x:v>
      </x:c>
      <x:c r="R33" s="143" t="n">
        <x:v>3000000</x:v>
      </x:c>
      <x:c r="S33" s="154" t="n">
        <x:v>-114.282885</x:v>
      </x:c>
      <x:c r="T33" s="154" t="n">
        <x:v>51.433909</x:v>
      </x:c>
      <x:c r="U33" s="63" t="str">
        <x:v>reported</x:v>
      </x:c>
      <x:c r="V33" s="63" t="str">
        <x:v>ALBERTA_MAJOR_PROJECTS</x:v>
      </x:c>
      <x:c r="W33" s="63" t="str">
        <x:v>observed</x:v>
      </x:c>
      <x:c r="X33" s="155" t="n">
        <x:v>46265</x:v>
      </x:c>
      <x:c r="Y33" s="63" t="str">
        <x:v>https://www.majorprojects.alberta.ca/</x:v>
      </x:c>
    </x:row>
    <x:row r="34">
      <x:c r="A34" s="63" t="str">
        <x:v>ABMP_4202</x:v>
      </x:c>
      <x:c r="B34" s="63" t="str">
        <x:v>McMurray M�tis Cultural Centre</x:v>
      </x:c>
      <x:c r="C34" s="63" t="str">
        <x:v>Government And Civic Facilities</x:v>
      </x:c>
      <x:c r="D34" s="63" t="str">
        <x:v>inferred</x:v>
      </x:c>
      <x:c r="E34" s="63" t="str">
        <x:v>Community Centre</x:v>
      </x:c>
      <x:c r="F34" s="63" t="str">
        <x:v>Tourism / Recreation</x:v>
      </x:c>
      <x:c r="G34" s="63" t="str">
        <x:v>McMurray Metis</x:v>
      </x:c>
      <x:c r="H34" s="63" t="str">
        <x:v>Unresolved</x:v>
      </x:c>
      <x:c r="I34" s="63" t="str">
        <x:v>inferred</x:v>
      </x:c>
      <x:c r="J34" s="63" t="str">
        <x:v>Wood Buffalo</x:v>
      </x:c>
      <x:c r="K34" s="63" t="str">
        <x:v>Under Construction</x:v>
      </x:c>
      <x:c r="L34" s="143" t="n">
        <x:v>73000000</x:v>
      </x:c>
      <x:c r="M34" s="179" t="n">
        <x:v>2021</x:v>
      </x:c>
      <x:c r="N34" s="179" t="n">
        <x:v>2027</x:v>
      </x:c>
      <x:c r="O34" s="63" t="str">
        <x:v>overlaps</x:v>
      </x:c>
      <x:c r="P34" s="63" t="str">
        <x:v>2027</x:v>
      </x:c>
      <x:c r="Q34" s="143" t="n">
        <x:v>10428571.42857143</x:v>
      </x:c>
      <x:c r="R34" s="143" t="n">
        <x:v>10428571.42857143</x:v>
      </x:c>
      <x:c r="S34" s="154" t="n">
        <x:v>-111.38732314109802</x:v>
      </x:c>
      <x:c r="T34" s="154" t="n">
        <x:v>56.73905805641851</x:v>
      </x:c>
      <x:c r="U34" s="63" t="str">
        <x:v>reported</x:v>
      </x:c>
      <x:c r="V34" s="63" t="str">
        <x:v>ALBERTA_MAJOR_PROJECTS</x:v>
      </x:c>
      <x:c r="W34" s="63" t="str">
        <x:v>observed</x:v>
      </x:c>
      <x:c r="X34" s="155" t="n">
        <x:v>46265</x:v>
      </x:c>
      <x:c r="Y34" s="63" t="str">
        <x:v>https://www.majorprojects.alberta.ca/</x:v>
      </x:c>
    </x:row>
    <x:row r="35">
      <x:c r="A35" s="63" t="str">
        <x:v>ABMP_4126</x:v>
      </x:c>
      <x:c r="B35" s="63" t="str">
        <x:v>Military Fighter Squadron Facility</x:v>
      </x:c>
      <x:c r="C35" s="63" t="str">
        <x:v>Government And Civic Facilities</x:v>
      </x:c>
      <x:c r="D35" s="63" t="str">
        <x:v>inferred</x:v>
      </x:c>
      <x:c r="E35" s="63" t="str">
        <x:v>Military</x:v>
      </x:c>
      <x:c r="F35" s="63" t="str">
        <x:v>Institutional</x:v>
      </x:c>
      <x:c r="G35" s="63" t="str">
        <x:v>Defence Construction Canada</x:v>
      </x:c>
      <x:c r="H35" s="63" t="str">
        <x:v>Government Or Public Institution Signal</x:v>
      </x:c>
      <x:c r="I35" s="63" t="str">
        <x:v>inferred</x:v>
      </x:c>
      <x:c r="J35" s="63" t="str">
        <x:v>Cold Lake</x:v>
      </x:c>
      <x:c r="K35" s="63" t="str">
        <x:v>Under Construction</x:v>
      </x:c>
      <x:c r="L35" s="143" t="n">
        <x:v>272000000</x:v>
      </x:c>
      <x:c r="M35" s="179" t="n">
        <x:v>2025</x:v>
      </x:c>
      <x:c r="N35" s="179" t="n">
        <x:v>2030</x:v>
      </x:c>
      <x:c r="O35" s="63" t="str">
        <x:v>overlaps</x:v>
      </x:c>
      <x:c r="P35" s="63" t="str">
        <x:v>2027|2028|2029|2030</x:v>
      </x:c>
      <x:c r="Q35" s="143" t="n">
        <x:v>45333333.333333336</x:v>
      </x:c>
      <x:c r="R35" s="143" t="n">
        <x:v>181333333.33333334</x:v>
      </x:c>
      <x:c r="S35" s="154" t="n">
        <x:v>-110.27947425842285</x:v>
      </x:c>
      <x:c r="T35" s="154" t="n">
        <x:v>54.41113843929933</x:v>
      </x:c>
      <x:c r="U35" s="63" t="str">
        <x:v>reported</x:v>
      </x:c>
      <x:c r="V35" s="63" t="str">
        <x:v>ALBERTA_MAJOR_PROJECTS</x:v>
      </x:c>
      <x:c r="W35" s="63" t="str">
        <x:v>observed</x:v>
      </x:c>
      <x:c r="X35" s="155" t="n">
        <x:v>46265</x:v>
      </x:c>
      <x:c r="Y35" s="63" t="str">
        <x:v>https://www.majorprojects.alberta.ca/</x:v>
      </x:c>
    </x:row>
    <x:row r="36">
      <x:c r="A36" s="63" t="str">
        <x:v>ABMP_11987</x:v>
      </x:c>
      <x:c r="B36" s="63" t="str">
        <x:v>Nostalgia Community Centre</x:v>
      </x:c>
      <x:c r="C36" s="63" t="str">
        <x:v>Government And Civic Facilities</x:v>
      </x:c>
      <x:c r="D36" s="63" t="str">
        <x:v>inferred</x:v>
      </x:c>
      <x:c r="E36" s="63" t="str">
        <x:v>Community Centre</x:v>
      </x:c>
      <x:c r="F36" s="63" t="str">
        <x:v>Tourism / Recreation</x:v>
      </x:c>
      <x:c r="G36" s="63" t="str">
        <x:v>Jayman Homes</x:v>
      </x:c>
      <x:c r="H36" s="63" t="str">
        <x:v>Unresolved</x:v>
      </x:c>
      <x:c r="I36" s="63" t="str">
        <x:v>inferred</x:v>
      </x:c>
      <x:c r="J36" s="63" t="str">
        <x:v>Calgary</x:v>
      </x:c>
      <x:c r="K36" s="63" t="str">
        <x:v>Under Construction</x:v>
      </x:c>
      <x:c r="L36" s="143" t="n">
        <x:v>8500000</x:v>
      </x:c>
      <x:c r="M36" s="179" t="n">
        <x:v>2026</x:v>
      </x:c>
      <x:c r="N36" s="179" t="n">
        <x:v>2026</x:v>
      </x:c>
      <x:c r="O36" s="63" t="str">
        <x:v>outside_window</x:v>
      </x:c>
      <x:c r="P36" s="63" t="str"/>
      <x:c r="Q36" s="143" t="n">
        <x:v>8500000</x:v>
      </x:c>
      <x:c r="R36" s="143" t="n">
        <x:v>0</x:v>
      </x:c>
      <x:c r="S36" s="154" t="n">
        <x:v>-113.930426</x:v>
      </x:c>
      <x:c r="T36" s="154" t="n">
        <x:v>50.860138</x:v>
      </x:c>
      <x:c r="U36" s="63" t="str">
        <x:v>reported</x:v>
      </x:c>
      <x:c r="V36" s="63" t="str">
        <x:v>ALBERTA_MAJOR_PROJECTS</x:v>
      </x:c>
      <x:c r="W36" s="63" t="str">
        <x:v>observed</x:v>
      </x:c>
      <x:c r="X36" s="155" t="n">
        <x:v>46265</x:v>
      </x:c>
      <x:c r="Y36" s="63" t="str">
        <x:v>https://www.majorprojects.alberta.ca/</x:v>
      </x:c>
    </x:row>
    <x:row r="37">
      <x:c r="A37" s="63" t="str">
        <x:v>ABMP_12005</x:v>
      </x:c>
      <x:c r="B37" s="63" t="str">
        <x:v>Parkland Fire Station #19 Renovations</x:v>
      </x:c>
      <x:c r="C37" s="63" t="str">
        <x:v>Government And Civic Facilities</x:v>
      </x:c>
      <x:c r="D37" s="63" t="str">
        <x:v>inferred</x:v>
      </x:c>
      <x:c r="E37" s="63" t="str">
        <x:v>Emergency Services</x:v>
      </x:c>
      <x:c r="F37" s="63" t="str">
        <x:v>Institutional</x:v>
      </x:c>
      <x:c r="G37" s="63" t="str">
        <x:v>City of Calgary</x:v>
      </x:c>
      <x:c r="H37" s="63" t="str">
        <x:v>Government Or Public Institution Signal</x:v>
      </x:c>
      <x:c r="I37" s="63" t="str">
        <x:v>inferred</x:v>
      </x:c>
      <x:c r="J37" s="63" t="str">
        <x:v>Calgary</x:v>
      </x:c>
      <x:c r="K37" s="63" t="str">
        <x:v>Under Construction</x:v>
      </x:c>
      <x:c r="L37" s="143" t="n">
        <x:v>5600000</x:v>
      </x:c>
      <x:c r="M37" s="179" t="n">
        <x:v>2026</x:v>
      </x:c>
      <x:c r="N37" s="179" t="n">
        <x:v>2026</x:v>
      </x:c>
      <x:c r="O37" s="63" t="str">
        <x:v>outside_window</x:v>
      </x:c>
      <x:c r="P37" s="63" t="str"/>
      <x:c r="Q37" s="143" t="n">
        <x:v>5600000</x:v>
      </x:c>
      <x:c r="R37" s="143" t="n">
        <x:v>0</x:v>
      </x:c>
      <x:c r="S37" s="154" t="n">
        <x:v>-114.03848520241255</x:v>
      </x:c>
      <x:c r="T37" s="154" t="n">
        <x:v>50.92940068283036</x:v>
      </x:c>
      <x:c r="U37" s="63" t="str">
        <x:v>reported</x:v>
      </x:c>
      <x:c r="V37" s="63" t="str">
        <x:v>ALBERTA_MAJOR_PROJECTS</x:v>
      </x:c>
      <x:c r="W37" s="63" t="str">
        <x:v>observed</x:v>
      </x:c>
      <x:c r="X37" s="155" t="n">
        <x:v>46265</x:v>
      </x:c>
      <x:c r="Y37" s="63" t="str">
        <x:v>https://www.majorprojects.alberta.ca/</x:v>
      </x:c>
    </x:row>
    <x:row r="38">
      <x:c r="A38" s="63" t="str">
        <x:v>ABMP_11386</x:v>
      </x:c>
      <x:c r="B38" s="63" t="str">
        <x:v>Paul First Nation Child and Family Services Building</x:v>
      </x:c>
      <x:c r="C38" s="63" t="str">
        <x:v>Government And Civic Facilities</x:v>
      </x:c>
      <x:c r="D38" s="63" t="str">
        <x:v>inferred</x:v>
      </x:c>
      <x:c r="E38" s="63" t="str">
        <x:v>Administration</x:v>
      </x:c>
      <x:c r="F38" s="63" t="str">
        <x:v>Institutional</x:v>
      </x:c>
      <x:c r="G38" s="63" t="str">
        <x:v>Paul First Nation</x:v>
      </x:c>
      <x:c r="H38" s="63" t="str">
        <x:v>Unresolved</x:v>
      </x:c>
      <x:c r="I38" s="63" t="str">
        <x:v>inferred</x:v>
      </x:c>
      <x:c r="J38" s="63" t="str">
        <x:v>Wabamun 133A</x:v>
      </x:c>
      <x:c r="K38" s="63" t="str">
        <x:v>Under Construction</x:v>
      </x:c>
      <x:c r="L38" s="143"/>
      <x:c r="M38" s="179" t="n">
        <x:v>2025</x:v>
      </x:c>
      <x:c r="N38" s="179" t="n">
        <x:v>2026</x:v>
      </x:c>
      <x:c r="O38" s="63" t="str">
        <x:v>outside_window</x:v>
      </x:c>
      <x:c r="P38" s="63" t="str"/>
      <x:c r="Q38" s="143"/>
      <x:c r="R38" s="143"/>
      <x:c r="S38" s="154" t="n">
        <x:v>-114.372332</x:v>
      </x:c>
      <x:c r="T38" s="154" t="n">
        <x:v>53.521626</x:v>
      </x:c>
      <x:c r="U38" s="63" t="str">
        <x:v>approximate</x:v>
      </x:c>
      <x:c r="V38" s="63" t="str">
        <x:v>ALBERTA_MAJOR_PROJECTS</x:v>
      </x:c>
      <x:c r="W38" s="63" t="str">
        <x:v>observed</x:v>
      </x:c>
      <x:c r="X38" s="155" t="n">
        <x:v>46265</x:v>
      </x:c>
      <x:c r="Y38" s="63" t="str">
        <x:v>https://www.majorprojects.alberta.ca/</x:v>
      </x:c>
    </x:row>
    <x:row r="39">
      <x:c r="A39" s="63" t="str">
        <x:v>ABMP_12058</x:v>
      </x:c>
      <x:c r="B39" s="63" t="str">
        <x:v>Prairie Sky Cemetary Administration Building</x:v>
      </x:c>
      <x:c r="C39" s="63" t="str">
        <x:v>Government And Civic Facilities</x:v>
      </x:c>
      <x:c r="D39" s="63" t="str">
        <x:v>inferred</x:v>
      </x:c>
      <x:c r="E39" s="63" t="str">
        <x:v>Administration</x:v>
      </x:c>
      <x:c r="F39" s="63" t="str">
        <x:v>Institutional</x:v>
      </x:c>
      <x:c r="G39" s="63" t="str">
        <x:v>City of Calgary</x:v>
      </x:c>
      <x:c r="H39" s="63" t="str">
        <x:v>Government Or Public Institution Signal</x:v>
      </x:c>
      <x:c r="I39" s="63" t="str">
        <x:v>inferred</x:v>
      </x:c>
      <x:c r="J39" s="63" t="str">
        <x:v>Calgary</x:v>
      </x:c>
      <x:c r="K39" s="63" t="str">
        <x:v>Under Construction</x:v>
      </x:c>
      <x:c r="L39" s="143" t="n">
        <x:v>8230000</x:v>
      </x:c>
      <x:c r="M39" s="179" t="n">
        <x:v>2026</x:v>
      </x:c>
      <x:c r="N39" s="179" t="n">
        <x:v>2026</x:v>
      </x:c>
      <x:c r="O39" s="63" t="str">
        <x:v>outside_window</x:v>
      </x:c>
      <x:c r="P39" s="63" t="str"/>
      <x:c r="Q39" s="143" t="n">
        <x:v>8230000</x:v>
      </x:c>
      <x:c r="R39" s="143" t="n">
        <x:v>0</x:v>
      </x:c>
      <x:c r="S39" s="154" t="n">
        <x:v>-113.88862941308372</x:v>
      </x:c>
      <x:c r="T39" s="154" t="n">
        <x:v>50.939622027657286</x:v>
      </x:c>
      <x:c r="U39" s="63" t="str">
        <x:v>reported</x:v>
      </x:c>
      <x:c r="V39" s="63" t="str">
        <x:v>ALBERTA_MAJOR_PROJECTS</x:v>
      </x:c>
      <x:c r="W39" s="63" t="str">
        <x:v>observed</x:v>
      </x:c>
      <x:c r="X39" s="155" t="n">
        <x:v>46265</x:v>
      </x:c>
      <x:c r="Y39" s="63" t="str">
        <x:v>https://www.majorprojects.alberta.ca/</x:v>
      </x:c>
    </x:row>
    <x:row r="40">
      <x:c r="A40" s="63" t="str">
        <x:v>ABMP_11651</x:v>
      </x:c>
      <x:c r="B40" s="63" t="str">
        <x:v>Ronald McDonald House Edmonton Expansion</x:v>
      </x:c>
      <x:c r="C40" s="63" t="str">
        <x:v>Government And Civic Facilities</x:v>
      </x:c>
      <x:c r="D40" s="63" t="str">
        <x:v>inferred</x:v>
      </x:c>
      <x:c r="E40" s="63" t="str">
        <x:v>Administration</x:v>
      </x:c>
      <x:c r="F40" s="63" t="str">
        <x:v>Institutional</x:v>
      </x:c>
      <x:c r="G40" s="63" t="str">
        <x:v>Ronald McDonald House Charities Alberta</x:v>
      </x:c>
      <x:c r="H40" s="63" t="str">
        <x:v>Unresolved</x:v>
      </x:c>
      <x:c r="I40" s="63" t="str">
        <x:v>inferred</x:v>
      </x:c>
      <x:c r="J40" s="63" t="str">
        <x:v>Edmonton</x:v>
      </x:c>
      <x:c r="K40" s="63" t="str">
        <x:v>Proposed</x:v>
      </x:c>
      <x:c r="L40" s="143" t="n">
        <x:v>40000000</x:v>
      </x:c>
      <x:c r="M40" s="179"/>
      <x:c r="N40" s="179"/>
      <x:c r="O40" s="63" t="str">
        <x:v>indeterminate_incomplete_schedule</x:v>
      </x:c>
      <x:c r="P40" s="63" t="str"/>
      <x:c r="Q40" s="143"/>
      <x:c r="R40" s="143"/>
      <x:c r="S40" s="154" t="n">
        <x:v>-113.512537</x:v>
      </x:c>
      <x:c r="T40" s="154" t="n">
        <x:v>53.516815</x:v>
      </x:c>
      <x:c r="U40" s="63" t="str">
        <x:v>reported</x:v>
      </x:c>
      <x:c r="V40" s="63" t="str">
        <x:v>ALBERTA_MAJOR_PROJECTS</x:v>
      </x:c>
      <x:c r="W40" s="63" t="str">
        <x:v>observed</x:v>
      </x:c>
      <x:c r="X40" s="155" t="n">
        <x:v>46265</x:v>
      </x:c>
      <x:c r="Y40" s="63" t="str">
        <x:v>https://www.majorprojects.alberta.ca/</x:v>
      </x:c>
    </x:row>
    <x:row r="41">
      <x:c r="A41" s="63" t="str">
        <x:v>ABMP_11768</x:v>
      </x:c>
      <x:c r="B41" s="63" t="str">
        <x:v>Southern Alberta Art Gallery (SAAG) Facility Enhancements</x:v>
      </x:c>
      <x:c r="C41" s="63" t="str">
        <x:v>Government And Civic Facilities</x:v>
      </x:c>
      <x:c r="D41" s="63" t="str">
        <x:v>inferred</x:v>
      </x:c>
      <x:c r="E41" s="63" t="str">
        <x:v>Arts and Culture</x:v>
      </x:c>
      <x:c r="F41" s="63" t="str">
        <x:v>Tourism / Recreation</x:v>
      </x:c>
      <x:c r="G41" s="63" t="str">
        <x:v>Southern Alberta Art Gallery</x:v>
      </x:c>
      <x:c r="H41" s="63" t="str">
        <x:v>Unresolved</x:v>
      </x:c>
      <x:c r="I41" s="63" t="str">
        <x:v>inferred</x:v>
      </x:c>
      <x:c r="J41" s="63" t="str">
        <x:v>Lethbridge</x:v>
      </x:c>
      <x:c r="K41" s="63" t="str">
        <x:v>Under Construction</x:v>
      </x:c>
      <x:c r="L41" s="143" t="n">
        <x:v>7700000</x:v>
      </x:c>
      <x:c r="M41" s="179" t="n">
        <x:v>2026</x:v>
      </x:c>
      <x:c r="N41" s="179" t="n">
        <x:v>2028</x:v>
      </x:c>
      <x:c r="O41" s="63" t="str">
        <x:v>overlaps</x:v>
      </x:c>
      <x:c r="P41" s="63" t="str">
        <x:v>2027|2028</x:v>
      </x:c>
      <x:c r="Q41" s="143" t="n">
        <x:v>2566666.6666666665</x:v>
      </x:c>
      <x:c r="R41" s="143" t="n">
        <x:v>5133333.333333333</x:v>
      </x:c>
      <x:c r="S41" s="154" t="n">
        <x:v>-112.838449</x:v>
      </x:c>
      <x:c r="T41" s="154" t="n">
        <x:v>49.696169</x:v>
      </x:c>
      <x:c r="U41" s="63" t="str">
        <x:v>reported</x:v>
      </x:c>
      <x:c r="V41" s="63" t="str">
        <x:v>ALBERTA_MAJOR_PROJECTS</x:v>
      </x:c>
      <x:c r="W41" s="63" t="str">
        <x:v>observed</x:v>
      </x:c>
      <x:c r="X41" s="155" t="n">
        <x:v>46265</x:v>
      </x:c>
      <x:c r="Y41" s="63" t="str">
        <x:v>https://www.majorprojects.alberta.ca/</x:v>
      </x:c>
    </x:row>
    <x:row r="42">
      <x:c r="A42" s="63" t="str">
        <x:v>ABMP_11843</x:v>
      </x:c>
      <x:c r="B42" s="63" t="str">
        <x:v>Standardized Design for Courthouse Planning</x:v>
      </x:c>
      <x:c r="C42" s="63" t="str">
        <x:v>Government And Civic Facilities</x:v>
      </x:c>
      <x:c r="D42" s="63" t="str">
        <x:v>inferred</x:v>
      </x:c>
      <x:c r="E42" s="63" t="str">
        <x:v>Court/Justice</x:v>
      </x:c>
      <x:c r="F42" s="63" t="str">
        <x:v>Institutional</x:v>
      </x:c>
      <x:c r="G42" s="63" t="str">
        <x:v>Alberta Infrastructure</x:v>
      </x:c>
      <x:c r="H42" s="63" t="str">
        <x:v>Government Or Public Institution Signal</x:v>
      </x:c>
      <x:c r="I42" s="63" t="str">
        <x:v>inferred</x:v>
      </x:c>
      <x:c r="J42" s="63" t="str">
        <x:v>Edmonton</x:v>
      </x:c>
      <x:c r="K42" s="63" t="str">
        <x:v>Proposed</x:v>
      </x:c>
      <x:c r="L42" s="143"/>
      <x:c r="M42" s="179"/>
      <x:c r="N42" s="179"/>
      <x:c r="O42" s="63" t="str">
        <x:v>indeterminate_incomplete_schedule</x:v>
      </x:c>
      <x:c r="P42" s="63" t="str"/>
      <x:c r="Q42" s="143"/>
      <x:c r="R42" s="143"/>
      <x:c r="S42" s="154" t="n">
        <x:v>-113.487539</x:v>
      </x:c>
      <x:c r="T42" s="154" t="n">
        <x:v>53.545519</x:v>
      </x:c>
      <x:c r="U42" s="63" t="str">
        <x:v>approximate</x:v>
      </x:c>
      <x:c r="V42" s="63" t="str">
        <x:v>ALBERTA_MAJOR_PROJECTS</x:v>
      </x:c>
      <x:c r="W42" s="63" t="str">
        <x:v>observed</x:v>
      </x:c>
      <x:c r="X42" s="155" t="n">
        <x:v>46265</x:v>
      </x:c>
      <x:c r="Y42" s="63" t="str">
        <x:v>https://www.majorprojects.alberta.ca/</x:v>
      </x:c>
    </x:row>
    <x:row r="43">
      <x:c r="A43" s="63" t="str">
        <x:v>ABMP_11803</x:v>
      </x:c>
      <x:c r="B43" s="63" t="str">
        <x:v>Symons Valley Centre and Sage Hill Library</x:v>
      </x:c>
      <x:c r="C43" s="63" t="str">
        <x:v>Government And Civic Facilities</x:v>
      </x:c>
      <x:c r="D43" s="63" t="str">
        <x:v>inferred</x:v>
      </x:c>
      <x:c r="E43" s="63" t="str">
        <x:v>Library</x:v>
      </x:c>
      <x:c r="F43" s="63" t="str">
        <x:v>Institutional</x:v>
      </x:c>
      <x:c r="G43" s="63" t="str">
        <x:v>City of Calgary</x:v>
      </x:c>
      <x:c r="H43" s="63" t="str">
        <x:v>Government Or Public Institution Signal</x:v>
      </x:c>
      <x:c r="I43" s="63" t="str">
        <x:v>inferred</x:v>
      </x:c>
      <x:c r="J43" s="63" t="str">
        <x:v>Calgary</x:v>
      </x:c>
      <x:c r="K43" s="63" t="str">
        <x:v>Under Construction</x:v>
      </x:c>
      <x:c r="L43" s="143" t="n">
        <x:v>40800000</x:v>
      </x:c>
      <x:c r="M43" s="179" t="n">
        <x:v>2026</x:v>
      </x:c>
      <x:c r="N43" s="179" t="n">
        <x:v>2028</x:v>
      </x:c>
      <x:c r="O43" s="63" t="str">
        <x:v>overlaps</x:v>
      </x:c>
      <x:c r="P43" s="63" t="str">
        <x:v>2027|2028</x:v>
      </x:c>
      <x:c r="Q43" s="143" t="n">
        <x:v>13600000</x:v>
      </x:c>
      <x:c r="R43" s="143" t="n">
        <x:v>27200000</x:v>
      </x:c>
      <x:c r="S43" s="154" t="n">
        <x:v>-114.144066</x:v>
      </x:c>
      <x:c r="T43" s="154" t="n">
        <x:v>51.171778</x:v>
      </x:c>
      <x:c r="U43" s="63" t="str">
        <x:v>reported</x:v>
      </x:c>
      <x:c r="V43" s="63" t="str">
        <x:v>ALBERTA_MAJOR_PROJECTS</x:v>
      </x:c>
      <x:c r="W43" s="63" t="str">
        <x:v>observed</x:v>
      </x:c>
      <x:c r="X43" s="155" t="n">
        <x:v>46265</x:v>
      </x:c>
      <x:c r="Y43" s="63" t="str">
        <x:v>https://www.majorprojects.alberta.ca/</x:v>
      </x:c>
    </x:row>
    <x:row r="44">
      <x:c r="A44" s="63" t="str">
        <x:v>ABMP_4042</x:v>
      </x:c>
      <x:c r="B44" s="63" t="str">
        <x:v>The National accessArts Centre's Accessible Arts Learning Campus</x:v>
      </x:c>
      <x:c r="C44" s="63" t="str">
        <x:v>Government And Civic Facilities</x:v>
      </x:c>
      <x:c r="D44" s="63" t="str">
        <x:v>inferred</x:v>
      </x:c>
      <x:c r="E44" s="63" t="str">
        <x:v>Arts and Culture</x:v>
      </x:c>
      <x:c r="F44" s="63" t="str">
        <x:v>Tourism / Recreation</x:v>
      </x:c>
      <x:c r="G44" s="63" t="str">
        <x:v>National accessArts Centre</x:v>
      </x:c>
      <x:c r="H44" s="63" t="str">
        <x:v>Unresolved</x:v>
      </x:c>
      <x:c r="I44" s="63" t="str">
        <x:v>inferred</x:v>
      </x:c>
      <x:c r="J44" s="63" t="str">
        <x:v>Calgary</x:v>
      </x:c>
      <x:c r="K44" s="63" t="str">
        <x:v>Under Construction</x:v>
      </x:c>
      <x:c r="L44" s="143" t="n">
        <x:v>30000000</x:v>
      </x:c>
      <x:c r="M44" s="179" t="n">
        <x:v>2025</x:v>
      </x:c>
      <x:c r="N44" s="179" t="n">
        <x:v>2027</x:v>
      </x:c>
      <x:c r="O44" s="63" t="str">
        <x:v>overlaps</x:v>
      </x:c>
      <x:c r="P44" s="63" t="str">
        <x:v>2027</x:v>
      </x:c>
      <x:c r="Q44" s="143" t="n">
        <x:v>10000000</x:v>
      </x:c>
      <x:c r="R44" s="143" t="n">
        <x:v>10000000</x:v>
      </x:c>
      <x:c r="S44" s="154" t="n">
        <x:v>-114.05896425247192</x:v>
      </x:c>
      <x:c r="T44" s="154" t="n">
        <x:v>50.982519382779266</x:v>
      </x:c>
      <x:c r="U44" s="63" t="str">
        <x:v>reported</x:v>
      </x:c>
      <x:c r="V44" s="63" t="str">
        <x:v>ALBERTA_MAJOR_PROJECTS</x:v>
      </x:c>
      <x:c r="W44" s="63" t="str">
        <x:v>observed</x:v>
      </x:c>
      <x:c r="X44" s="155" t="n">
        <x:v>46265</x:v>
      </x:c>
      <x:c r="Y44" s="63" t="str">
        <x:v>https://www.majorprojects.alberta.ca/</x:v>
      </x:c>
    </x:row>
    <x:row r="45">
      <x:c r="A45" s="63" t="str">
        <x:v>ABMP_11786</x:v>
      </x:c>
      <x:c r="B45" s="63" t="str">
        <x:v>Training Academy Site Expansion Planning</x:v>
      </x:c>
      <x:c r="C45" s="63" t="str">
        <x:v>Government And Civic Facilities</x:v>
      </x:c>
      <x:c r="D45" s="63" t="str">
        <x:v>inferred</x:v>
      </x:c>
      <x:c r="E45" s="63" t="str">
        <x:v>Administration</x:v>
      </x:c>
      <x:c r="F45" s="63" t="str">
        <x:v>Institutional</x:v>
      </x:c>
      <x:c r="G45" s="63" t="str">
        <x:v>Alberta Infrastructure</x:v>
      </x:c>
      <x:c r="H45" s="63" t="str">
        <x:v>Government Or Public Institution Signal</x:v>
      </x:c>
      <x:c r="I45" s="63" t="str">
        <x:v>inferred</x:v>
      </x:c>
      <x:c r="J45" s="63" t="str">
        <x:v>Edmonton</x:v>
      </x:c>
      <x:c r="K45" s="63" t="str">
        <x:v>Proposed</x:v>
      </x:c>
      <x:c r="L45" s="143"/>
      <x:c r="M45" s="179"/>
      <x:c r="N45" s="179"/>
      <x:c r="O45" s="63" t="str">
        <x:v>indeterminate_incomplete_schedule</x:v>
      </x:c>
      <x:c r="P45" s="63" t="str"/>
      <x:c r="Q45" s="143"/>
      <x:c r="R45" s="143"/>
      <x:c r="S45" s="154" t="n">
        <x:v>-113.604413</x:v>
      </x:c>
      <x:c r="T45" s="154" t="n">
        <x:v>53.459296</x:v>
      </x:c>
      <x:c r="U45" s="63" t="str">
        <x:v>reported</x:v>
      </x:c>
      <x:c r="V45" s="63" t="str">
        <x:v>ALBERTA_MAJOR_PROJECTS</x:v>
      </x:c>
      <x:c r="W45" s="63" t="str">
        <x:v>observed</x:v>
      </x:c>
      <x:c r="X45" s="155" t="n">
        <x:v>46265</x:v>
      </x:c>
      <x:c r="Y45" s="63" t="str">
        <x:v>https://www.majorprojects.alberta.ca/</x:v>
      </x:c>
    </x:row>
    <x:row r="46">
      <x:c r="A46" s="63" t="str">
        <x:v>ABMP_11878</x:v>
      </x:c>
      <x:c r="B46" s="63" t="str">
        <x:v>Vehicle Inspection Station - Administration Building</x:v>
      </x:c>
      <x:c r="C46" s="63" t="str">
        <x:v>Government And Civic Facilities</x:v>
      </x:c>
      <x:c r="D46" s="63" t="str">
        <x:v>inferred</x:v>
      </x:c>
      <x:c r="E46" s="63" t="str">
        <x:v>Administration</x:v>
      </x:c>
      <x:c r="F46" s="63" t="str">
        <x:v>Institutional</x:v>
      </x:c>
      <x:c r="G46" s="63" t="str">
        <x:v>Alberta Infrastructure</x:v>
      </x:c>
      <x:c r="H46" s="63" t="str">
        <x:v>Government Or Public Institution Signal</x:v>
      </x:c>
      <x:c r="I46" s="63" t="str">
        <x:v>inferred</x:v>
      </x:c>
      <x:c r="J46" s="63" t="str">
        <x:v>Edmonton</x:v>
      </x:c>
      <x:c r="K46" s="63" t="str">
        <x:v>Proposed</x:v>
      </x:c>
      <x:c r="L46" s="143"/>
      <x:c r="M46" s="179"/>
      <x:c r="N46" s="179"/>
      <x:c r="O46" s="63" t="str">
        <x:v>indeterminate_incomplete_schedule</x:v>
      </x:c>
      <x:c r="P46" s="63" t="str"/>
      <x:c r="Q46" s="143"/>
      <x:c r="R46" s="143"/>
      <x:c r="S46" s="154" t="n">
        <x:v>-113.507116</x:v>
      </x:c>
      <x:c r="T46" s="154" t="n">
        <x:v>53.536788</x:v>
      </x:c>
      <x:c r="U46" s="63" t="str">
        <x:v>approximate</x:v>
      </x:c>
      <x:c r="V46" s="63" t="str">
        <x:v>ALBERTA_MAJOR_PROJECTS</x:v>
      </x:c>
      <x:c r="W46" s="63" t="str">
        <x:v>observed</x:v>
      </x:c>
      <x:c r="X46" s="155" t="n">
        <x:v>46265</x:v>
      </x:c>
      <x:c r="Y46" s="63" t="str">
        <x:v>https://www.majorprojects.alberta.ca/</x:v>
      </x:c>
    </x:row>
    <x:row r="47">
      <x:c r="A47" s="63" t="str">
        <x:v>ABMP_11529</x:v>
      </x:c>
      <x:c r="B47" s="63" t="str">
        <x:v>Walker Fire Station #32</x:v>
      </x:c>
      <x:c r="C47" s="63" t="str">
        <x:v>Government And Civic Facilities</x:v>
      </x:c>
      <x:c r="D47" s="63" t="str">
        <x:v>inferred</x:v>
      </x:c>
      <x:c r="E47" s="63" t="str">
        <x:v>Emergency Services</x:v>
      </x:c>
      <x:c r="F47" s="63" t="str">
        <x:v>Institutional</x:v>
      </x:c>
      <x:c r="G47" s="63" t="str">
        <x:v>City of Edmonton</x:v>
      </x:c>
      <x:c r="H47" s="63" t="str">
        <x:v>Government Or Public Institution Signal</x:v>
      </x:c>
      <x:c r="I47" s="63" t="str">
        <x:v>inferred</x:v>
      </x:c>
      <x:c r="J47" s="63" t="str">
        <x:v>Edmonton</x:v>
      </x:c>
      <x:c r="K47" s="63" t="str">
        <x:v>Proposed</x:v>
      </x:c>
      <x:c r="L47" s="143"/>
      <x:c r="M47" s="179"/>
      <x:c r="N47" s="179"/>
      <x:c r="O47" s="63" t="str">
        <x:v>indeterminate_incomplete_schedule</x:v>
      </x:c>
      <x:c r="P47" s="63" t="str"/>
      <x:c r="Q47" s="143"/>
      <x:c r="R47" s="143"/>
      <x:c r="S47" s="154" t="n">
        <x:v>-113.43759</x:v>
      </x:c>
      <x:c r="T47" s="154" t="n">
        <x:v>53.424467</x:v>
      </x:c>
      <x:c r="U47" s="63" t="str">
        <x:v>reported</x:v>
      </x:c>
      <x:c r="V47" s="63" t="str">
        <x:v>ALBERTA_MAJOR_PROJECTS</x:v>
      </x:c>
      <x:c r="W47" s="63" t="str">
        <x:v>observed</x:v>
      </x:c>
      <x:c r="X47" s="155" t="n">
        <x:v>46265</x:v>
      </x:c>
      <x:c r="Y47" s="63" t="str">
        <x:v>https://www.majorprojects.alberta.ca/</x:v>
      </x:c>
    </x:row>
    <x:row r="48">
      <x:c r="A48" s="63" t="str">
        <x:v>ABMP_11528</x:v>
      </x:c>
      <x:c r="B48" s="63" t="str">
        <x:v>Wellington Fire Station #33</x:v>
      </x:c>
      <x:c r="C48" s="63" t="str">
        <x:v>Government And Civic Facilities</x:v>
      </x:c>
      <x:c r="D48" s="63" t="str">
        <x:v>inferred</x:v>
      </x:c>
      <x:c r="E48" s="63" t="str">
        <x:v>Emergency Services</x:v>
      </x:c>
      <x:c r="F48" s="63" t="str">
        <x:v>Institutional</x:v>
      </x:c>
      <x:c r="G48" s="63" t="str">
        <x:v>City of Edmonton</x:v>
      </x:c>
      <x:c r="H48" s="63" t="str">
        <x:v>Government Or Public Institution Signal</x:v>
      </x:c>
      <x:c r="I48" s="63" t="str">
        <x:v>inferred</x:v>
      </x:c>
      <x:c r="J48" s="63" t="str">
        <x:v>Edmonton</x:v>
      </x:c>
      <x:c r="K48" s="63" t="str">
        <x:v>Proposed</x:v>
      </x:c>
      <x:c r="L48" s="143"/>
      <x:c r="M48" s="179"/>
      <x:c r="N48" s="179"/>
      <x:c r="O48" s="63" t="str">
        <x:v>indeterminate_incomplete_schedule</x:v>
      </x:c>
      <x:c r="P48" s="63" t="str"/>
      <x:c r="Q48" s="143"/>
      <x:c r="R48" s="143"/>
      <x:c r="S48" s="154" t="n">
        <x:v>-113.480178</x:v>
      </x:c>
      <x:c r="T48" s="154" t="n">
        <x:v>53.561165</x:v>
      </x:c>
      <x:c r="U48" s="63" t="str">
        <x:v>reported</x:v>
      </x:c>
      <x:c r="V48" s="63" t="str">
        <x:v>ALBERTA_MAJOR_PROJECTS</x:v>
      </x:c>
      <x:c r="W48" s="63" t="str">
        <x:v>observed</x:v>
      </x:c>
      <x:c r="X48" s="155" t="n">
        <x:v>46265</x:v>
      </x:c>
      <x:c r="Y48" s="63" t="str">
        <x:v>https://www.majorprojects.alberta.ca/</x:v>
      </x:c>
    </x:row>
    <x:row r="49">
      <x:c r="A49" s="63" t="str">
        <x:v>ABMP_4206</x:v>
      </x:c>
      <x:c r="B49" s="63" t="str">
        <x:v>Whitecourt Culture and Events Centre</x:v>
      </x:c>
      <x:c r="C49" s="63" t="str">
        <x:v>Government And Civic Facilities</x:v>
      </x:c>
      <x:c r="D49" s="63" t="str">
        <x:v>inferred</x:v>
      </x:c>
      <x:c r="E49" s="63" t="str">
        <x:v>Community Centre</x:v>
      </x:c>
      <x:c r="F49" s="63" t="str">
        <x:v>Tourism / Recreation</x:v>
      </x:c>
      <x:c r="G49" s="63" t="str">
        <x:v>Town of Whitecourt</x:v>
      </x:c>
      <x:c r="H49" s="63" t="str">
        <x:v>Government Or Public Institution Signal</x:v>
      </x:c>
      <x:c r="I49" s="63" t="str">
        <x:v>inferred</x:v>
      </x:c>
      <x:c r="J49" s="63" t="str">
        <x:v>Whitecourt</x:v>
      </x:c>
      <x:c r="K49" s="63" t="str">
        <x:v>Under Construction</x:v>
      </x:c>
      <x:c r="L49" s="143" t="n">
        <x:v>54300000</x:v>
      </x:c>
      <x:c r="M49" s="179" t="n">
        <x:v>2024</x:v>
      </x:c>
      <x:c r="N49" s="179" t="n">
        <x:v>2026</x:v>
      </x:c>
      <x:c r="O49" s="63" t="str">
        <x:v>outside_window</x:v>
      </x:c>
      <x:c r="P49" s="63" t="str"/>
      <x:c r="Q49" s="143" t="n">
        <x:v>18100000</x:v>
      </x:c>
      <x:c r="R49" s="143" t="n">
        <x:v>0</x:v>
      </x:c>
      <x:c r="S49" s="154" t="n">
        <x:v>-115.68604990839958</x:v>
      </x:c>
      <x:c r="T49" s="154" t="n">
        <x:v>54.14285998705698</x:v>
      </x:c>
      <x:c r="U49" s="63" t="str">
        <x:v>reported</x:v>
      </x:c>
      <x:c r="V49" s="63" t="str">
        <x:v>ALBERTA_MAJOR_PROJECTS</x:v>
      </x:c>
      <x:c r="W49" s="63" t="str">
        <x:v>observed</x:v>
      </x:c>
      <x:c r="X49" s="155" t="n">
        <x:v>46265</x:v>
      </x:c>
      <x:c r="Y49" s="63" t="str">
        <x:v>https://www.majorprojects.alberta.ca/</x:v>
      </x:c>
    </x:row>
    <x:row r="50">
      <x:c r="A50" s="63" t="str">
        <x:v>ABMP_12004</x:v>
      </x:c>
      <x:c r="B50" s="63" t="str">
        <x:v>Advanced Medical Building &amp; The Academy of the Aged</x:v>
      </x:c>
      <x:c r="C50" s="63" t="str">
        <x:v>Health Facilities</x:v>
      </x:c>
      <x:c r="D50" s="63" t="str">
        <x:v>inferred</x:v>
      </x:c>
      <x:c r="E50" s="63" t="str">
        <x:v>Continuing Care</x:v>
      </x:c>
      <x:c r="F50" s="63" t="str">
        <x:v>Institutional</x:v>
      </x:c>
      <x:c r="G50" s="63" t="str">
        <x:v>Statesman Group of Companies</x:v>
      </x:c>
      <x:c r="H50" s="63" t="str">
        <x:v>Unresolved</x:v>
      </x:c>
      <x:c r="I50" s="63" t="str">
        <x:v>inferred</x:v>
      </x:c>
      <x:c r="J50" s="63" t="str">
        <x:v>Calgary</x:v>
      </x:c>
      <x:c r="K50" s="63" t="str">
        <x:v>Under Construction</x:v>
      </x:c>
      <x:c r="L50" s="143" t="n">
        <x:v>50400000</x:v>
      </x:c>
      <x:c r="M50" s="179" t="n">
        <x:v>2026</x:v>
      </x:c>
      <x:c r="N50" s="179"/>
      <x:c r="O50" s="63" t="str">
        <x:v>indeterminate_incomplete_schedule</x:v>
      </x:c>
      <x:c r="P50" s="63" t="str"/>
      <x:c r="Q50" s="143"/>
      <x:c r="R50" s="143"/>
      <x:c r="S50" s="154" t="n">
        <x:v>-114.12837555429626</x:v>
      </x:c>
      <x:c r="T50" s="154" t="n">
        <x:v>51.016385168731745</x:v>
      </x:c>
      <x:c r="U50" s="63" t="str">
        <x:v>reported</x:v>
      </x:c>
      <x:c r="V50" s="63" t="str">
        <x:v>ALBERTA_MAJOR_PROJECTS</x:v>
      </x:c>
      <x:c r="W50" s="63" t="str">
        <x:v>observed</x:v>
      </x:c>
      <x:c r="X50" s="155" t="n">
        <x:v>46265</x:v>
      </x:c>
      <x:c r="Y50" s="63" t="str">
        <x:v>https://www.majorprojects.alberta.ca/</x:v>
      </x:c>
    </x:row>
    <x:row r="51">
      <x:c r="A51" s="63" t="str">
        <x:v>ABMP_11875</x:v>
      </x:c>
      <x:c r="B51" s="63" t="str">
        <x:v>Airdrie Urgent and Primary Care Centre</x:v>
      </x:c>
      <x:c r="C51" s="63" t="str">
        <x:v>Health Facilities</x:v>
      </x:c>
      <x:c r="D51" s="63" t="str">
        <x:v>inferred</x:v>
      </x:c>
      <x:c r="E51" s="63" t="str">
        <x:v>Health Care</x:v>
      </x:c>
      <x:c r="F51" s="63" t="str">
        <x:v>Institutional</x:v>
      </x:c>
      <x:c r="G51" s="63" t="str">
        <x:v>Alberta Infrastructure</x:v>
      </x:c>
      <x:c r="H51" s="63" t="str">
        <x:v>Government Or Public Institution Signal</x:v>
      </x:c>
      <x:c r="I51" s="63" t="str">
        <x:v>inferred</x:v>
      </x:c>
      <x:c r="J51" s="63" t="str">
        <x:v>Airdrie</x:v>
      </x:c>
      <x:c r="K51" s="63" t="str">
        <x:v>Proposed</x:v>
      </x:c>
      <x:c r="L51" s="143"/>
      <x:c r="M51" s="179"/>
      <x:c r="N51" s="179"/>
      <x:c r="O51" s="63" t="str">
        <x:v>indeterminate_incomplete_schedule</x:v>
      </x:c>
      <x:c r="P51" s="63" t="str"/>
      <x:c r="Q51" s="143"/>
      <x:c r="R51" s="143"/>
      <x:c r="S51" s="154" t="n">
        <x:v>-114.013274</x:v>
      </x:c>
      <x:c r="T51" s="154" t="n">
        <x:v>51.28829</x:v>
      </x:c>
      <x:c r="U51" s="63" t="str">
        <x:v>approximate</x:v>
      </x:c>
      <x:c r="V51" s="63" t="str">
        <x:v>ALBERTA_MAJOR_PROJECTS</x:v>
      </x:c>
      <x:c r="W51" s="63" t="str">
        <x:v>observed</x:v>
      </x:c>
      <x:c r="X51" s="155" t="n">
        <x:v>46265</x:v>
      </x:c>
      <x:c r="Y51" s="63" t="str">
        <x:v>https://www.majorprojects.alberta.ca/</x:v>
      </x:c>
    </x:row>
    <x:row r="52">
      <x:c r="A52" s="63" t="str">
        <x:v>ABMP_11778</x:v>
      </x:c>
      <x:c r="B52" s="63" t="str">
        <x:v>Alberta Children's Hospital Inpatient Expansion</x:v>
      </x:c>
      <x:c r="C52" s="63" t="str">
        <x:v>Health Facilities</x:v>
      </x:c>
      <x:c r="D52" s="63" t="str">
        <x:v>inferred</x:v>
      </x:c>
      <x:c r="E52" s="63" t="str">
        <x:v>Health Care</x:v>
      </x:c>
      <x:c r="F52" s="63" t="str">
        <x:v>Institutional</x:v>
      </x:c>
      <x:c r="G52" s="63" t="str">
        <x:v>Alberta Infrastructure</x:v>
      </x:c>
      <x:c r="H52" s="63" t="str">
        <x:v>Government Or Public Institution Signal</x:v>
      </x:c>
      <x:c r="I52" s="63" t="str">
        <x:v>inferred</x:v>
      </x:c>
      <x:c r="J52" s="63" t="str">
        <x:v>Calgary</x:v>
      </x:c>
      <x:c r="K52" s="63" t="str">
        <x:v>Proposed</x:v>
      </x:c>
      <x:c r="L52" s="143"/>
      <x:c r="M52" s="179"/>
      <x:c r="N52" s="179"/>
      <x:c r="O52" s="63" t="str">
        <x:v>indeterminate_incomplete_schedule</x:v>
      </x:c>
      <x:c r="P52" s="63" t="str"/>
      <x:c r="Q52" s="143"/>
      <x:c r="R52" s="143"/>
      <x:c r="S52" s="154" t="n">
        <x:v>-114.151</x:v>
      </x:c>
      <x:c r="T52" s="154" t="n">
        <x:v>51.0746227</x:v>
      </x:c>
      <x:c r="U52" s="63" t="str">
        <x:v>reported</x:v>
      </x:c>
      <x:c r="V52" s="63" t="str">
        <x:v>ALBERTA_MAJOR_PROJECTS</x:v>
      </x:c>
      <x:c r="W52" s="63" t="str">
        <x:v>observed</x:v>
      </x:c>
      <x:c r="X52" s="155" t="n">
        <x:v>46265</x:v>
      </x:c>
      <x:c r="Y52" s="63" t="str">
        <x:v>https://www.majorprojects.alberta.ca/</x:v>
      </x:c>
    </x:row>
    <x:row r="53">
      <x:c r="A53" s="63" t="str">
        <x:v>ABMP_11499</x:v>
      </x:c>
      <x:c r="B53" s="63" t="str">
        <x:v>Alberta Kidney Care Planning</x:v>
      </x:c>
      <x:c r="C53" s="63" t="str">
        <x:v>Health Facilities</x:v>
      </x:c>
      <x:c r="D53" s="63" t="str">
        <x:v>inferred</x:v>
      </x:c>
      <x:c r="E53" s="63" t="str">
        <x:v>Health Care</x:v>
      </x:c>
      <x:c r="F53" s="63" t="str">
        <x:v>Institutional</x:v>
      </x:c>
      <x:c r="G53" s="63" t="str">
        <x:v>Alberta Infrastructure</x:v>
      </x:c>
      <x:c r="H53" s="63" t="str">
        <x:v>Government Or Public Institution Signal</x:v>
      </x:c>
      <x:c r="I53" s="63" t="str">
        <x:v>inferred</x:v>
      </x:c>
      <x:c r="J53" s="63" t="str">
        <x:v>Calgary</x:v>
      </x:c>
      <x:c r="K53" s="63" t="str">
        <x:v>Proposed</x:v>
      </x:c>
      <x:c r="L53" s="143"/>
      <x:c r="M53" s="179"/>
      <x:c r="N53" s="179"/>
      <x:c r="O53" s="63" t="str">
        <x:v>indeterminate_incomplete_schedule</x:v>
      </x:c>
      <x:c r="P53" s="63" t="str"/>
      <x:c r="Q53" s="143"/>
      <x:c r="R53" s="143"/>
      <x:c r="S53" s="154" t="n">
        <x:v>-114.109756577892</x:v>
      </x:c>
      <x:c r="T53" s="154" t="n">
        <x:v>51.0370185024558</x:v>
      </x:c>
      <x:c r="U53" s="63" t="str">
        <x:v>reported</x:v>
      </x:c>
      <x:c r="V53" s="63" t="str">
        <x:v>ALBERTA_MAJOR_PROJECTS</x:v>
      </x:c>
      <x:c r="W53" s="63" t="str">
        <x:v>observed</x:v>
      </x:c>
      <x:c r="X53" s="155" t="n">
        <x:v>46265</x:v>
      </x:c>
      <x:c r="Y53" s="63" t="str">
        <x:v>https://www.majorprojects.alberta.ca/</x:v>
      </x:c>
    </x:row>
    <x:row r="54">
      <x:c r="A54" s="63" t="str">
        <x:v>ABMP_10797</x:v>
      </x:c>
      <x:c r="B54" s="63" t="str">
        <x:v>Alberta Surgical Initiative (02 - Calgary)</x:v>
      </x:c>
      <x:c r="C54" s="63" t="str">
        <x:v>Health Facilities</x:v>
      </x:c>
      <x:c r="D54" s="63" t="str">
        <x:v>inferred</x:v>
      </x:c>
      <x:c r="E54" s="63" t="str">
        <x:v>Health Care</x:v>
      </x:c>
      <x:c r="F54" s="63" t="str">
        <x:v>Institutional</x:v>
      </x:c>
      <x:c r="G54" s="63" t="str">
        <x:v>Alberta Infrastructure</x:v>
      </x:c>
      <x:c r="H54" s="63" t="str">
        <x:v>Government Or Public Institution Signal</x:v>
      </x:c>
      <x:c r="I54" s="63" t="str">
        <x:v>inferred</x:v>
      </x:c>
      <x:c r="J54" s="63" t="str">
        <x:v>Calgary</x:v>
      </x:c>
      <x:c r="K54" s="63" t="str">
        <x:v>Under Construction</x:v>
      </x:c>
      <x:c r="L54" s="143"/>
      <x:c r="M54" s="179" t="n">
        <x:v>2024</x:v>
      </x:c>
      <x:c r="N54" s="179" t="n">
        <x:v>2029</x:v>
      </x:c>
      <x:c r="O54" s="63" t="str">
        <x:v>overlaps</x:v>
      </x:c>
      <x:c r="P54" s="63" t="str">
        <x:v>2027|2028|2029</x:v>
      </x:c>
      <x:c r="Q54" s="143"/>
      <x:c r="R54" s="143"/>
      <x:c r="S54" s="154" t="n">
        <x:v>-114.1367828</x:v>
      </x:c>
      <x:c r="T54" s="154" t="n">
        <x:v>51.0642701</x:v>
      </x:c>
      <x:c r="U54" s="63" t="str">
        <x:v>reported</x:v>
      </x:c>
      <x:c r="V54" s="63" t="str">
        <x:v>ALBERTA_MAJOR_PROJECTS</x:v>
      </x:c>
      <x:c r="W54" s="63" t="str">
        <x:v>observed</x:v>
      </x:c>
      <x:c r="X54" s="155" t="n">
        <x:v>46265</x:v>
      </x:c>
      <x:c r="Y54" s="63" t="str">
        <x:v>https://www.majorprojects.alberta.ca/</x:v>
      </x:c>
    </x:row>
    <x:row r="55">
      <x:c r="A55" s="63" t="str">
        <x:v>ABMP_11374</x:v>
      </x:c>
      <x:c r="B55" s="63" t="str">
        <x:v>Alberta Surgical Initiative (06 - Royal Alexandra Hospital)</x:v>
      </x:c>
      <x:c r="C55" s="63" t="str">
        <x:v>Health Facilities</x:v>
      </x:c>
      <x:c r="D55" s="63" t="str">
        <x:v>inferred</x:v>
      </x:c>
      <x:c r="E55" s="63" t="str">
        <x:v>Health Care</x:v>
      </x:c>
      <x:c r="F55" s="63" t="str">
        <x:v>Institutional</x:v>
      </x:c>
      <x:c r="G55" s="63" t="str">
        <x:v>Alberta Infrastructure</x:v>
      </x:c>
      <x:c r="H55" s="63" t="str">
        <x:v>Government Or Public Institution Signal</x:v>
      </x:c>
      <x:c r="I55" s="63" t="str">
        <x:v>inferred</x:v>
      </x:c>
      <x:c r="J55" s="63" t="str">
        <x:v>Edmonton</x:v>
      </x:c>
      <x:c r="K55" s="63" t="str">
        <x:v>Proposed</x:v>
      </x:c>
      <x:c r="L55" s="143"/>
      <x:c r="M55" s="179" t="n">
        <x:v>2027</x:v>
      </x:c>
      <x:c r="N55" s="179" t="n">
        <x:v>2028</x:v>
      </x:c>
      <x:c r="O55" s="63" t="str">
        <x:v>overlaps</x:v>
      </x:c>
      <x:c r="P55" s="63" t="str">
        <x:v>2027|2028</x:v>
      </x:c>
      <x:c r="Q55" s="143"/>
      <x:c r="R55" s="143"/>
      <x:c r="S55" s="154" t="n">
        <x:v>-113.500347</x:v>
      </x:c>
      <x:c r="T55" s="154" t="n">
        <x:v>53.557387</x:v>
      </x:c>
      <x:c r="U55" s="63" t="str">
        <x:v>reported</x:v>
      </x:c>
      <x:c r="V55" s="63" t="str">
        <x:v>ALBERTA_MAJOR_PROJECTS</x:v>
      </x:c>
      <x:c r="W55" s="63" t="str">
        <x:v>observed</x:v>
      </x:c>
      <x:c r="X55" s="155" t="n">
        <x:v>46265</x:v>
      </x:c>
      <x:c r="Y55" s="63" t="str">
        <x:v>https://www.majorprojects.alberta.ca/</x:v>
      </x:c>
    </x:row>
    <x:row r="56">
      <x:c r="A56" s="63" t="str">
        <x:v>ABMP_11500</x:v>
      </x:c>
      <x:c r="B56" s="63" t="str">
        <x:v>Alberta Surgical Initiative (07 - Sturgeon Community Hospital)</x:v>
      </x:c>
      <x:c r="C56" s="63" t="str">
        <x:v>Health Facilities</x:v>
      </x:c>
      <x:c r="D56" s="63" t="str">
        <x:v>inferred</x:v>
      </x:c>
      <x:c r="E56" s="63" t="str">
        <x:v>Health Care</x:v>
      </x:c>
      <x:c r="F56" s="63" t="str">
        <x:v>Institutional</x:v>
      </x:c>
      <x:c r="G56" s="63" t="str">
        <x:v>Alberta Infrastructure</x:v>
      </x:c>
      <x:c r="H56" s="63" t="str">
        <x:v>Government Or Public Institution Signal</x:v>
      </x:c>
      <x:c r="I56" s="63" t="str">
        <x:v>inferred</x:v>
      </x:c>
      <x:c r="J56" s="63" t="str">
        <x:v>St. Albert</x:v>
      </x:c>
      <x:c r="K56" s="63" t="str">
        <x:v>Proposed</x:v>
      </x:c>
      <x:c r="L56" s="143"/>
      <x:c r="M56" s="179" t="n">
        <x:v>2027</x:v>
      </x:c>
      <x:c r="N56" s="179" t="n">
        <x:v>2028</x:v>
      </x:c>
      <x:c r="O56" s="63" t="str">
        <x:v>overlaps</x:v>
      </x:c>
      <x:c r="P56" s="63" t="str">
        <x:v>2027|2028</x:v>
      </x:c>
      <x:c r="Q56" s="143"/>
      <x:c r="R56" s="143"/>
      <x:c r="S56" s="154" t="n">
        <x:v>-113.6282859</x:v>
      </x:c>
      <x:c r="T56" s="154" t="n">
        <x:v>53.65524</x:v>
      </x:c>
      <x:c r="U56" s="63" t="str">
        <x:v>reported</x:v>
      </x:c>
      <x:c r="V56" s="63" t="str">
        <x:v>ALBERTA_MAJOR_PROJECTS</x:v>
      </x:c>
      <x:c r="W56" s="63" t="str">
        <x:v>observed</x:v>
      </x:c>
      <x:c r="X56" s="155" t="n">
        <x:v>46265</x:v>
      </x:c>
      <x:c r="Y56" s="63" t="str">
        <x:v>https://www.majorprojects.alberta.ca/</x:v>
      </x:c>
    </x:row>
    <x:row r="57">
      <x:c r="A57" s="63" t="str">
        <x:v>ABMP_11375</x:v>
      </x:c>
      <x:c r="B57" s="63" t="str">
        <x:v>Alberta Surgical Initiative (08 - South Health Campus)</x:v>
      </x:c>
      <x:c r="C57" s="63" t="str">
        <x:v>Health Facilities</x:v>
      </x:c>
      <x:c r="D57" s="63" t="str">
        <x:v>inferred</x:v>
      </x:c>
      <x:c r="E57" s="63" t="str">
        <x:v>Health Care</x:v>
      </x:c>
      <x:c r="F57" s="63" t="str">
        <x:v>Institutional</x:v>
      </x:c>
      <x:c r="G57" s="63" t="str">
        <x:v>Alberta Infrastructure</x:v>
      </x:c>
      <x:c r="H57" s="63" t="str">
        <x:v>Government Or Public Institution Signal</x:v>
      </x:c>
      <x:c r="I57" s="63" t="str">
        <x:v>inferred</x:v>
      </x:c>
      <x:c r="J57" s="63" t="str">
        <x:v>Calgary</x:v>
      </x:c>
      <x:c r="K57" s="63" t="str">
        <x:v>Under Construction</x:v>
      </x:c>
      <x:c r="L57" s="143"/>
      <x:c r="M57" s="179" t="n">
        <x:v>2026</x:v>
      </x:c>
      <x:c r="N57" s="179" t="n">
        <x:v>2026</x:v>
      </x:c>
      <x:c r="O57" s="63" t="str">
        <x:v>outside_window</x:v>
      </x:c>
      <x:c r="P57" s="63" t="str"/>
      <x:c r="Q57" s="143"/>
      <x:c r="R57" s="143"/>
      <x:c r="S57" s="154" t="n">
        <x:v>-113.9534941</x:v>
      </x:c>
      <x:c r="T57" s="154" t="n">
        <x:v>50.8823838</x:v>
      </x:c>
      <x:c r="U57" s="63" t="str">
        <x:v>reported</x:v>
      </x:c>
      <x:c r="V57" s="63" t="str">
        <x:v>ALBERTA_MAJOR_PROJECTS</x:v>
      </x:c>
      <x:c r="W57" s="63" t="str">
        <x:v>observed</x:v>
      </x:c>
      <x:c r="X57" s="155" t="n">
        <x:v>46265</x:v>
      </x:c>
      <x:c r="Y57" s="63" t="str">
        <x:v>https://www.majorprojects.alberta.ca/</x:v>
      </x:c>
    </x:row>
    <x:row r="58">
      <x:c r="A58" s="63" t="str">
        <x:v>ABMP_11376</x:v>
      </x:c>
      <x:c r="B58" s="63" t="str">
        <x:v>Alberta Surgical Initiative (09 - Brooks)</x:v>
      </x:c>
      <x:c r="C58" s="63" t="str">
        <x:v>Health Facilities</x:v>
      </x:c>
      <x:c r="D58" s="63" t="str">
        <x:v>inferred</x:v>
      </x:c>
      <x:c r="E58" s="63" t="str">
        <x:v>Health Care</x:v>
      </x:c>
      <x:c r="F58" s="63" t="str">
        <x:v>Institutional</x:v>
      </x:c>
      <x:c r="G58" s="63" t="str">
        <x:v>Alberta Infrastructure</x:v>
      </x:c>
      <x:c r="H58" s="63" t="str">
        <x:v>Government Or Public Institution Signal</x:v>
      </x:c>
      <x:c r="I58" s="63" t="str">
        <x:v>inferred</x:v>
      </x:c>
      <x:c r="J58" s="63" t="str">
        <x:v>Brooks</x:v>
      </x:c>
      <x:c r="K58" s="63" t="str">
        <x:v>Proposed</x:v>
      </x:c>
      <x:c r="L58" s="143"/>
      <x:c r="M58" s="179"/>
      <x:c r="N58" s="179"/>
      <x:c r="O58" s="63" t="str">
        <x:v>indeterminate_incomplete_schedule</x:v>
      </x:c>
      <x:c r="P58" s="63" t="str"/>
      <x:c r="Q58" s="143"/>
      <x:c r="R58" s="143"/>
      <x:c r="S58" s="154" t="n">
        <x:v>-111.88928</x:v>
      </x:c>
      <x:c r="T58" s="154" t="n">
        <x:v>50.568739</x:v>
      </x:c>
      <x:c r="U58" s="63" t="str">
        <x:v>reported</x:v>
      </x:c>
      <x:c r="V58" s="63" t="str">
        <x:v>ALBERTA_MAJOR_PROJECTS</x:v>
      </x:c>
      <x:c r="W58" s="63" t="str">
        <x:v>observed</x:v>
      </x:c>
      <x:c r="X58" s="155" t="n">
        <x:v>46265</x:v>
      </x:c>
      <x:c r="Y58" s="63" t="str">
        <x:v>https://www.majorprojects.alberta.ca/</x:v>
      </x:c>
    </x:row>
    <x:row r="59">
      <x:c r="A59" s="63" t="str">
        <x:v>ABMP_11377</x:v>
      </x:c>
      <x:c r="B59" s="63" t="str">
        <x:v>Alberta Surgical Initiative (10 - Stettler Hospital and Care Centre)</x:v>
      </x:c>
      <x:c r="C59" s="63" t="str">
        <x:v>Health Facilities</x:v>
      </x:c>
      <x:c r="D59" s="63" t="str">
        <x:v>inferred</x:v>
      </x:c>
      <x:c r="E59" s="63" t="str">
        <x:v>Health Care</x:v>
      </x:c>
      <x:c r="F59" s="63" t="str">
        <x:v>Institutional</x:v>
      </x:c>
      <x:c r="G59" s="63" t="str">
        <x:v>Alberta Infrastructure</x:v>
      </x:c>
      <x:c r="H59" s="63" t="str">
        <x:v>Government Or Public Institution Signal</x:v>
      </x:c>
      <x:c r="I59" s="63" t="str">
        <x:v>inferred</x:v>
      </x:c>
      <x:c r="J59" s="63" t="str">
        <x:v>Stettler</x:v>
      </x:c>
      <x:c r="K59" s="63" t="str">
        <x:v>Proposed</x:v>
      </x:c>
      <x:c r="L59" s="143"/>
      <x:c r="M59" s="179"/>
      <x:c r="N59" s="179"/>
      <x:c r="O59" s="63" t="str">
        <x:v>indeterminate_incomplete_schedule</x:v>
      </x:c>
      <x:c r="P59" s="63" t="str"/>
      <x:c r="Q59" s="143"/>
      <x:c r="R59" s="143"/>
      <x:c r="S59" s="154" t="n">
        <x:v>-112.7260886</x:v>
      </x:c>
      <x:c r="T59" s="154" t="n">
        <x:v>52.3238039</x:v>
      </x:c>
      <x:c r="U59" s="63" t="str">
        <x:v>reported</x:v>
      </x:c>
      <x:c r="V59" s="63" t="str">
        <x:v>ALBERTA_MAJOR_PROJECTS</x:v>
      </x:c>
      <x:c r="W59" s="63" t="str">
        <x:v>observed</x:v>
      </x:c>
      <x:c r="X59" s="155" t="n">
        <x:v>46265</x:v>
      </x:c>
      <x:c r="Y59" s="63" t="str">
        <x:v>https://www.majorprojects.alberta.ca/</x:v>
      </x:c>
    </x:row>
    <x:row r="60">
      <x:c r="A60" s="63" t="str">
        <x:v>ABMP_11378</x:v>
      </x:c>
      <x:c r="B60" s="63" t="str">
        <x:v>Alberta Surgical Initiative (11 - Olds Hospital and Care Centre)</x:v>
      </x:c>
      <x:c r="C60" s="63" t="str">
        <x:v>Health Facilities</x:v>
      </x:c>
      <x:c r="D60" s="63" t="str">
        <x:v>inferred</x:v>
      </x:c>
      <x:c r="E60" s="63" t="str">
        <x:v>Health Care</x:v>
      </x:c>
      <x:c r="F60" s="63" t="str">
        <x:v>Institutional</x:v>
      </x:c>
      <x:c r="G60" s="63" t="str">
        <x:v>Alberta Infrastructure</x:v>
      </x:c>
      <x:c r="H60" s="63" t="str">
        <x:v>Government Or Public Institution Signal</x:v>
      </x:c>
      <x:c r="I60" s="63" t="str">
        <x:v>inferred</x:v>
      </x:c>
      <x:c r="J60" s="63" t="str">
        <x:v>Olds</x:v>
      </x:c>
      <x:c r="K60" s="63" t="str">
        <x:v>Proposed</x:v>
      </x:c>
      <x:c r="L60" s="143"/>
      <x:c r="M60" s="179"/>
      <x:c r="N60" s="179"/>
      <x:c r="O60" s="63" t="str">
        <x:v>indeterminate_incomplete_schedule</x:v>
      </x:c>
      <x:c r="P60" s="63" t="str"/>
      <x:c r="Q60" s="143"/>
      <x:c r="R60" s="143"/>
      <x:c r="S60" s="154" t="n">
        <x:v>-114.118067</x:v>
      </x:c>
      <x:c r="T60" s="154" t="n">
        <x:v>51.801504</x:v>
      </x:c>
      <x:c r="U60" s="63" t="str">
        <x:v>reported</x:v>
      </x:c>
      <x:c r="V60" s="63" t="str">
        <x:v>ALBERTA_MAJOR_PROJECTS</x:v>
      </x:c>
      <x:c r="W60" s="63" t="str">
        <x:v>observed</x:v>
      </x:c>
      <x:c r="X60" s="155" t="n">
        <x:v>46265</x:v>
      </x:c>
      <x:c r="Y60" s="63" t="str">
        <x:v>https://www.majorprojects.alberta.ca/</x:v>
      </x:c>
    </x:row>
    <x:row r="61">
      <x:c r="A61" s="63" t="str">
        <x:v>ABMP_11380</x:v>
      </x:c>
      <x:c r="B61" s="63" t="str">
        <x:v>Alberta Surgical Initiative (13 - Ponoka Hospital and Care Centre)</x:v>
      </x:c>
      <x:c r="C61" s="63" t="str">
        <x:v>Health Facilities</x:v>
      </x:c>
      <x:c r="D61" s="63" t="str">
        <x:v>inferred</x:v>
      </x:c>
      <x:c r="E61" s="63" t="str">
        <x:v>Health Care</x:v>
      </x:c>
      <x:c r="F61" s="63" t="str">
        <x:v>Institutional</x:v>
      </x:c>
      <x:c r="G61" s="63" t="str">
        <x:v>Alberta Infrastructure</x:v>
      </x:c>
      <x:c r="H61" s="63" t="str">
        <x:v>Government Or Public Institution Signal</x:v>
      </x:c>
      <x:c r="I61" s="63" t="str">
        <x:v>inferred</x:v>
      </x:c>
      <x:c r="J61" s="63" t="str">
        <x:v>Ponoka</x:v>
      </x:c>
      <x:c r="K61" s="63" t="str">
        <x:v>Under Construction</x:v>
      </x:c>
      <x:c r="L61" s="143"/>
      <x:c r="M61" s="179" t="n">
        <x:v>2025</x:v>
      </x:c>
      <x:c r="N61" s="179" t="n">
        <x:v>2028</x:v>
      </x:c>
      <x:c r="O61" s="63" t="str">
        <x:v>overlaps</x:v>
      </x:c>
      <x:c r="P61" s="63" t="str">
        <x:v>2027|2028</x:v>
      </x:c>
      <x:c r="Q61" s="143"/>
      <x:c r="R61" s="143"/>
      <x:c r="S61" s="154" t="n">
        <x:v>-113.589972</x:v>
      </x:c>
      <x:c r="T61" s="154" t="n">
        <x:v>52.684748</x:v>
      </x:c>
      <x:c r="U61" s="63" t="str">
        <x:v>reported</x:v>
      </x:c>
      <x:c r="V61" s="63" t="str">
        <x:v>ALBERTA_MAJOR_PROJECTS</x:v>
      </x:c>
      <x:c r="W61" s="63" t="str">
        <x:v>observed</x:v>
      </x:c>
      <x:c r="X61" s="155" t="n">
        <x:v>46265</x:v>
      </x:c>
      <x:c r="Y61" s="63" t="str">
        <x:v>https://www.majorprojects.alberta.ca/</x:v>
      </x:c>
    </x:row>
    <x:row r="62">
      <x:c r="A62" s="63" t="str">
        <x:v>ABMP_11381</x:v>
      </x:c>
      <x:c r="B62" s="63" t="str">
        <x:v>Alberta Surgical Initiative (14 - Fort Saskatchewan)</x:v>
      </x:c>
      <x:c r="C62" s="63" t="str">
        <x:v>Health Facilities</x:v>
      </x:c>
      <x:c r="D62" s="63" t="str">
        <x:v>inferred</x:v>
      </x:c>
      <x:c r="E62" s="63" t="str">
        <x:v>Health Care</x:v>
      </x:c>
      <x:c r="F62" s="63" t="str">
        <x:v>Institutional</x:v>
      </x:c>
      <x:c r="G62" s="63" t="str">
        <x:v>Alberta Infrastructure</x:v>
      </x:c>
      <x:c r="H62" s="63" t="str">
        <x:v>Government Or Public Institution Signal</x:v>
      </x:c>
      <x:c r="I62" s="63" t="str">
        <x:v>inferred</x:v>
      </x:c>
      <x:c r="J62" s="63" t="str">
        <x:v>Fort Saskatchewan</x:v>
      </x:c>
      <x:c r="K62" s="63" t="str">
        <x:v>Proposed</x:v>
      </x:c>
      <x:c r="L62" s="143"/>
      <x:c r="M62" s="179" t="n">
        <x:v>2026</x:v>
      </x:c>
      <x:c r="N62" s="179" t="n">
        <x:v>2028</x:v>
      </x:c>
      <x:c r="O62" s="63" t="str">
        <x:v>overlaps</x:v>
      </x:c>
      <x:c r="P62" s="63" t="str">
        <x:v>2027|2028</x:v>
      </x:c>
      <x:c r="Q62" s="143"/>
      <x:c r="R62" s="143"/>
      <x:c r="S62" s="154" t="n">
        <x:v>-113.210708</x:v>
      </x:c>
      <x:c r="T62" s="154" t="n">
        <x:v>53.692324</x:v>
      </x:c>
      <x:c r="U62" s="63" t="str">
        <x:v>reported</x:v>
      </x:c>
      <x:c r="V62" s="63" t="str">
        <x:v>ALBERTA_MAJOR_PROJECTS</x:v>
      </x:c>
      <x:c r="W62" s="63" t="str">
        <x:v>observed</x:v>
      </x:c>
      <x:c r="X62" s="155" t="n">
        <x:v>46265</x:v>
      </x:c>
      <x:c r="Y62" s="63" t="str">
        <x:v>https://www.majorprojects.alberta.ca/</x:v>
      </x:c>
    </x:row>
    <x:row r="63">
      <x:c r="A63" s="63" t="str">
        <x:v>ABMP_11382</x:v>
      </x:c>
      <x:c r="B63" s="63" t="str">
        <x:v>Alberta Surgical Initiative (15 - Alberta Children's Hospital)</x:v>
      </x:c>
      <x:c r="C63" s="63" t="str">
        <x:v>Health Facilities</x:v>
      </x:c>
      <x:c r="D63" s="63" t="str">
        <x:v>inferred</x:v>
      </x:c>
      <x:c r="E63" s="63" t="str">
        <x:v>Health Care</x:v>
      </x:c>
      <x:c r="F63" s="63" t="str">
        <x:v>Institutional</x:v>
      </x:c>
      <x:c r="G63" s="63" t="str">
        <x:v>Alberta Infrastructure</x:v>
      </x:c>
      <x:c r="H63" s="63" t="str">
        <x:v>Government Or Public Institution Signal</x:v>
      </x:c>
      <x:c r="I63" s="63" t="str">
        <x:v>inferred</x:v>
      </x:c>
      <x:c r="J63" s="63" t="str">
        <x:v>Calgary</x:v>
      </x:c>
      <x:c r="K63" s="63" t="str">
        <x:v>Under Construction</x:v>
      </x:c>
      <x:c r="L63" s="143"/>
      <x:c r="M63" s="179" t="n">
        <x:v>2026</x:v>
      </x:c>
      <x:c r="N63" s="179" t="n">
        <x:v>2027</x:v>
      </x:c>
      <x:c r="O63" s="63" t="str">
        <x:v>overlaps</x:v>
      </x:c>
      <x:c r="P63" s="63" t="str">
        <x:v>2027</x:v>
      </x:c>
      <x:c r="Q63" s="143"/>
      <x:c r="R63" s="143"/>
      <x:c r="S63" s="154" t="n">
        <x:v>-114.151005</x:v>
      </x:c>
      <x:c r="T63" s="154" t="n">
        <x:v>51.0746227</x:v>
      </x:c>
      <x:c r="U63" s="63" t="str">
        <x:v>reported</x:v>
      </x:c>
      <x:c r="V63" s="63" t="str">
        <x:v>ALBERTA_MAJOR_PROJECTS</x:v>
      </x:c>
      <x:c r="W63" s="63" t="str">
        <x:v>observed</x:v>
      </x:c>
      <x:c r="X63" s="155" t="n">
        <x:v>46265</x:v>
      </x:c>
      <x:c r="Y63" s="63" t="str">
        <x:v>https://www.majorprojects.alberta.ca/</x:v>
      </x:c>
    </x:row>
    <x:row r="64">
      <x:c r="A64" s="63" t="str">
        <x:v>ABMP_11383</x:v>
      </x:c>
      <x:c r="B64" s="63" t="str">
        <x:v>Alberta Surgical Initiative (16 - Grey Nuns Hospital)</x:v>
      </x:c>
      <x:c r="C64" s="63" t="str">
        <x:v>Health Facilities</x:v>
      </x:c>
      <x:c r="D64" s="63" t="str">
        <x:v>inferred</x:v>
      </x:c>
      <x:c r="E64" s="63" t="str">
        <x:v>Health Care</x:v>
      </x:c>
      <x:c r="F64" s="63" t="str">
        <x:v>Institutional</x:v>
      </x:c>
      <x:c r="G64" s="63" t="str">
        <x:v>Alberta Infrastructure</x:v>
      </x:c>
      <x:c r="H64" s="63" t="str">
        <x:v>Government Or Public Institution Signal</x:v>
      </x:c>
      <x:c r="I64" s="63" t="str">
        <x:v>inferred</x:v>
      </x:c>
      <x:c r="J64" s="63" t="str">
        <x:v>Edmonton</x:v>
      </x:c>
      <x:c r="K64" s="63" t="str">
        <x:v>Proposed</x:v>
      </x:c>
      <x:c r="L64" s="143"/>
      <x:c r="M64" s="179" t="n">
        <x:v>2026</x:v>
      </x:c>
      <x:c r="N64" s="179" t="n">
        <x:v>2028</x:v>
      </x:c>
      <x:c r="O64" s="63" t="str">
        <x:v>overlaps</x:v>
      </x:c>
      <x:c r="P64" s="63" t="str">
        <x:v>2027|2028</x:v>
      </x:c>
      <x:c r="Q64" s="143"/>
      <x:c r="R64" s="143"/>
      <x:c r="S64" s="154" t="n">
        <x:v>-113.429326</x:v>
      </x:c>
      <x:c r="T64" s="154" t="n">
        <x:v>53.462195</x:v>
      </x:c>
      <x:c r="U64" s="63" t="str">
        <x:v>reported</x:v>
      </x:c>
      <x:c r="V64" s="63" t="str">
        <x:v>ALBERTA_MAJOR_PROJECTS</x:v>
      </x:c>
      <x:c r="W64" s="63" t="str">
        <x:v>observed</x:v>
      </x:c>
      <x:c r="X64" s="155" t="n">
        <x:v>46265</x:v>
      </x:c>
      <x:c r="Y64" s="63" t="str">
        <x:v>https://www.majorprojects.alberta.ca/</x:v>
      </x:c>
    </x:row>
    <x:row r="65">
      <x:c r="A65" s="63" t="str">
        <x:v>ABMP_11384</x:v>
      </x:c>
      <x:c r="B65" s="63" t="str">
        <x:v>Alberta Surgical Initiative (17 - Misericordia Community Hospital)</x:v>
      </x:c>
      <x:c r="C65" s="63" t="str">
        <x:v>Health Facilities</x:v>
      </x:c>
      <x:c r="D65" s="63" t="str">
        <x:v>inferred</x:v>
      </x:c>
      <x:c r="E65" s="63" t="str">
        <x:v>Health Care</x:v>
      </x:c>
      <x:c r="F65" s="63" t="str">
        <x:v>Institutional</x:v>
      </x:c>
      <x:c r="G65" s="63" t="str">
        <x:v>Alberta Infrastructure</x:v>
      </x:c>
      <x:c r="H65" s="63" t="str">
        <x:v>Government Or Public Institution Signal</x:v>
      </x:c>
      <x:c r="I65" s="63" t="str">
        <x:v>inferred</x:v>
      </x:c>
      <x:c r="J65" s="63" t="str">
        <x:v>Edmonton</x:v>
      </x:c>
      <x:c r="K65" s="63" t="str">
        <x:v>Under Construction</x:v>
      </x:c>
      <x:c r="L65" s="143"/>
      <x:c r="M65" s="179" t="n">
        <x:v>2026</x:v>
      </x:c>
      <x:c r="N65" s="179"/>
      <x:c r="O65" s="63" t="str">
        <x:v>indeterminate_incomplete_schedule</x:v>
      </x:c>
      <x:c r="P65" s="63" t="str"/>
      <x:c r="Q65" s="143"/>
      <x:c r="R65" s="143"/>
      <x:c r="S65" s="154" t="n">
        <x:v>-113.6146425</x:v>
      </x:c>
      <x:c r="T65" s="154" t="n">
        <x:v>53.5209026</x:v>
      </x:c>
      <x:c r="U65" s="63" t="str">
        <x:v>reported</x:v>
      </x:c>
      <x:c r="V65" s="63" t="str">
        <x:v>ALBERTA_MAJOR_PROJECTS</x:v>
      </x:c>
      <x:c r="W65" s="63" t="str">
        <x:v>observed</x:v>
      </x:c>
      <x:c r="X65" s="155" t="n">
        <x:v>46265</x:v>
      </x:c>
      <x:c r="Y65" s="63" t="str">
        <x:v>https://www.majorprojects.alberta.ca/</x:v>
      </x:c>
    </x:row>
    <x:row r="66">
      <x:c r="A66" s="63" t="str">
        <x:v>ABMP_11502</x:v>
      </x:c>
      <x:c r="B66" s="63" t="str">
        <x:v>Alberta Surgical Initiative (19 - St. Mary's Hospital)</x:v>
      </x:c>
      <x:c r="C66" s="63" t="str">
        <x:v>Health Facilities</x:v>
      </x:c>
      <x:c r="D66" s="63" t="str">
        <x:v>inferred</x:v>
      </x:c>
      <x:c r="E66" s="63" t="str">
        <x:v>Health Care</x:v>
      </x:c>
      <x:c r="F66" s="63" t="str">
        <x:v>Institutional</x:v>
      </x:c>
      <x:c r="G66" s="63" t="str">
        <x:v>Alberta Infrastructure</x:v>
      </x:c>
      <x:c r="H66" s="63" t="str">
        <x:v>Government Or Public Institution Signal</x:v>
      </x:c>
      <x:c r="I66" s="63" t="str">
        <x:v>inferred</x:v>
      </x:c>
      <x:c r="J66" s="63" t="str">
        <x:v>Camrose</x:v>
      </x:c>
      <x:c r="K66" s="63" t="str">
        <x:v>Proposed</x:v>
      </x:c>
      <x:c r="L66" s="143"/>
      <x:c r="M66" s="179"/>
      <x:c r="N66" s="179"/>
      <x:c r="O66" s="63" t="str">
        <x:v>indeterminate_incomplete_schedule</x:v>
      </x:c>
      <x:c r="P66" s="63" t="str"/>
      <x:c r="Q66" s="143"/>
      <x:c r="R66" s="143"/>
      <x:c r="S66" s="154" t="n">
        <x:v>-112.830312</x:v>
      </x:c>
      <x:c r="T66" s="154" t="n">
        <x:v>53.014625</x:v>
      </x:c>
      <x:c r="U66" s="63" t="str">
        <x:v>reported</x:v>
      </x:c>
      <x:c r="V66" s="63" t="str">
        <x:v>ALBERTA_MAJOR_PROJECTS</x:v>
      </x:c>
      <x:c r="W66" s="63" t="str">
        <x:v>observed</x:v>
      </x:c>
      <x:c r="X66" s="155" t="n">
        <x:v>46265</x:v>
      </x:c>
      <x:c r="Y66" s="63" t="str">
        <x:v>https://www.majorprojects.alberta.ca/</x:v>
      </x:c>
    </x:row>
    <x:row r="67">
      <x:c r="A67" s="63" t="str">
        <x:v>ABMP_11517</x:v>
      </x:c>
      <x:c r="B67" s="63" t="str">
        <x:v>Alberta Surgical Initiative (20 - ASI - FMC McCaig Tower - 3rd Floor - Day Surgery)</x:v>
      </x:c>
      <x:c r="C67" s="63" t="str">
        <x:v>Health Facilities</x:v>
      </x:c>
      <x:c r="D67" s="63" t="str">
        <x:v>inferred</x:v>
      </x:c>
      <x:c r="E67" s="63" t="str">
        <x:v>Health Care</x:v>
      </x:c>
      <x:c r="F67" s="63" t="str">
        <x:v>Institutional</x:v>
      </x:c>
      <x:c r="G67" s="63" t="str">
        <x:v>Alberta Infrastructure</x:v>
      </x:c>
      <x:c r="H67" s="63" t="str">
        <x:v>Government Or Public Institution Signal</x:v>
      </x:c>
      <x:c r="I67" s="63" t="str">
        <x:v>inferred</x:v>
      </x:c>
      <x:c r="J67" s="63" t="str">
        <x:v>Calgary</x:v>
      </x:c>
      <x:c r="K67" s="63" t="str">
        <x:v>Proposed</x:v>
      </x:c>
      <x:c r="L67" s="143"/>
      <x:c r="M67" s="179"/>
      <x:c r="N67" s="179"/>
      <x:c r="O67" s="63" t="str">
        <x:v>indeterminate_incomplete_schedule</x:v>
      </x:c>
      <x:c r="P67" s="63" t="str"/>
      <x:c r="Q67" s="143"/>
      <x:c r="R67" s="143"/>
      <x:c r="S67" s="154" t="n">
        <x:v>-114.1386469</x:v>
      </x:c>
      <x:c r="T67" s="154" t="n">
        <x:v>51.0656363</x:v>
      </x:c>
      <x:c r="U67" s="63" t="str">
        <x:v>reported</x:v>
      </x:c>
      <x:c r="V67" s="63" t="str">
        <x:v>ALBERTA_MAJOR_PROJECTS</x:v>
      </x:c>
      <x:c r="W67" s="63" t="str">
        <x:v>observed</x:v>
      </x:c>
      <x:c r="X67" s="155" t="n">
        <x:v>46265</x:v>
      </x:c>
      <x:c r="Y67" s="63" t="str">
        <x:v>https://www.majorprojects.alberta.ca/</x:v>
      </x:c>
    </x:row>
    <x:row r="68">
      <x:c r="A68" s="63" t="str">
        <x:v>ABMP_12199</x:v>
      </x:c>
      <x:c r="B68" s="63" t="str">
        <x:v>Alberta Surgical Initiative (ASI - Innisfail Health Centre)</x:v>
      </x:c>
      <x:c r="C68" s="63" t="str">
        <x:v>Health Facilities</x:v>
      </x:c>
      <x:c r="D68" s="63" t="str">
        <x:v>inferred</x:v>
      </x:c>
      <x:c r="E68" s="63" t="str">
        <x:v>Health Care</x:v>
      </x:c>
      <x:c r="F68" s="63" t="str">
        <x:v>Institutional</x:v>
      </x:c>
      <x:c r="G68" s="63" t="str">
        <x:v>Alberta Infrastructure</x:v>
      </x:c>
      <x:c r="H68" s="63" t="str">
        <x:v>Government Or Public Institution Signal</x:v>
      </x:c>
      <x:c r="I68" s="63" t="str">
        <x:v>inferred</x:v>
      </x:c>
      <x:c r="J68" s="63" t="str">
        <x:v>Innisfail</x:v>
      </x:c>
      <x:c r="K68" s="63" t="str">
        <x:v>Proposed</x:v>
      </x:c>
      <x:c r="L68" s="143"/>
      <x:c r="M68" s="179"/>
      <x:c r="N68" s="179"/>
      <x:c r="O68" s="63" t="str">
        <x:v>indeterminate_incomplete_schedule</x:v>
      </x:c>
      <x:c r="P68" s="63" t="str"/>
      <x:c r="Q68" s="143"/>
      <x:c r="R68" s="143"/>
      <x:c r="S68" s="154" t="n">
        <x:v>-113.95222200219575</x:v>
      </x:c>
      <x:c r="T68" s="154" t="n">
        <x:v>52.019286121823455</x:v>
      </x:c>
      <x:c r="U68" s="63" t="str">
        <x:v>approximate</x:v>
      </x:c>
      <x:c r="V68" s="63" t="str">
        <x:v>ALBERTA_MAJOR_PROJECTS</x:v>
      </x:c>
      <x:c r="W68" s="63" t="str">
        <x:v>observed</x:v>
      </x:c>
      <x:c r="X68" s="155" t="n">
        <x:v>46265</x:v>
      </x:c>
      <x:c r="Y68" s="63" t="str">
        <x:v>https://www.majorprojects.alberta.ca/</x:v>
      </x:c>
    </x:row>
    <x:row r="69">
      <x:c r="A69" s="63" t="str">
        <x:v>ABMP_11501</x:v>
      </x:c>
      <x:c r="B69" s="63" t="str">
        <x:v>Alberta Surgical Initiative (Walter C. McKenzie Centre)</x:v>
      </x:c>
      <x:c r="C69" s="63" t="str">
        <x:v>Health Facilities</x:v>
      </x:c>
      <x:c r="D69" s="63" t="str">
        <x:v>inferred</x:v>
      </x:c>
      <x:c r="E69" s="63" t="str">
        <x:v>Health Care</x:v>
      </x:c>
      <x:c r="F69" s="63" t="str">
        <x:v>Institutional</x:v>
      </x:c>
      <x:c r="G69" s="63" t="str">
        <x:v>Alberta Infrastructure</x:v>
      </x:c>
      <x:c r="H69" s="63" t="str">
        <x:v>Government Or Public Institution Signal</x:v>
      </x:c>
      <x:c r="I69" s="63" t="str">
        <x:v>inferred</x:v>
      </x:c>
      <x:c r="J69" s="63" t="str">
        <x:v>Edmonton</x:v>
      </x:c>
      <x:c r="K69" s="63" t="str">
        <x:v>Proposed</x:v>
      </x:c>
      <x:c r="L69" s="143"/>
      <x:c r="M69" s="179"/>
      <x:c r="N69" s="179"/>
      <x:c r="O69" s="63" t="str">
        <x:v>indeterminate_incomplete_schedule</x:v>
      </x:c>
      <x:c r="P69" s="63" t="str"/>
      <x:c r="Q69" s="143"/>
      <x:c r="R69" s="143"/>
      <x:c r="S69" s="154" t="n">
        <x:v>-113.523782</x:v>
      </x:c>
      <x:c r="T69" s="154" t="n">
        <x:v>53.5207104</x:v>
      </x:c>
      <x:c r="U69" s="63" t="str">
        <x:v>reported</x:v>
      </x:c>
      <x:c r="V69" s="63" t="str">
        <x:v>ALBERTA_MAJOR_PROJECTS</x:v>
      </x:c>
      <x:c r="W69" s="63" t="str">
        <x:v>observed</x:v>
      </x:c>
      <x:c r="X69" s="155" t="n">
        <x:v>46265</x:v>
      </x:c>
      <x:c r="Y69" s="63" t="str">
        <x:v>https://www.majorprojects.alberta.ca/</x:v>
      </x:c>
    </x:row>
    <x:row r="70">
      <x:c r="A70" s="63" t="str">
        <x:v>ABMP_11990</x:v>
      </x:c>
      <x:c r="B70" s="63" t="str">
        <x:v>Belmont Continuing Care Facility</x:v>
      </x:c>
      <x:c r="C70" s="63" t="str">
        <x:v>Health Facilities</x:v>
      </x:c>
      <x:c r="D70" s="63" t="str">
        <x:v>inferred</x:v>
      </x:c>
      <x:c r="E70" s="63" t="str">
        <x:v>Continuing Care</x:v>
      </x:c>
      <x:c r="F70" s="63" t="str">
        <x:v>Institutional</x:v>
      </x:c>
      <x:c r="G70" s="63" t="str">
        <x:v>AgeCare Health Services Ltd.</x:v>
      </x:c>
      <x:c r="H70" s="63" t="str">
        <x:v>Unresolved</x:v>
      </x:c>
      <x:c r="I70" s="63" t="str">
        <x:v>inferred</x:v>
      </x:c>
      <x:c r="J70" s="63" t="str">
        <x:v>Calgary</x:v>
      </x:c>
      <x:c r="K70" s="63" t="str">
        <x:v>Under Construction</x:v>
      </x:c>
      <x:c r="L70" s="143" t="n">
        <x:v>56600000</x:v>
      </x:c>
      <x:c r="M70" s="179" t="n">
        <x:v>2025</x:v>
      </x:c>
      <x:c r="N70" s="179" t="n">
        <x:v>2027</x:v>
      </x:c>
      <x:c r="O70" s="63" t="str">
        <x:v>overlaps</x:v>
      </x:c>
      <x:c r="P70" s="63" t="str">
        <x:v>2027</x:v>
      </x:c>
      <x:c r="Q70" s="143" t="n">
        <x:v>18866666.666666668</x:v>
      </x:c>
      <x:c r="R70" s="143" t="n">
        <x:v>18866666.666666668</x:v>
      </x:c>
      <x:c r="S70" s="154" t="n">
        <x:v>-114.069934</x:v>
      </x:c>
      <x:c r="T70" s="154" t="n">
        <x:v>50.86578</x:v>
      </x:c>
      <x:c r="U70" s="63" t="str">
        <x:v>reported</x:v>
      </x:c>
      <x:c r="V70" s="63" t="str">
        <x:v>ALBERTA_MAJOR_PROJECTS</x:v>
      </x:c>
      <x:c r="W70" s="63" t="str">
        <x:v>observed</x:v>
      </x:c>
      <x:c r="X70" s="155" t="n">
        <x:v>46265</x:v>
      </x:c>
      <x:c r="Y70" s="63" t="str">
        <x:v>https://www.majorprojects.alberta.ca/</x:v>
      </x:c>
    </x:row>
    <x:row r="71">
      <x:c r="A71" s="63" t="str">
        <x:v>ABMP_11751</x:v>
      </x:c>
      <x:c r="B71" s="63" t="str">
        <x:v>Bethany Care Society Calgary Redevelopment</x:v>
      </x:c>
      <x:c r="C71" s="63" t="str">
        <x:v>Health Facilities</x:v>
      </x:c>
      <x:c r="D71" s="63" t="str">
        <x:v>inferred</x:v>
      </x:c>
      <x:c r="E71" s="63" t="str">
        <x:v>Continuing Care</x:v>
      </x:c>
      <x:c r="F71" s="63" t="str">
        <x:v>Institutional</x:v>
      </x:c>
      <x:c r="G71" s="63" t="str">
        <x:v>Bethany Care Society</x:v>
      </x:c>
      <x:c r="H71" s="63" t="str">
        <x:v>Unresolved</x:v>
      </x:c>
      <x:c r="I71" s="63" t="str">
        <x:v>inferred</x:v>
      </x:c>
      <x:c r="J71" s="63" t="str">
        <x:v>Calgary</x:v>
      </x:c>
      <x:c r="K71" s="63" t="str">
        <x:v>Under Construction</x:v>
      </x:c>
      <x:c r="L71" s="143" t="n">
        <x:v>134000000</x:v>
      </x:c>
      <x:c r="M71" s="179" t="n">
        <x:v>2024</x:v>
      </x:c>
      <x:c r="N71" s="179" t="n">
        <x:v>2027</x:v>
      </x:c>
      <x:c r="O71" s="63" t="str">
        <x:v>overlaps</x:v>
      </x:c>
      <x:c r="P71" s="63" t="str">
        <x:v>2027</x:v>
      </x:c>
      <x:c r="Q71" s="143" t="n">
        <x:v>33500000</x:v>
      </x:c>
      <x:c r="R71" s="143" t="n">
        <x:v>33500000</x:v>
      </x:c>
      <x:c r="S71" s="154" t="n">
        <x:v>-114.101521</x:v>
      </x:c>
      <x:c r="T71" s="154" t="n">
        <x:v>51.060353</x:v>
      </x:c>
      <x:c r="U71" s="63" t="str">
        <x:v>reported</x:v>
      </x:c>
      <x:c r="V71" s="63" t="str">
        <x:v>ALBERTA_MAJOR_PROJECTS</x:v>
      </x:c>
      <x:c r="W71" s="63" t="str">
        <x:v>observed</x:v>
      </x:c>
      <x:c r="X71" s="155" t="n">
        <x:v>46265</x:v>
      </x:c>
      <x:c r="Y71" s="63" t="str">
        <x:v>https://www.majorprojects.alberta.ca/</x:v>
      </x:c>
    </x:row>
    <x:row r="72">
      <x:c r="A72" s="63" t="str">
        <x:v>ABMP_12052</x:v>
      </x:c>
      <x:c r="B72" s="63" t="str">
        <x:v>Beverly Heights Seniors Community</x:v>
      </x:c>
      <x:c r="C72" s="63" t="str">
        <x:v>Health Facilities</x:v>
      </x:c>
      <x:c r="D72" s="63" t="str">
        <x:v>inferred</x:v>
      </x:c>
      <x:c r="E72" s="63" t="str">
        <x:v>Continuing Care</x:v>
      </x:c>
      <x:c r="F72" s="63" t="str">
        <x:v>Institutional</x:v>
      </x:c>
      <x:c r="G72" s="63" t="str">
        <x:v>Park Place Seniors Living</x:v>
      </x:c>
      <x:c r="H72" s="63" t="str">
        <x:v>Unresolved</x:v>
      </x:c>
      <x:c r="I72" s="63" t="str">
        <x:v>inferred</x:v>
      </x:c>
      <x:c r="J72" s="63" t="str">
        <x:v>Edmonton</x:v>
      </x:c>
      <x:c r="K72" s="63" t="str">
        <x:v>Under Construction</x:v>
      </x:c>
      <x:c r="L72" s="143" t="n">
        <x:v>41100000</x:v>
      </x:c>
      <x:c r="M72" s="179" t="n">
        <x:v>2025</x:v>
      </x:c>
      <x:c r="N72" s="179" t="n">
        <x:v>2028</x:v>
      </x:c>
      <x:c r="O72" s="63" t="str">
        <x:v>overlaps</x:v>
      </x:c>
      <x:c r="P72" s="63" t="str">
        <x:v>2027|2028</x:v>
      </x:c>
      <x:c r="Q72" s="143" t="n">
        <x:v>10275000</x:v>
      </x:c>
      <x:c r="R72" s="143" t="n">
        <x:v>20550000</x:v>
      </x:c>
      <x:c r="S72" s="154" t="n">
        <x:v>-113.395925</x:v>
      </x:c>
      <x:c r="T72" s="154" t="n">
        <x:v>53.568065</x:v>
      </x:c>
      <x:c r="U72" s="63" t="str">
        <x:v>reported</x:v>
      </x:c>
      <x:c r="V72" s="63" t="str">
        <x:v>ALBERTA_MAJOR_PROJECTS</x:v>
      </x:c>
      <x:c r="W72" s="63" t="str">
        <x:v>observed</x:v>
      </x:c>
      <x:c r="X72" s="155" t="n">
        <x:v>46265</x:v>
      </x:c>
      <x:c r="Y72" s="63" t="str">
        <x:v>https://www.majorprojects.alberta.ca/</x:v>
      </x:c>
    </x:row>
    <x:row r="73">
      <x:c r="A73" s="63" t="str">
        <x:v>ABMP_2697</x:v>
      </x:c>
      <x:c r="B73" s="63" t="str">
        <x:v>Bridgeland Riverside Continuing Care Centre</x:v>
      </x:c>
      <x:c r="C73" s="63" t="str">
        <x:v>Health Facilities</x:v>
      </x:c>
      <x:c r="D73" s="63" t="str">
        <x:v>inferred</x:v>
      </x:c>
      <x:c r="E73" s="63" t="str">
        <x:v>Continuing Care</x:v>
      </x:c>
      <x:c r="F73" s="63" t="str">
        <x:v>Institutional</x:v>
      </x:c>
      <x:c r="G73" s="63" t="str">
        <x:v>Alberta Infrastructure</x:v>
      </x:c>
      <x:c r="H73" s="63" t="str">
        <x:v>Government Or Public Institution Signal</x:v>
      </x:c>
      <x:c r="I73" s="63" t="str">
        <x:v>inferred</x:v>
      </x:c>
      <x:c r="J73" s="63" t="str">
        <x:v>Calgary</x:v>
      </x:c>
      <x:c r="K73" s="63" t="str">
        <x:v>Under Construction</x:v>
      </x:c>
      <x:c r="L73" s="143" t="n">
        <x:v>130500000</x:v>
      </x:c>
      <x:c r="M73" s="179" t="n">
        <x:v>2021</x:v>
      </x:c>
      <x:c r="N73" s="179" t="n">
        <x:v>2026</x:v>
      </x:c>
      <x:c r="O73" s="63" t="str">
        <x:v>outside_window</x:v>
      </x:c>
      <x:c r="P73" s="63" t="str"/>
      <x:c r="Q73" s="143" t="n">
        <x:v>21750000</x:v>
      </x:c>
      <x:c r="R73" s="143" t="n">
        <x:v>0</x:v>
      </x:c>
      <x:c r="S73" s="154" t="n">
        <x:v>-114.037187</x:v>
      </x:c>
      <x:c r="T73" s="154" t="n">
        <x:v>51.051952</x:v>
      </x:c>
      <x:c r="U73" s="63" t="str">
        <x:v>reported</x:v>
      </x:c>
      <x:c r="V73" s="63" t="str">
        <x:v>ALBERTA_MAJOR_PROJECTS</x:v>
      </x:c>
      <x:c r="W73" s="63" t="str">
        <x:v>observed</x:v>
      </x:c>
      <x:c r="X73" s="155" t="n">
        <x:v>46265</x:v>
      </x:c>
      <x:c r="Y73" s="63" t="str">
        <x:v>https://www.majorprojects.alberta.ca/</x:v>
      </x:c>
    </x:row>
    <x:row r="74">
      <x:c r="A74" s="63" t="str">
        <x:v>ABMP_10801</x:v>
      </x:c>
      <x:c r="B74" s="63" t="str">
        <x:v>Calgary Complex Needs Residential Facility</x:v>
      </x:c>
      <x:c r="C74" s="63" t="str">
        <x:v>Health Facilities</x:v>
      </x:c>
      <x:c r="D74" s="63" t="str">
        <x:v>inferred</x:v>
      </x:c>
      <x:c r="E74" s="63" t="str">
        <x:v>Continuing Care</x:v>
      </x:c>
      <x:c r="F74" s="63" t="str">
        <x:v>Institutional</x:v>
      </x:c>
      <x:c r="G74" s="63" t="str">
        <x:v>Alberta Infrastructure</x:v>
      </x:c>
      <x:c r="H74" s="63" t="str">
        <x:v>Government Or Public Institution Signal</x:v>
      </x:c>
      <x:c r="I74" s="63" t="str">
        <x:v>inferred</x:v>
      </x:c>
      <x:c r="J74" s="63" t="str">
        <x:v>Calgary</x:v>
      </x:c>
      <x:c r="K74" s="63" t="str">
        <x:v>Under Construction</x:v>
      </x:c>
      <x:c r="L74" s="143"/>
      <x:c r="M74" s="179" t="n">
        <x:v>2025</x:v>
      </x:c>
      <x:c r="N74" s="179" t="n">
        <x:v>2027</x:v>
      </x:c>
      <x:c r="O74" s="63" t="str">
        <x:v>overlaps</x:v>
      </x:c>
      <x:c r="P74" s="63" t="str">
        <x:v>2027</x:v>
      </x:c>
      <x:c r="Q74" s="143"/>
      <x:c r="R74" s="143"/>
      <x:c r="S74" s="154" t="n">
        <x:v>-114.142013</x:v>
      </x:c>
      <x:c r="T74" s="154" t="n">
        <x:v>51.060995</x:v>
      </x:c>
      <x:c r="U74" s="63" t="str">
        <x:v>reported</x:v>
      </x:c>
      <x:c r="V74" s="63" t="str">
        <x:v>ALBERTA_MAJOR_PROJECTS</x:v>
      </x:c>
      <x:c r="W74" s="63" t="str">
        <x:v>observed</x:v>
      </x:c>
      <x:c r="X74" s="155" t="n">
        <x:v>46265</x:v>
      </x:c>
      <x:c r="Y74" s="63" t="str">
        <x:v>https://www.majorprojects.alberta.ca/</x:v>
      </x:c>
    </x:row>
    <x:row r="75">
      <x:c r="A75" s="63" t="str">
        <x:v>ABMP_4363</x:v>
      </x:c>
      <x:c r="B75" s="63" t="str">
        <x:v>Calgary Radiopharmaceutical Centre</x:v>
      </x:c>
      <x:c r="C75" s="63" t="str">
        <x:v>Health Facilities</x:v>
      </x:c>
      <x:c r="D75" s="63" t="str">
        <x:v>inferred</x:v>
      </x:c>
      <x:c r="E75" s="63" t="str">
        <x:v>Health Care</x:v>
      </x:c>
      <x:c r="F75" s="63" t="str">
        <x:v>Institutional</x:v>
      </x:c>
      <x:c r="G75" s="63" t="str">
        <x:v>Alberta Infrastructure</x:v>
      </x:c>
      <x:c r="H75" s="63" t="str">
        <x:v>Government Or Public Institution Signal</x:v>
      </x:c>
      <x:c r="I75" s="63" t="str">
        <x:v>inferred</x:v>
      </x:c>
      <x:c r="J75" s="63" t="str">
        <x:v>Calgary</x:v>
      </x:c>
      <x:c r="K75" s="63" t="str">
        <x:v>Under Construction</x:v>
      </x:c>
      <x:c r="L75" s="143"/>
      <x:c r="M75" s="179" t="n">
        <x:v>2025</x:v>
      </x:c>
      <x:c r="N75" s="179" t="n">
        <x:v>2027</x:v>
      </x:c>
      <x:c r="O75" s="63" t="str">
        <x:v>overlaps</x:v>
      </x:c>
      <x:c r="P75" s="63" t="str">
        <x:v>2027</x:v>
      </x:c>
      <x:c r="Q75" s="143"/>
      <x:c r="R75" s="143"/>
      <x:c r="S75" s="154" t="n">
        <x:v>-114.13198</x:v>
      </x:c>
      <x:c r="T75" s="154" t="n">
        <x:v>51.0627</x:v>
      </x:c>
      <x:c r="U75" s="63" t="str">
        <x:v>reported</x:v>
      </x:c>
      <x:c r="V75" s="63" t="str">
        <x:v>ALBERTA_MAJOR_PROJECTS</x:v>
      </x:c>
      <x:c r="W75" s="63" t="str">
        <x:v>observed</x:v>
      </x:c>
      <x:c r="X75" s="155" t="n">
        <x:v>46265</x:v>
      </x:c>
      <x:c r="Y75" s="63" t="str">
        <x:v>https://www.majorprojects.alberta.ca/</x:v>
      </x:c>
    </x:row>
    <x:row r="76">
      <x:c r="A76" s="63" t="str">
        <x:v>ABMP_10959</x:v>
      </x:c>
      <x:c r="B76" s="63" t="str">
        <x:v>Cardston Health Centre Replacement Planning</x:v>
      </x:c>
      <x:c r="C76" s="63" t="str">
        <x:v>Health Facilities</x:v>
      </x:c>
      <x:c r="D76" s="63" t="str">
        <x:v>inferred</x:v>
      </x:c>
      <x:c r="E76" s="63" t="str">
        <x:v>Health Care</x:v>
      </x:c>
      <x:c r="F76" s="63" t="str">
        <x:v>Institutional</x:v>
      </x:c>
      <x:c r="G76" s="63" t="str">
        <x:v>Alberta Infrastructure</x:v>
      </x:c>
      <x:c r="H76" s="63" t="str">
        <x:v>Government Or Public Institution Signal</x:v>
      </x:c>
      <x:c r="I76" s="63" t="str">
        <x:v>inferred</x:v>
      </x:c>
      <x:c r="J76" s="63" t="str">
        <x:v>Cardston</x:v>
      </x:c>
      <x:c r="K76" s="63" t="str">
        <x:v>Proposed</x:v>
      </x:c>
      <x:c r="L76" s="143"/>
      <x:c r="M76" s="179"/>
      <x:c r="N76" s="179"/>
      <x:c r="O76" s="63" t="str">
        <x:v>indeterminate_incomplete_schedule</x:v>
      </x:c>
      <x:c r="P76" s="63" t="str"/>
      <x:c r="Q76" s="143"/>
      <x:c r="R76" s="143"/>
      <x:c r="S76" s="154" t="n">
        <x:v>-113.306625</x:v>
      </x:c>
      <x:c r="T76" s="154" t="n">
        <x:v>49.201869</x:v>
      </x:c>
      <x:c r="U76" s="63" t="str">
        <x:v>approximate</x:v>
      </x:c>
      <x:c r="V76" s="63" t="str">
        <x:v>ALBERTA_MAJOR_PROJECTS</x:v>
      </x:c>
      <x:c r="W76" s="63" t="str">
        <x:v>observed</x:v>
      </x:c>
      <x:c r="X76" s="155" t="n">
        <x:v>46265</x:v>
      </x:c>
      <x:c r="Y76" s="63" t="str">
        <x:v>https://www.majorprojects.alberta.ca/</x:v>
      </x:c>
    </x:row>
    <x:row r="77">
      <x:c r="A77" s="63" t="str">
        <x:v>ABMP_11779</x:v>
      </x:c>
      <x:c r="B77" s="63" t="str">
        <x:v>Central Drug Production Facility</x:v>
      </x:c>
      <x:c r="C77" s="63" t="str">
        <x:v>Health Facilities</x:v>
      </x:c>
      <x:c r="D77" s="63" t="str">
        <x:v>inferred</x:v>
      </x:c>
      <x:c r="E77" s="63" t="str">
        <x:v>Health Care</x:v>
      </x:c>
      <x:c r="F77" s="63" t="str">
        <x:v>Institutional</x:v>
      </x:c>
      <x:c r="G77" s="63" t="str">
        <x:v>Alberta Infrastructure</x:v>
      </x:c>
      <x:c r="H77" s="63" t="str">
        <x:v>Government Or Public Institution Signal</x:v>
      </x:c>
      <x:c r="I77" s="63" t="str">
        <x:v>inferred</x:v>
      </x:c>
      <x:c r="J77" s="63" t="str">
        <x:v>Calgary</x:v>
      </x:c>
      <x:c r="K77" s="63" t="str">
        <x:v>Proposed</x:v>
      </x:c>
      <x:c r="L77" s="143"/>
      <x:c r="M77" s="179"/>
      <x:c r="N77" s="179"/>
      <x:c r="O77" s="63" t="str">
        <x:v>indeterminate_incomplete_schedule</x:v>
      </x:c>
      <x:c r="P77" s="63" t="str"/>
      <x:c r="Q77" s="143"/>
      <x:c r="R77" s="143"/>
      <x:c r="S77" s="154" t="n">
        <x:v>-114.077026</x:v>
      </x:c>
      <x:c r="T77" s="154" t="n">
        <x:v>51.049318</x:v>
      </x:c>
      <x:c r="U77" s="63" t="str">
        <x:v>approximate</x:v>
      </x:c>
      <x:c r="V77" s="63" t="str">
        <x:v>ALBERTA_MAJOR_PROJECTS</x:v>
      </x:c>
      <x:c r="W77" s="63" t="str">
        <x:v>observed</x:v>
      </x:c>
      <x:c r="X77" s="155" t="n">
        <x:v>46265</x:v>
      </x:c>
      <x:c r="Y77" s="63" t="str">
        <x:v>https://www.majorprojects.alberta.ca/</x:v>
      </x:c>
    </x:row>
    <x:row r="78">
      <x:c r="A78" s="63" t="str">
        <x:v>ABMP_11719</x:v>
      </x:c>
      <x:c r="B78" s="63" t="str">
        <x:v>Citadel Mews West Continuing Care Facility</x:v>
      </x:c>
      <x:c r="C78" s="63" t="str">
        <x:v>Health Facilities</x:v>
      </x:c>
      <x:c r="D78" s="63" t="str">
        <x:v>inferred</x:v>
      </x:c>
      <x:c r="E78" s="63" t="str">
        <x:v>Continuing Care</x:v>
      </x:c>
      <x:c r="F78" s="63" t="str">
        <x:v>Institutional</x:v>
      </x:c>
      <x:c r="G78" s="63" t="str">
        <x:v>3M Property Developments Ltd.</x:v>
      </x:c>
      <x:c r="H78" s="63" t="str">
        <x:v>Unresolved</x:v>
      </x:c>
      <x:c r="I78" s="63" t="str">
        <x:v>inferred</x:v>
      </x:c>
      <x:c r="J78" s="63" t="str">
        <x:v>St. Albert</x:v>
      </x:c>
      <x:c r="K78" s="63" t="str">
        <x:v>Under Construction</x:v>
      </x:c>
      <x:c r="L78" s="143" t="n">
        <x:v>25000000</x:v>
      </x:c>
      <x:c r="M78" s="179" t="n">
        <x:v>2025</x:v>
      </x:c>
      <x:c r="N78" s="179" t="n">
        <x:v>2026</x:v>
      </x:c>
      <x:c r="O78" s="63" t="str">
        <x:v>outside_window</x:v>
      </x:c>
      <x:c r="P78" s="63" t="str"/>
      <x:c r="Q78" s="143" t="n">
        <x:v>12500000</x:v>
      </x:c>
      <x:c r="R78" s="143" t="n">
        <x:v>0</x:v>
      </x:c>
      <x:c r="S78" s="154" t="n">
        <x:v>-113.628204</x:v>
      </x:c>
      <x:c r="T78" s="154" t="n">
        <x:v>53.657034</x:v>
      </x:c>
      <x:c r="U78" s="63" t="str">
        <x:v>reported</x:v>
      </x:c>
      <x:c r="V78" s="63" t="str">
        <x:v>ALBERTA_MAJOR_PROJECTS</x:v>
      </x:c>
      <x:c r="W78" s="63" t="str">
        <x:v>observed</x:v>
      </x:c>
      <x:c r="X78" s="155" t="n">
        <x:v>46265</x:v>
      </x:c>
      <x:c r="Y78" s="63" t="str">
        <x:v>https://www.majorprojects.alberta.ca/</x:v>
      </x:c>
    </x:row>
    <x:row r="79">
      <x:c r="A79" s="63" t="str">
        <x:v>ABMP_11049</x:v>
      </x:c>
      <x:c r="B79" s="63" t="str">
        <x:v>Father Lacombe Care Centre Redevelopment</x:v>
      </x:c>
      <x:c r="C79" s="63" t="str">
        <x:v>Health Facilities</x:v>
      </x:c>
      <x:c r="D79" s="63" t="str">
        <x:v>inferred</x:v>
      </x:c>
      <x:c r="E79" s="63" t="str">
        <x:v>Continuing Care</x:v>
      </x:c>
      <x:c r="F79" s="63" t="str">
        <x:v>Institutional</x:v>
      </x:c>
      <x:c r="G79" s="63" t="str">
        <x:v>Father Lacombe Care Foundation</x:v>
      </x:c>
      <x:c r="H79" s="63" t="str">
        <x:v>Unresolved</x:v>
      </x:c>
      <x:c r="I79" s="63" t="str">
        <x:v>inferred</x:v>
      </x:c>
      <x:c r="J79" s="63" t="str">
        <x:v>Calgary</x:v>
      </x:c>
      <x:c r="K79" s="63" t="str">
        <x:v>Under Construction</x:v>
      </x:c>
      <x:c r="L79" s="143"/>
      <x:c r="M79" s="179" t="n">
        <x:v>2025</x:v>
      </x:c>
      <x:c r="N79" s="179"/>
      <x:c r="O79" s="63" t="str">
        <x:v>indeterminate_incomplete_schedule</x:v>
      </x:c>
      <x:c r="P79" s="63" t="str"/>
      <x:c r="Q79" s="143"/>
      <x:c r="R79" s="143"/>
      <x:c r="S79" s="154" t="n">
        <x:v>-114.062228</x:v>
      </x:c>
      <x:c r="T79" s="154" t="n">
        <x:v>50.921265</x:v>
      </x:c>
      <x:c r="U79" s="63" t="str">
        <x:v>reported</x:v>
      </x:c>
      <x:c r="V79" s="63" t="str">
        <x:v>ALBERTA_MAJOR_PROJECTS</x:v>
      </x:c>
      <x:c r="W79" s="63" t="str">
        <x:v>observed</x:v>
      </x:c>
      <x:c r="X79" s="155" t="n">
        <x:v>46265</x:v>
      </x:c>
      <x:c r="Y79" s="63" t="str">
        <x:v>https://www.majorprojects.alberta.ca/</x:v>
      </x:c>
    </x:row>
    <x:row r="80">
      <x:c r="A80" s="63" t="str">
        <x:v>ABMP_10533</x:v>
      </x:c>
      <x:c r="B80" s="63" t="str">
        <x:v>Foothills Medical Centre - Neonatal Intensive Care Unit (NICU) Expansion</x:v>
      </x:c>
      <x:c r="C80" s="63" t="str">
        <x:v>Health Facilities</x:v>
      </x:c>
      <x:c r="D80" s="63" t="str">
        <x:v>inferred</x:v>
      </x:c>
      <x:c r="E80" s="63" t="str">
        <x:v>Health Care</x:v>
      </x:c>
      <x:c r="F80" s="63" t="str">
        <x:v>Institutional</x:v>
      </x:c>
      <x:c r="G80" s="63" t="str">
        <x:v>Alberta Infrastructure</x:v>
      </x:c>
      <x:c r="H80" s="63" t="str">
        <x:v>Government Or Public Institution Signal</x:v>
      </x:c>
      <x:c r="I80" s="63" t="str">
        <x:v>inferred</x:v>
      </x:c>
      <x:c r="J80" s="63" t="str">
        <x:v>Calgary</x:v>
      </x:c>
      <x:c r="K80" s="63" t="str">
        <x:v>Proposed</x:v>
      </x:c>
      <x:c r="L80" s="143"/>
      <x:c r="M80" s="179"/>
      <x:c r="N80" s="179"/>
      <x:c r="O80" s="63" t="str">
        <x:v>indeterminate_incomplete_schedule</x:v>
      </x:c>
      <x:c r="P80" s="63" t="str"/>
      <x:c r="Q80" s="143"/>
      <x:c r="R80" s="143"/>
      <x:c r="S80" s="154" t="n">
        <x:v>-114.133972</x:v>
      </x:c>
      <x:c r="T80" s="154" t="n">
        <x:v>51.065291</x:v>
      </x:c>
      <x:c r="U80" s="63" t="str">
        <x:v>reported</x:v>
      </x:c>
      <x:c r="V80" s="63" t="str">
        <x:v>ALBERTA_MAJOR_PROJECTS</x:v>
      </x:c>
      <x:c r="W80" s="63" t="str">
        <x:v>observed</x:v>
      </x:c>
      <x:c r="X80" s="155" t="n">
        <x:v>46265</x:v>
      </x:c>
      <x:c r="Y80" s="63" t="str">
        <x:v>https://www.majorprojects.alberta.ca/</x:v>
      </x:c>
    </x:row>
    <x:row r="81">
      <x:c r="A81" s="63" t="str">
        <x:v>ABMP_2050</x:v>
      </x:c>
      <x:c r="B81" s="63" t="str">
        <x:v>Foothills Medical Centre Power Plant Upgrade Cogeneration Initiative</x:v>
      </x:c>
      <x:c r="C81" s="63" t="str">
        <x:v>Health Facilities</x:v>
      </x:c>
      <x:c r="D81" s="63" t="str">
        <x:v>inferred</x:v>
      </x:c>
      <x:c r="E81" s="63" t="str">
        <x:v>Health Care</x:v>
      </x:c>
      <x:c r="F81" s="63" t="str">
        <x:v>Institutional</x:v>
      </x:c>
      <x:c r="G81" s="63" t="str">
        <x:v>Alberta Infrastructure</x:v>
      </x:c>
      <x:c r="H81" s="63" t="str">
        <x:v>Government Or Public Institution Signal</x:v>
      </x:c>
      <x:c r="I81" s="63" t="str">
        <x:v>inferred</x:v>
      </x:c>
      <x:c r="J81" s="63" t="str">
        <x:v>Calgary</x:v>
      </x:c>
      <x:c r="K81" s="63" t="str">
        <x:v>Under Construction</x:v>
      </x:c>
      <x:c r="L81" s="143" t="n">
        <x:v>52000000</x:v>
      </x:c>
      <x:c r="M81" s="179" t="n">
        <x:v>2021</x:v>
      </x:c>
      <x:c r="N81" s="179" t="n">
        <x:v>2027</x:v>
      </x:c>
      <x:c r="O81" s="63" t="str">
        <x:v>overlaps</x:v>
      </x:c>
      <x:c r="P81" s="63" t="str">
        <x:v>2027</x:v>
      </x:c>
      <x:c r="Q81" s="143" t="n">
        <x:v>7428571.428571428</x:v>
      </x:c>
      <x:c r="R81" s="143" t="n">
        <x:v>7428571.428571428</x:v>
      </x:c>
      <x:c r="S81" s="154" t="n">
        <x:v>-114.13666650652885</x:v>
      </x:c>
      <x:c r="T81" s="154" t="n">
        <x:v>51.06452535793055</x:v>
      </x:c>
      <x:c r="U81" s="63" t="str">
        <x:v>reported</x:v>
      </x:c>
      <x:c r="V81" s="63" t="str">
        <x:v>ALBERTA_MAJOR_PROJECTS</x:v>
      </x:c>
      <x:c r="W81" s="63" t="str">
        <x:v>observed</x:v>
      </x:c>
      <x:c r="X81" s="155" t="n">
        <x:v>46265</x:v>
      </x:c>
      <x:c r="Y81" s="63" t="str">
        <x:v>https://www.majorprojects.alberta.ca/</x:v>
      </x:c>
    </x:row>
    <x:row r="82">
      <x:c r="A82" s="63" t="str">
        <x:v>ABMP_376</x:v>
      </x:c>
      <x:c r="B82" s="63" t="str">
        <x:v>Gene Zwozdesky Centre at Norwood</x:v>
      </x:c>
      <x:c r="C82" s="63" t="str">
        <x:v>Health Facilities</x:v>
      </x:c>
      <x:c r="D82" s="63" t="str">
        <x:v>inferred</x:v>
      </x:c>
      <x:c r="E82" s="63" t="str">
        <x:v>Health Care</x:v>
      </x:c>
      <x:c r="F82" s="63" t="str">
        <x:v>Institutional</x:v>
      </x:c>
      <x:c r="G82" s="63" t="str">
        <x:v>Alberta Infrastructure</x:v>
      </x:c>
      <x:c r="H82" s="63" t="str">
        <x:v>Government Or Public Institution Signal</x:v>
      </x:c>
      <x:c r="I82" s="63" t="str">
        <x:v>inferred</x:v>
      </x:c>
      <x:c r="J82" s="63" t="str">
        <x:v>Edmonton</x:v>
      </x:c>
      <x:c r="K82" s="63" t="str">
        <x:v>Under Construction</x:v>
      </x:c>
      <x:c r="L82" s="143" t="n">
        <x:v>379000000</x:v>
      </x:c>
      <x:c r="M82" s="179" t="n">
        <x:v>2019</x:v>
      </x:c>
      <x:c r="N82" s="179" t="n">
        <x:v>2026</x:v>
      </x:c>
      <x:c r="O82" s="63" t="str">
        <x:v>outside_window</x:v>
      </x:c>
      <x:c r="P82" s="63" t="str"/>
      <x:c r="Q82" s="143" t="n">
        <x:v>47375000</x:v>
      </x:c>
      <x:c r="R82" s="143" t="n">
        <x:v>0</x:v>
      </x:c>
      <x:c r="S82" s="154" t="n">
        <x:v>-113.5012874007225</x:v>
      </x:c>
      <x:c r="T82" s="154" t="n">
        <x:v>53.560148610939876</x:v>
      </x:c>
      <x:c r="U82" s="63" t="str">
        <x:v>reported</x:v>
      </x:c>
      <x:c r="V82" s="63" t="str">
        <x:v>ALBERTA_MAJOR_PROJECTS</x:v>
      </x:c>
      <x:c r="W82" s="63" t="str">
        <x:v>observed</x:v>
      </x:c>
      <x:c r="X82" s="155" t="n">
        <x:v>46265</x:v>
      </x:c>
      <x:c r="Y82" s="63" t="str">
        <x:v>https://www.majorprojects.alberta.ca/</x:v>
      </x:c>
    </x:row>
    <x:row r="83">
      <x:c r="A83" s="63" t="str">
        <x:v>ABMP_11604</x:v>
      </x:c>
      <x:c r="B83" s="63" t="str">
        <x:v>Genetics and Genomics Lab Relocation</x:v>
      </x:c>
      <x:c r="C83" s="63" t="str">
        <x:v>Health Facilities</x:v>
      </x:c>
      <x:c r="D83" s="63" t="str">
        <x:v>inferred</x:v>
      </x:c>
      <x:c r="E83" s="63" t="str">
        <x:v>Health Care</x:v>
      </x:c>
      <x:c r="F83" s="63" t="str">
        <x:v>Institutional</x:v>
      </x:c>
      <x:c r="G83" s="63" t="str">
        <x:v>Alberta Infrastructure</x:v>
      </x:c>
      <x:c r="H83" s="63" t="str">
        <x:v>Government Or Public Institution Signal</x:v>
      </x:c>
      <x:c r="I83" s="63" t="str">
        <x:v>inferred</x:v>
      </x:c>
      <x:c r="J83" s="63" t="str">
        <x:v>Edmonton</x:v>
      </x:c>
      <x:c r="K83" s="63" t="str">
        <x:v>Proposed</x:v>
      </x:c>
      <x:c r="L83" s="143"/>
      <x:c r="M83" s="179"/>
      <x:c r="N83" s="179"/>
      <x:c r="O83" s="63" t="str">
        <x:v>indeterminate_incomplete_schedule</x:v>
      </x:c>
      <x:c r="P83" s="63" t="str"/>
      <x:c r="Q83" s="143"/>
      <x:c r="R83" s="143"/>
      <x:c r="S83" s="154" t="n">
        <x:v>-113.5013782</x:v>
      </x:c>
      <x:c r="T83" s="154" t="n">
        <x:v>53.5404265</x:v>
      </x:c>
      <x:c r="U83" s="63" t="str">
        <x:v>approximate</x:v>
      </x:c>
      <x:c r="V83" s="63" t="str">
        <x:v>ALBERTA_MAJOR_PROJECTS</x:v>
      </x:c>
      <x:c r="W83" s="63" t="str">
        <x:v>observed</x:v>
      </x:c>
      <x:c r="X83" s="155" t="n">
        <x:v>46265</x:v>
      </x:c>
      <x:c r="Y83" s="63" t="str">
        <x:v>https://www.majorprojects.alberta.ca/</x:v>
      </x:c>
    </x:row>
    <x:row r="84">
      <x:c r="A84" s="63" t="str">
        <x:v>ABMP_11403</x:v>
      </x:c>
      <x:c r="B84" s="63" t="str">
        <x:v>Good Samaritan Society Northwest Edmonton Care Facility</x:v>
      </x:c>
      <x:c r="C84" s="63" t="str">
        <x:v>Health Facilities</x:v>
      </x:c>
      <x:c r="D84" s="63" t="str">
        <x:v>inferred</x:v>
      </x:c>
      <x:c r="E84" s="63" t="str">
        <x:v>Continuing Care</x:v>
      </x:c>
      <x:c r="F84" s="63" t="str">
        <x:v>Institutional</x:v>
      </x:c>
      <x:c r="G84" s="63" t="str">
        <x:v>The Good Samaritan Society</x:v>
      </x:c>
      <x:c r="H84" s="63" t="str">
        <x:v>Unresolved</x:v>
      </x:c>
      <x:c r="I84" s="63" t="str">
        <x:v>inferred</x:v>
      </x:c>
      <x:c r="J84" s="63" t="str">
        <x:v>Edmonton</x:v>
      </x:c>
      <x:c r="K84" s="63" t="str">
        <x:v>Under Construction</x:v>
      </x:c>
      <x:c r="L84" s="143" t="n">
        <x:v>165000000</x:v>
      </x:c>
      <x:c r="M84" s="179" t="n">
        <x:v>2025</x:v>
      </x:c>
      <x:c r="N84" s="179" t="n">
        <x:v>2027</x:v>
      </x:c>
      <x:c r="O84" s="63" t="str">
        <x:v>overlaps</x:v>
      </x:c>
      <x:c r="P84" s="63" t="str">
        <x:v>2027</x:v>
      </x:c>
      <x:c r="Q84" s="143" t="n">
        <x:v>55000000</x:v>
      </x:c>
      <x:c r="R84" s="143" t="n">
        <x:v>55000000</x:v>
      </x:c>
      <x:c r="S84" s="154" t="n">
        <x:v>-113.673476</x:v>
      </x:c>
      <x:c r="T84" s="154" t="n">
        <x:v>53.539803</x:v>
      </x:c>
      <x:c r="U84" s="63" t="str">
        <x:v>reported</x:v>
      </x:c>
      <x:c r="V84" s="63" t="str">
        <x:v>ALBERTA_MAJOR_PROJECTS</x:v>
      </x:c>
      <x:c r="W84" s="63" t="str">
        <x:v>observed</x:v>
      </x:c>
      <x:c r="X84" s="155" t="n">
        <x:v>46265</x:v>
      </x:c>
      <x:c r="Y84" s="63" t="str">
        <x:v>https://www.majorprojects.alberta.ca/</x:v>
      </x:c>
    </x:row>
    <x:row r="85">
      <x:c r="A85" s="63" t="str">
        <x:v>ABMP_11663</x:v>
      </x:c>
      <x:c r="B85" s="63" t="str">
        <x:v>In-Patient Towers at Grey Nuns Planning</x:v>
      </x:c>
      <x:c r="C85" s="63" t="str">
        <x:v>Health Facilities</x:v>
      </x:c>
      <x:c r="D85" s="63" t="str">
        <x:v>inferred</x:v>
      </x:c>
      <x:c r="E85" s="63" t="str">
        <x:v>Health Care</x:v>
      </x:c>
      <x:c r="F85" s="63" t="str">
        <x:v>Institutional</x:v>
      </x:c>
      <x:c r="G85" s="63" t="str">
        <x:v>Alberta Infrastructure</x:v>
      </x:c>
      <x:c r="H85" s="63" t="str">
        <x:v>Government Or Public Institution Signal</x:v>
      </x:c>
      <x:c r="I85" s="63" t="str">
        <x:v>inferred</x:v>
      </x:c>
      <x:c r="J85" s="63" t="str">
        <x:v>Edmonton</x:v>
      </x:c>
      <x:c r="K85" s="63" t="str">
        <x:v>Proposed</x:v>
      </x:c>
      <x:c r="L85" s="143"/>
      <x:c r="M85" s="179"/>
      <x:c r="N85" s="179"/>
      <x:c r="O85" s="63" t="str">
        <x:v>indeterminate_incomplete_schedule</x:v>
      </x:c>
      <x:c r="P85" s="63" t="str"/>
      <x:c r="Q85" s="143"/>
      <x:c r="R85" s="143"/>
      <x:c r="S85" s="154" t="n">
        <x:v>-113.4299</x:v>
      </x:c>
      <x:c r="T85" s="154" t="n">
        <x:v>53.46209</x:v>
      </x:c>
      <x:c r="U85" s="63" t="str">
        <x:v>reported</x:v>
      </x:c>
      <x:c r="V85" s="63" t="str">
        <x:v>ALBERTA_MAJOR_PROJECTS</x:v>
      </x:c>
      <x:c r="W85" s="63" t="str">
        <x:v>observed</x:v>
      </x:c>
      <x:c r="X85" s="155" t="n">
        <x:v>46265</x:v>
      </x:c>
      <x:c r="Y85" s="63" t="str">
        <x:v>https://www.majorprojects.alberta.ca/</x:v>
      </x:c>
    </x:row>
    <x:row r="86">
      <x:c r="A86" s="63" t="str">
        <x:v>ABMP_11664</x:v>
      </x:c>
      <x:c r="B86" s="63" t="str">
        <x:v>In-Patient Towers at Misericordia Community Hospital Planning</x:v>
      </x:c>
      <x:c r="C86" s="63" t="str">
        <x:v>Health Facilities</x:v>
      </x:c>
      <x:c r="D86" s="63" t="str">
        <x:v>inferred</x:v>
      </x:c>
      <x:c r="E86" s="63" t="str">
        <x:v>Health Care</x:v>
      </x:c>
      <x:c r="F86" s="63" t="str">
        <x:v>Institutional</x:v>
      </x:c>
      <x:c r="G86" s="63" t="str">
        <x:v>Alberta Infrastructure</x:v>
      </x:c>
      <x:c r="H86" s="63" t="str">
        <x:v>Government Or Public Institution Signal</x:v>
      </x:c>
      <x:c r="I86" s="63" t="str">
        <x:v>inferred</x:v>
      </x:c>
      <x:c r="J86" s="63" t="str">
        <x:v>Edmonton</x:v>
      </x:c>
      <x:c r="K86" s="63" t="str">
        <x:v>Proposed</x:v>
      </x:c>
      <x:c r="L86" s="143"/>
      <x:c r="M86" s="179"/>
      <x:c r="N86" s="179"/>
      <x:c r="O86" s="63" t="str">
        <x:v>indeterminate_incomplete_schedule</x:v>
      </x:c>
      <x:c r="P86" s="63" t="str"/>
      <x:c r="Q86" s="143"/>
      <x:c r="R86" s="143"/>
      <x:c r="S86" s="154" t="n">
        <x:v>-113.611309</x:v>
      </x:c>
      <x:c r="T86" s="154" t="n">
        <x:v>53.522155</x:v>
      </x:c>
      <x:c r="U86" s="63" t="str">
        <x:v>reported</x:v>
      </x:c>
      <x:c r="V86" s="63" t="str">
        <x:v>ALBERTA_MAJOR_PROJECTS</x:v>
      </x:c>
      <x:c r="W86" s="63" t="str">
        <x:v>observed</x:v>
      </x:c>
      <x:c r="X86" s="155" t="n">
        <x:v>46265</x:v>
      </x:c>
      <x:c r="Y86" s="63" t="str">
        <x:v>https://www.majorprojects.alberta.ca/</x:v>
      </x:c>
    </x:row>
    <x:row r="87">
      <x:c r="A87" s="63" t="str">
        <x:v>ABMP_10856</x:v>
      </x:c>
      <x:c r="B87" s="63" t="str">
        <x:v>Intensive Care Unit Expansion (1 - University of Alberta Hospital)</x:v>
      </x:c>
      <x:c r="C87" s="63" t="str">
        <x:v>Health Facilities</x:v>
      </x:c>
      <x:c r="D87" s="63" t="str">
        <x:v>inferred</x:v>
      </x:c>
      <x:c r="E87" s="63" t="str">
        <x:v>Health Care</x:v>
      </x:c>
      <x:c r="F87" s="63" t="str">
        <x:v>Institutional</x:v>
      </x:c>
      <x:c r="G87" s="63" t="str">
        <x:v>Alberta Infrastructure</x:v>
      </x:c>
      <x:c r="H87" s="63" t="str">
        <x:v>Government Or Public Institution Signal</x:v>
      </x:c>
      <x:c r="I87" s="63" t="str">
        <x:v>inferred</x:v>
      </x:c>
      <x:c r="J87" s="63" t="str">
        <x:v>Edmonton</x:v>
      </x:c>
      <x:c r="K87" s="63" t="str">
        <x:v>Under Construction</x:v>
      </x:c>
      <x:c r="L87" s="143"/>
      <x:c r="M87" s="179" t="n">
        <x:v>2025</x:v>
      </x:c>
      <x:c r="N87" s="179" t="n">
        <x:v>2026</x:v>
      </x:c>
      <x:c r="O87" s="63" t="str">
        <x:v>outside_window</x:v>
      </x:c>
      <x:c r="P87" s="63" t="str"/>
      <x:c r="Q87" s="143"/>
      <x:c r="R87" s="143"/>
      <x:c r="S87" s="154" t="n">
        <x:v>-113.522256</x:v>
      </x:c>
      <x:c r="T87" s="154" t="n">
        <x:v>53.520509</x:v>
      </x:c>
      <x:c r="U87" s="63" t="str">
        <x:v>reported</x:v>
      </x:c>
      <x:c r="V87" s="63" t="str">
        <x:v>ALBERTA_MAJOR_PROJECTS</x:v>
      </x:c>
      <x:c r="W87" s="63" t="str">
        <x:v>observed</x:v>
      </x:c>
      <x:c r="X87" s="155" t="n">
        <x:v>46265</x:v>
      </x:c>
      <x:c r="Y87" s="63" t="str">
        <x:v>https://www.majorprojects.alberta.ca/</x:v>
      </x:c>
    </x:row>
    <x:row r="88">
      <x:c r="A88" s="63" t="str">
        <x:v>ABMP_12198</x:v>
      </x:c>
      <x:c r="B88" s="63" t="str">
        <x:v>Kaye Edmonton Clinic Medical Device Reprocessing Department (MDRD)</x:v>
      </x:c>
      <x:c r="C88" s="63" t="str">
        <x:v>Health Facilities</x:v>
      </x:c>
      <x:c r="D88" s="63" t="str">
        <x:v>inferred</x:v>
      </x:c>
      <x:c r="E88" s="63" t="str">
        <x:v>Health Care</x:v>
      </x:c>
      <x:c r="F88" s="63" t="str">
        <x:v>Institutional</x:v>
      </x:c>
      <x:c r="G88" s="63" t="str">
        <x:v>Alberta Infrastructure</x:v>
      </x:c>
      <x:c r="H88" s="63" t="str">
        <x:v>Government Or Public Institution Signal</x:v>
      </x:c>
      <x:c r="I88" s="63" t="str">
        <x:v>inferred</x:v>
      </x:c>
      <x:c r="J88" s="63" t="str">
        <x:v>Edmonton</x:v>
      </x:c>
      <x:c r="K88" s="63" t="str">
        <x:v>Proposed</x:v>
      </x:c>
      <x:c r="L88" s="143"/>
      <x:c r="M88" s="179"/>
      <x:c r="N88" s="179"/>
      <x:c r="O88" s="63" t="str">
        <x:v>indeterminate_incomplete_schedule</x:v>
      </x:c>
      <x:c r="P88" s="63" t="str"/>
      <x:c r="Q88" s="143"/>
      <x:c r="R88" s="143"/>
      <x:c r="S88" s="154" t="n">
        <x:v>-113.52643380397456</x:v>
      </x:c>
      <x:c r="T88" s="154" t="n">
        <x:v>53.51870438821886</x:v>
      </x:c>
      <x:c r="U88" s="63" t="str">
        <x:v>reported</x:v>
      </x:c>
      <x:c r="V88" s="63" t="str">
        <x:v>ALBERTA_MAJOR_PROJECTS</x:v>
      </x:c>
      <x:c r="W88" s="63" t="str">
        <x:v>observed</x:v>
      </x:c>
      <x:c r="X88" s="155" t="n">
        <x:v>46265</x:v>
      </x:c>
      <x:c r="Y88" s="63" t="str">
        <x:v>https://www.majorprojects.alberta.ca/</x:v>
      </x:c>
    </x:row>
    <x:row r="89">
      <x:c r="A89" s="63" t="str">
        <x:v>ABMP_4364</x:v>
      </x:c>
      <x:c r="B89" s="63" t="str">
        <x:v>La Crete Maternity and Community Health Centre</x:v>
      </x:c>
      <x:c r="C89" s="63" t="str">
        <x:v>Health Facilities</x:v>
      </x:c>
      <x:c r="D89" s="63" t="str">
        <x:v>inferred</x:v>
      </x:c>
      <x:c r="E89" s="63" t="str">
        <x:v>Health Care</x:v>
      </x:c>
      <x:c r="F89" s="63" t="str">
        <x:v>Institutional</x:v>
      </x:c>
      <x:c r="G89" s="63" t="str">
        <x:v>Alberta Infrastructure</x:v>
      </x:c>
      <x:c r="H89" s="63" t="str">
        <x:v>Government Or Public Institution Signal</x:v>
      </x:c>
      <x:c r="I89" s="63" t="str">
        <x:v>inferred</x:v>
      </x:c>
      <x:c r="J89" s="63" t="str">
        <x:v>Mackenzie County</x:v>
      </x:c>
      <x:c r="K89" s="63" t="str">
        <x:v>Under Construction</x:v>
      </x:c>
      <x:c r="L89" s="143" t="n">
        <x:v>86000000</x:v>
      </x:c>
      <x:c r="M89" s="179" t="n">
        <x:v>2025</x:v>
      </x:c>
      <x:c r="N89" s="179" t="n">
        <x:v>2028</x:v>
      </x:c>
      <x:c r="O89" s="63" t="str">
        <x:v>overlaps</x:v>
      </x:c>
      <x:c r="P89" s="63" t="str">
        <x:v>2027|2028</x:v>
      </x:c>
      <x:c r="Q89" s="143" t="n">
        <x:v>21500000</x:v>
      </x:c>
      <x:c r="R89" s="143" t="n">
        <x:v>43000000</x:v>
      </x:c>
      <x:c r="S89" s="154" t="n">
        <x:v>-116.4206401</x:v>
      </x:c>
      <x:c r="T89" s="154" t="n">
        <x:v>58.1863726</x:v>
      </x:c>
      <x:c r="U89" s="63" t="str">
        <x:v>reported</x:v>
      </x:c>
      <x:c r="V89" s="63" t="str">
        <x:v>ALBERTA_MAJOR_PROJECTS</x:v>
      </x:c>
      <x:c r="W89" s="63" t="str">
        <x:v>observed</x:v>
      </x:c>
      <x:c r="X89" s="155" t="n">
        <x:v>46265</x:v>
      </x:c>
      <x:c r="Y89" s="63" t="str">
        <x:v>https://www.majorprojects.alberta.ca/</x:v>
      </x:c>
    </x:row>
    <x:row r="90">
      <x:c r="A90" s="63" t="str">
        <x:v>ABMP_12024</x:v>
      </x:c>
      <x:c r="B90" s="63" t="str">
        <x:v>Maskwa Medical Center</x:v>
      </x:c>
      <x:c r="C90" s="63" t="str">
        <x:v>Health Facilities</x:v>
      </x:c>
      <x:c r="D90" s="63" t="str">
        <x:v>inferred</x:v>
      </x:c>
      <x:c r="E90" s="63" t="str">
        <x:v>Health Care</x:v>
      </x:c>
      <x:c r="F90" s="63" t="str">
        <x:v>Institutional</x:v>
      </x:c>
      <x:c r="G90" s="63" t="str">
        <x:v>Maskwa Healthcare</x:v>
      </x:c>
      <x:c r="H90" s="63" t="str">
        <x:v>Unresolved</x:v>
      </x:c>
      <x:c r="I90" s="63" t="str">
        <x:v>inferred</x:v>
      </x:c>
      <x:c r="J90" s="63" t="str">
        <x:v>Grande Prairie</x:v>
      </x:c>
      <x:c r="K90" s="63" t="str">
        <x:v>Under Construction</x:v>
      </x:c>
      <x:c r="L90" s="143" t="n">
        <x:v>35000000</x:v>
      </x:c>
      <x:c r="M90" s="179" t="n">
        <x:v>2025</x:v>
      </x:c>
      <x:c r="N90" s="179" t="n">
        <x:v>2027</x:v>
      </x:c>
      <x:c r="O90" s="63" t="str">
        <x:v>overlaps</x:v>
      </x:c>
      <x:c r="P90" s="63" t="str">
        <x:v>2027</x:v>
      </x:c>
      <x:c r="Q90" s="143" t="n">
        <x:v>11666666.666666666</x:v>
      </x:c>
      <x:c r="R90" s="143" t="n">
        <x:v>11666666.666666666</x:v>
      </x:c>
      <x:c r="S90" s="154" t="n">
        <x:v>-118.827717</x:v>
      </x:c>
      <x:c r="T90" s="154" t="n">
        <x:v>55.179351</x:v>
      </x:c>
      <x:c r="U90" s="63" t="str">
        <x:v>reported</x:v>
      </x:c>
      <x:c r="V90" s="63" t="str">
        <x:v>ALBERTA_MAJOR_PROJECTS</x:v>
      </x:c>
      <x:c r="W90" s="63" t="str">
        <x:v>observed</x:v>
      </x:c>
      <x:c r="X90" s="155" t="n">
        <x:v>46265</x:v>
      </x:c>
      <x:c r="Y90" s="63" t="str">
        <x:v>https://www.majorprojects.alberta.ca/</x:v>
      </x:c>
    </x:row>
    <x:row r="91">
      <x:c r="A91" s="63" t="str">
        <x:v>ABMP_11780</x:v>
      </x:c>
      <x:c r="B91" s="63" t="str">
        <x:v>Mazankowski Heart Institute Shelled Space Planning</x:v>
      </x:c>
      <x:c r="C91" s="63" t="str">
        <x:v>Health Facilities</x:v>
      </x:c>
      <x:c r="D91" s="63" t="str">
        <x:v>inferred</x:v>
      </x:c>
      <x:c r="E91" s="63" t="str">
        <x:v>Health Care</x:v>
      </x:c>
      <x:c r="F91" s="63" t="str">
        <x:v>Institutional</x:v>
      </x:c>
      <x:c r="G91" s="63" t="str">
        <x:v>Alberta Infrastructure</x:v>
      </x:c>
      <x:c r="H91" s="63" t="str">
        <x:v>Government Or Public Institution Signal</x:v>
      </x:c>
      <x:c r="I91" s="63" t="str">
        <x:v>inferred</x:v>
      </x:c>
      <x:c r="J91" s="63" t="str">
        <x:v>Edmonton</x:v>
      </x:c>
      <x:c r="K91" s="63" t="str">
        <x:v>Proposed</x:v>
      </x:c>
      <x:c r="L91" s="143"/>
      <x:c r="M91" s="179"/>
      <x:c r="N91" s="179"/>
      <x:c r="O91" s="63" t="str">
        <x:v>indeterminate_incomplete_schedule</x:v>
      </x:c>
      <x:c r="P91" s="63" t="str"/>
      <x:c r="Q91" s="143"/>
      <x:c r="R91" s="143"/>
      <x:c r="S91" s="154" t="n">
        <x:v>-113.526577</x:v>
      </x:c>
      <x:c r="T91" s="154" t="n">
        <x:v>53.519152</x:v>
      </x:c>
      <x:c r="U91" s="63" t="str">
        <x:v>reported</x:v>
      </x:c>
      <x:c r="V91" s="63" t="str">
        <x:v>ALBERTA_MAJOR_PROJECTS</x:v>
      </x:c>
      <x:c r="W91" s="63" t="str">
        <x:v>observed</x:v>
      </x:c>
      <x:c r="X91" s="155" t="n">
        <x:v>46265</x:v>
      </x:c>
      <x:c r="Y91" s="63" t="str">
        <x:v>https://www.majorprojects.alberta.ca/</x:v>
      </x:c>
    </x:row>
    <x:row r="92">
      <x:c r="A92" s="63" t="str">
        <x:v>ABMP_10982</x:v>
      </x:c>
      <x:c r="B92" s="63" t="str">
        <x:v>Medical Device Reprocessing (MDR) Upgrades Program - Phase 1 (1 - Foothills Medical Centre)</x:v>
      </x:c>
      <x:c r="C92" s="63" t="str">
        <x:v>Health Facilities</x:v>
      </x:c>
      <x:c r="D92" s="63" t="str">
        <x:v>inferred</x:v>
      </x:c>
      <x:c r="E92" s="63" t="str">
        <x:v>Health Care</x:v>
      </x:c>
      <x:c r="F92" s="63" t="str">
        <x:v>Institutional</x:v>
      </x:c>
      <x:c r="G92" s="63" t="str">
        <x:v>Alberta Infrastructure</x:v>
      </x:c>
      <x:c r="H92" s="63" t="str">
        <x:v>Government Or Public Institution Signal</x:v>
      </x:c>
      <x:c r="I92" s="63" t="str">
        <x:v>inferred</x:v>
      </x:c>
      <x:c r="J92" s="63" t="str">
        <x:v>Calgary</x:v>
      </x:c>
      <x:c r="K92" s="63" t="str">
        <x:v>Under Construction</x:v>
      </x:c>
      <x:c r="L92" s="143"/>
      <x:c r="M92" s="179" t="n">
        <x:v>2025</x:v>
      </x:c>
      <x:c r="N92" s="179" t="n">
        <x:v>2026</x:v>
      </x:c>
      <x:c r="O92" s="63" t="str">
        <x:v>outside_window</x:v>
      </x:c>
      <x:c r="P92" s="63" t="str"/>
      <x:c r="Q92" s="143"/>
      <x:c r="R92" s="143"/>
      <x:c r="S92" s="154" t="n">
        <x:v>-114.133991</x:v>
      </x:c>
      <x:c r="T92" s="154" t="n">
        <x:v>51.064887</x:v>
      </x:c>
      <x:c r="U92" s="63" t="str">
        <x:v>reported</x:v>
      </x:c>
      <x:c r="V92" s="63" t="str">
        <x:v>ALBERTA_MAJOR_PROJECTS</x:v>
      </x:c>
      <x:c r="W92" s="63" t="str">
        <x:v>observed</x:v>
      </x:c>
      <x:c r="X92" s="155" t="n">
        <x:v>46265</x:v>
      </x:c>
      <x:c r="Y92" s="63" t="str">
        <x:v>https://www.majorprojects.alberta.ca/</x:v>
      </x:c>
    </x:row>
    <x:row r="93">
      <x:c r="A93" s="63" t="str">
        <x:v>ABMP_11507</x:v>
      </x:c>
      <x:c r="B93" s="63" t="str">
        <x:v>Medical Device Reprocessing (MDR) Upgrades Program - Phase 1 (4 - Northern Lights)</x:v>
      </x:c>
      <x:c r="C93" s="63" t="str">
        <x:v>Health Facilities</x:v>
      </x:c>
      <x:c r="D93" s="63" t="str">
        <x:v>inferred</x:v>
      </x:c>
      <x:c r="E93" s="63" t="str">
        <x:v>Health Care</x:v>
      </x:c>
      <x:c r="F93" s="63" t="str">
        <x:v>Institutional</x:v>
      </x:c>
      <x:c r="G93" s="63" t="str">
        <x:v>Alberta Infrastructure</x:v>
      </x:c>
      <x:c r="H93" s="63" t="str">
        <x:v>Government Or Public Institution Signal</x:v>
      </x:c>
      <x:c r="I93" s="63" t="str">
        <x:v>inferred</x:v>
      </x:c>
      <x:c r="J93" s="63" t="str">
        <x:v>Wood Buffalo</x:v>
      </x:c>
      <x:c r="K93" s="63" t="str">
        <x:v>Under Construction</x:v>
      </x:c>
      <x:c r="L93" s="143"/>
      <x:c r="M93" s="179" t="n">
        <x:v>2025</x:v>
      </x:c>
      <x:c r="N93" s="179" t="n">
        <x:v>2027</x:v>
      </x:c>
      <x:c r="O93" s="63" t="str">
        <x:v>overlaps</x:v>
      </x:c>
      <x:c r="P93" s="63" t="str">
        <x:v>2027</x:v>
      </x:c>
      <x:c r="Q93" s="143"/>
      <x:c r="R93" s="143"/>
      <x:c r="S93" s="154" t="n">
        <x:v>-111.3646615</x:v>
      </x:c>
      <x:c r="T93" s="154" t="n">
        <x:v>56.7174757</x:v>
      </x:c>
      <x:c r="U93" s="63" t="str">
        <x:v>reported</x:v>
      </x:c>
      <x:c r="V93" s="63" t="str">
        <x:v>ALBERTA_MAJOR_PROJECTS</x:v>
      </x:c>
      <x:c r="W93" s="63" t="str">
        <x:v>observed</x:v>
      </x:c>
      <x:c r="X93" s="155" t="n">
        <x:v>46265</x:v>
      </x:c>
      <x:c r="Y93" s="63" t="str">
        <x:v>https://www.majorprojects.alberta.ca/</x:v>
      </x:c>
    </x:row>
    <x:row r="94">
      <x:c r="A94" s="63" t="str">
        <x:v>ABMP_10951</x:v>
      </x:c>
      <x:c r="B94" s="63" t="str">
        <x:v>Medical Device Reprocessing (MDR) Upgrades Program - Phase 1 (5 - Westlock)</x:v>
      </x:c>
      <x:c r="C94" s="63" t="str">
        <x:v>Health Facilities</x:v>
      </x:c>
      <x:c r="D94" s="63" t="str">
        <x:v>inferred</x:v>
      </x:c>
      <x:c r="E94" s="63" t="str">
        <x:v>Health Care</x:v>
      </x:c>
      <x:c r="F94" s="63" t="str">
        <x:v>Institutional</x:v>
      </x:c>
      <x:c r="G94" s="63" t="str">
        <x:v>Alberta Infrastructure</x:v>
      </x:c>
      <x:c r="H94" s="63" t="str">
        <x:v>Government Or Public Institution Signal</x:v>
      </x:c>
      <x:c r="I94" s="63" t="str">
        <x:v>inferred</x:v>
      </x:c>
      <x:c r="J94" s="63" t="str">
        <x:v>Westlock</x:v>
      </x:c>
      <x:c r="K94" s="63" t="str">
        <x:v>Proposed</x:v>
      </x:c>
      <x:c r="L94" s="143"/>
      <x:c r="M94" s="179" t="n">
        <x:v>2026</x:v>
      </x:c>
      <x:c r="N94" s="179" t="n">
        <x:v>2028</x:v>
      </x:c>
      <x:c r="O94" s="63" t="str">
        <x:v>overlaps</x:v>
      </x:c>
      <x:c r="P94" s="63" t="str">
        <x:v>2027|2028</x:v>
      </x:c>
      <x:c r="Q94" s="143"/>
      <x:c r="R94" s="143"/>
      <x:c r="S94" s="154" t="n">
        <x:v>-113.854022</x:v>
      </x:c>
      <x:c r="T94" s="154" t="n">
        <x:v>54.147137</x:v>
      </x:c>
      <x:c r="U94" s="63" t="str">
        <x:v>reported</x:v>
      </x:c>
      <x:c r="V94" s="63" t="str">
        <x:v>ALBERTA_MAJOR_PROJECTS</x:v>
      </x:c>
      <x:c r="W94" s="63" t="str">
        <x:v>observed</x:v>
      </x:c>
      <x:c r="X94" s="155" t="n">
        <x:v>46265</x:v>
      </x:c>
      <x:c r="Y94" s="63" t="str">
        <x:v>https://www.majorprojects.alberta.ca/</x:v>
      </x:c>
    </x:row>
    <x:row r="95">
      <x:c r="A95" s="63" t="str">
        <x:v>ABMP_10952</x:v>
      </x:c>
      <x:c r="B95" s="63" t="str">
        <x:v>Medical Device Reprocessing (MDR) Upgrades Program - Phase 1 (6 - Sturgeon)</x:v>
      </x:c>
      <x:c r="C95" s="63" t="str">
        <x:v>Health Facilities</x:v>
      </x:c>
      <x:c r="D95" s="63" t="str">
        <x:v>inferred</x:v>
      </x:c>
      <x:c r="E95" s="63" t="str">
        <x:v>Health Care</x:v>
      </x:c>
      <x:c r="F95" s="63" t="str">
        <x:v>Institutional</x:v>
      </x:c>
      <x:c r="G95" s="63" t="str">
        <x:v>Alberta Infrastructure</x:v>
      </x:c>
      <x:c r="H95" s="63" t="str">
        <x:v>Government Or Public Institution Signal</x:v>
      </x:c>
      <x:c r="I95" s="63" t="str">
        <x:v>inferred</x:v>
      </x:c>
      <x:c r="J95" s="63" t="str">
        <x:v>St. Albert</x:v>
      </x:c>
      <x:c r="K95" s="63" t="str">
        <x:v>Proposed</x:v>
      </x:c>
      <x:c r="L95" s="143"/>
      <x:c r="M95" s="179" t="n">
        <x:v>2027</x:v>
      </x:c>
      <x:c r="N95" s="179" t="n">
        <x:v>2030</x:v>
      </x:c>
      <x:c r="O95" s="63" t="str">
        <x:v>overlaps</x:v>
      </x:c>
      <x:c r="P95" s="63" t="str">
        <x:v>2027|2028|2029|2030</x:v>
      </x:c>
      <x:c r="Q95" s="143"/>
      <x:c r="R95" s="143"/>
      <x:c r="S95" s="154" t="n">
        <x:v>-113.6278997</x:v>
      </x:c>
      <x:c r="T95" s="154" t="n">
        <x:v>53.6552432</x:v>
      </x:c>
      <x:c r="U95" s="63" t="str">
        <x:v>reported</x:v>
      </x:c>
      <x:c r="V95" s="63" t="str">
        <x:v>ALBERTA_MAJOR_PROJECTS</x:v>
      </x:c>
      <x:c r="W95" s="63" t="str">
        <x:v>observed</x:v>
      </x:c>
      <x:c r="X95" s="155" t="n">
        <x:v>46265</x:v>
      </x:c>
      <x:c r="Y95" s="63" t="str">
        <x:v>https://www.majorprojects.alberta.ca/</x:v>
      </x:c>
    </x:row>
    <x:row r="96">
      <x:c r="A96" s="63" t="str">
        <x:v>ABMP_11368</x:v>
      </x:c>
      <x:c r="B96" s="63" t="str">
        <x:v>Medical Device Reprocessing (MDR) Upgrades Program - Phase 1 (7 - Royal Alexandra)</x:v>
      </x:c>
      <x:c r="C96" s="63" t="str">
        <x:v>Health Facilities</x:v>
      </x:c>
      <x:c r="D96" s="63" t="str">
        <x:v>inferred</x:v>
      </x:c>
      <x:c r="E96" s="63" t="str">
        <x:v>Health Care</x:v>
      </x:c>
      <x:c r="F96" s="63" t="str">
        <x:v>Institutional</x:v>
      </x:c>
      <x:c r="G96" s="63" t="str">
        <x:v>Alberta Infrastructure</x:v>
      </x:c>
      <x:c r="H96" s="63" t="str">
        <x:v>Government Or Public Institution Signal</x:v>
      </x:c>
      <x:c r="I96" s="63" t="str">
        <x:v>inferred</x:v>
      </x:c>
      <x:c r="J96" s="63" t="str">
        <x:v>Edmonton</x:v>
      </x:c>
      <x:c r="K96" s="63" t="str">
        <x:v>Proposed</x:v>
      </x:c>
      <x:c r="L96" s="143"/>
      <x:c r="M96" s="179"/>
      <x:c r="N96" s="179"/>
      <x:c r="O96" s="63" t="str">
        <x:v>indeterminate_incomplete_schedule</x:v>
      </x:c>
      <x:c r="P96" s="63" t="str"/>
      <x:c r="Q96" s="143"/>
      <x:c r="R96" s="143"/>
      <x:c r="S96" s="154" t="n">
        <x:v>-113.500347</x:v>
      </x:c>
      <x:c r="T96" s="154" t="n">
        <x:v>53.557387</x:v>
      </x:c>
      <x:c r="U96" s="63" t="str">
        <x:v>reported</x:v>
      </x:c>
      <x:c r="V96" s="63" t="str">
        <x:v>ALBERTA_MAJOR_PROJECTS</x:v>
      </x:c>
      <x:c r="W96" s="63" t="str">
        <x:v>observed</x:v>
      </x:c>
      <x:c r="X96" s="155" t="n">
        <x:v>46265</x:v>
      </x:c>
      <x:c r="Y96" s="63" t="str">
        <x:v>https://www.majorprojects.alberta.ca/</x:v>
      </x:c>
    </x:row>
    <x:row r="97">
      <x:c r="A97" s="63" t="str">
        <x:v>ABMP_11366</x:v>
      </x:c>
      <x:c r="B97" s="63" t="str">
        <x:v>Medical Device Reprocessing (MDR) Upgrades Program - Phase 2 (1 - Misericordia Community Hospital)</x:v>
      </x:c>
      <x:c r="C97" s="63" t="str">
        <x:v>Health Facilities</x:v>
      </x:c>
      <x:c r="D97" s="63" t="str">
        <x:v>inferred</x:v>
      </x:c>
      <x:c r="E97" s="63" t="str">
        <x:v>Health Care</x:v>
      </x:c>
      <x:c r="F97" s="63" t="str">
        <x:v>Institutional</x:v>
      </x:c>
      <x:c r="G97" s="63" t="str">
        <x:v>Alberta Infrastructure</x:v>
      </x:c>
      <x:c r="H97" s="63" t="str">
        <x:v>Government Or Public Institution Signal</x:v>
      </x:c>
      <x:c r="I97" s="63" t="str">
        <x:v>inferred</x:v>
      </x:c>
      <x:c r="J97" s="63" t="str">
        <x:v>Edmonton</x:v>
      </x:c>
      <x:c r="K97" s="63" t="str">
        <x:v>Under Construction</x:v>
      </x:c>
      <x:c r="L97" s="143"/>
      <x:c r="M97" s="179" t="n">
        <x:v>2026</x:v>
      </x:c>
      <x:c r="N97" s="179" t="n">
        <x:v>2029</x:v>
      </x:c>
      <x:c r="O97" s="63" t="str">
        <x:v>overlaps</x:v>
      </x:c>
      <x:c r="P97" s="63" t="str">
        <x:v>2027|2028|2029</x:v>
      </x:c>
      <x:c r="Q97" s="143"/>
      <x:c r="R97" s="143"/>
      <x:c r="S97" s="154" t="n">
        <x:v>-113.6146425</x:v>
      </x:c>
      <x:c r="T97" s="154" t="n">
        <x:v>53.5209026</x:v>
      </x:c>
      <x:c r="U97" s="63" t="str">
        <x:v>reported</x:v>
      </x:c>
      <x:c r="V97" s="63" t="str">
        <x:v>ALBERTA_MAJOR_PROJECTS</x:v>
      </x:c>
      <x:c r="W97" s="63" t="str">
        <x:v>observed</x:v>
      </x:c>
      <x:c r="X97" s="155" t="n">
        <x:v>46265</x:v>
      </x:c>
      <x:c r="Y97" s="63" t="str">
        <x:v>https://www.majorprojects.alberta.ca/</x:v>
      </x:c>
    </x:row>
    <x:row r="98">
      <x:c r="A98" s="63" t="str">
        <x:v>ABMP_11367</x:v>
      </x:c>
      <x:c r="B98" s="63" t="str">
        <x:v>Medical Device Reprocessing (MDR) Upgrades Program - Phase 2 (2 - Grey Nuns Community Hospital)</x:v>
      </x:c>
      <x:c r="C98" s="63" t="str">
        <x:v>Health Facilities</x:v>
      </x:c>
      <x:c r="D98" s="63" t="str">
        <x:v>inferred</x:v>
      </x:c>
      <x:c r="E98" s="63" t="str">
        <x:v>Health Care</x:v>
      </x:c>
      <x:c r="F98" s="63" t="str">
        <x:v>Institutional</x:v>
      </x:c>
      <x:c r="G98" s="63" t="str">
        <x:v>Alberta Infrastructure</x:v>
      </x:c>
      <x:c r="H98" s="63" t="str">
        <x:v>Government Or Public Institution Signal</x:v>
      </x:c>
      <x:c r="I98" s="63" t="str">
        <x:v>inferred</x:v>
      </x:c>
      <x:c r="J98" s="63" t="str">
        <x:v>Edmonton</x:v>
      </x:c>
      <x:c r="K98" s="63" t="str">
        <x:v>Under Construction</x:v>
      </x:c>
      <x:c r="L98" s="143"/>
      <x:c r="M98" s="179" t="n">
        <x:v>2026</x:v>
      </x:c>
      <x:c r="N98" s="179" t="n">
        <x:v>2028</x:v>
      </x:c>
      <x:c r="O98" s="63" t="str">
        <x:v>overlaps</x:v>
      </x:c>
      <x:c r="P98" s="63" t="str">
        <x:v>2027|2028</x:v>
      </x:c>
      <x:c r="Q98" s="143"/>
      <x:c r="R98" s="143"/>
      <x:c r="S98" s="154" t="n">
        <x:v>-113.4322701</x:v>
      </x:c>
      <x:c r="T98" s="154" t="n">
        <x:v>53.4620819</x:v>
      </x:c>
      <x:c r="U98" s="63" t="str">
        <x:v>reported</x:v>
      </x:c>
      <x:c r="V98" s="63" t="str">
        <x:v>ALBERTA_MAJOR_PROJECTS</x:v>
      </x:c>
      <x:c r="W98" s="63" t="str">
        <x:v>observed</x:v>
      </x:c>
      <x:c r="X98" s="155" t="n">
        <x:v>46265</x:v>
      </x:c>
      <x:c r="Y98" s="63" t="str">
        <x:v>https://www.majorprojects.alberta.ca/</x:v>
      </x:c>
    </x:row>
    <x:row r="99">
      <x:c r="A99" s="63" t="str">
        <x:v>ABMP_11365</x:v>
      </x:c>
      <x:c r="B99" s="63" t="str">
        <x:v>Medical Device Reprocessing (MDR) Upgrades Program - Phase 2 (3 - Alberta Children's Hospital)</x:v>
      </x:c>
      <x:c r="C99" s="63" t="str">
        <x:v>Health Facilities</x:v>
      </x:c>
      <x:c r="D99" s="63" t="str">
        <x:v>inferred</x:v>
      </x:c>
      <x:c r="E99" s="63" t="str">
        <x:v>Health Care</x:v>
      </x:c>
      <x:c r="F99" s="63" t="str">
        <x:v>Institutional</x:v>
      </x:c>
      <x:c r="G99" s="63" t="str">
        <x:v>Alberta Infrastructure</x:v>
      </x:c>
      <x:c r="H99" s="63" t="str">
        <x:v>Government Or Public Institution Signal</x:v>
      </x:c>
      <x:c r="I99" s="63" t="str">
        <x:v>inferred</x:v>
      </x:c>
      <x:c r="J99" s="63" t="str">
        <x:v>Calgary</x:v>
      </x:c>
      <x:c r="K99" s="63" t="str">
        <x:v>Proposed</x:v>
      </x:c>
      <x:c r="L99" s="143"/>
      <x:c r="M99" s="179"/>
      <x:c r="N99" s="179"/>
      <x:c r="O99" s="63" t="str">
        <x:v>indeterminate_incomplete_schedule</x:v>
      </x:c>
      <x:c r="P99" s="63" t="str"/>
      <x:c r="Q99" s="143"/>
      <x:c r="R99" s="143"/>
      <x:c r="S99" s="154" t="n">
        <x:v>-114.151005</x:v>
      </x:c>
      <x:c r="T99" s="154" t="n">
        <x:v>51.0746227</x:v>
      </x:c>
      <x:c r="U99" s="63" t="str">
        <x:v>reported</x:v>
      </x:c>
      <x:c r="V99" s="63" t="str">
        <x:v>ALBERTA_MAJOR_PROJECTS</x:v>
      </x:c>
      <x:c r="W99" s="63" t="str">
        <x:v>observed</x:v>
      </x:c>
      <x:c r="X99" s="155" t="n">
        <x:v>46265</x:v>
      </x:c>
      <x:c r="Y99" s="63" t="str">
        <x:v>https://www.majorprojects.alberta.ca/</x:v>
      </x:c>
    </x:row>
    <x:row r="100">
      <x:c r="A100" s="63" t="str">
        <x:v>ABMP_11364</x:v>
      </x:c>
      <x:c r="B100" s="63" t="str">
        <x:v>Medical Device Reprocessing (MDR) Upgrades Program - Phase 2 (4 - Drumheller Health Centre)</x:v>
      </x:c>
      <x:c r="C100" s="63" t="str">
        <x:v>Health Facilities</x:v>
      </x:c>
      <x:c r="D100" s="63" t="str">
        <x:v>inferred</x:v>
      </x:c>
      <x:c r="E100" s="63" t="str">
        <x:v>Health Care</x:v>
      </x:c>
      <x:c r="F100" s="63" t="str">
        <x:v>Institutional</x:v>
      </x:c>
      <x:c r="G100" s="63" t="str">
        <x:v>Alberta Infrastructure</x:v>
      </x:c>
      <x:c r="H100" s="63" t="str">
        <x:v>Government Or Public Institution Signal</x:v>
      </x:c>
      <x:c r="I100" s="63" t="str">
        <x:v>inferred</x:v>
      </x:c>
      <x:c r="J100" s="63" t="str">
        <x:v>Drumheller</x:v>
      </x:c>
      <x:c r="K100" s="63" t="str">
        <x:v>Proposed</x:v>
      </x:c>
      <x:c r="L100" s="143"/>
      <x:c r="M100" s="179"/>
      <x:c r="N100" s="179"/>
      <x:c r="O100" s="63" t="str">
        <x:v>indeterminate_incomplete_schedule</x:v>
      </x:c>
      <x:c r="P100" s="63" t="str"/>
      <x:c r="Q100" s="143"/>
      <x:c r="R100" s="143"/>
      <x:c r="S100" s="154" t="n">
        <x:v>-112.7285092</x:v>
      </x:c>
      <x:c r="T100" s="154" t="n">
        <x:v>51.4698106</x:v>
      </x:c>
      <x:c r="U100" s="63" t="str">
        <x:v>reported</x:v>
      </x:c>
      <x:c r="V100" s="63" t="str">
        <x:v>ALBERTA_MAJOR_PROJECTS</x:v>
      </x:c>
      <x:c r="W100" s="63" t="str">
        <x:v>observed</x:v>
      </x:c>
      <x:c r="X100" s="155" t="n">
        <x:v>46265</x:v>
      </x:c>
      <x:c r="Y100" s="63" t="str">
        <x:v>https://www.majorprojects.alberta.ca/</x:v>
      </x:c>
    </x:row>
    <x:row r="101">
      <x:c r="A101" s="63" t="str">
        <x:v>ABMP_11665</x:v>
      </x:c>
      <x:c r="B101" s="63" t="str">
        <x:v>Medical Device Reprocessing (MDR) Upgrades Program - Phase 2 (5 - Rockyview General Hospital)</x:v>
      </x:c>
      <x:c r="C101" s="63" t="str">
        <x:v>Health Facilities</x:v>
      </x:c>
      <x:c r="D101" s="63" t="str">
        <x:v>inferred</x:v>
      </x:c>
      <x:c r="E101" s="63" t="str">
        <x:v>Health Care</x:v>
      </x:c>
      <x:c r="F101" s="63" t="str">
        <x:v>Institutional</x:v>
      </x:c>
      <x:c r="G101" s="63" t="str">
        <x:v>Alberta Infrastructure</x:v>
      </x:c>
      <x:c r="H101" s="63" t="str">
        <x:v>Government Or Public Institution Signal</x:v>
      </x:c>
      <x:c r="I101" s="63" t="str">
        <x:v>inferred</x:v>
      </x:c>
      <x:c r="J101" s="63" t="str">
        <x:v>Calgary</x:v>
      </x:c>
      <x:c r="K101" s="63" t="str">
        <x:v>Proposed</x:v>
      </x:c>
      <x:c r="L101" s="143"/>
      <x:c r="M101" s="179"/>
      <x:c r="N101" s="179"/>
      <x:c r="O101" s="63" t="str">
        <x:v>indeterminate_incomplete_schedule</x:v>
      </x:c>
      <x:c r="P101" s="63" t="str"/>
      <x:c r="Q101" s="143"/>
      <x:c r="R101" s="143"/>
      <x:c r="S101" s="154" t="n">
        <x:v>-114.098103</x:v>
      </x:c>
      <x:c r="T101" s="154" t="n">
        <x:v>50.989088</x:v>
      </x:c>
      <x:c r="U101" s="63" t="str">
        <x:v>reported</x:v>
      </x:c>
      <x:c r="V101" s="63" t="str">
        <x:v>ALBERTA_MAJOR_PROJECTS</x:v>
      </x:c>
      <x:c r="W101" s="63" t="str">
        <x:v>observed</x:v>
      </x:c>
      <x:c r="X101" s="155" t="n">
        <x:v>46265</x:v>
      </x:c>
      <x:c r="Y101" s="63" t="str">
        <x:v>https://www.majorprojects.alberta.ca/</x:v>
      </x:c>
    </x:row>
    <x:row r="102">
      <x:c r="A102" s="63" t="str">
        <x:v>ABMP_11781</x:v>
      </x:c>
      <x:c r="B102" s="63" t="str">
        <x:v>Medical Device Reprocessing (MDR) Upgrades Program - Phase 2 (6 - Barrhead Healthcare Centre)</x:v>
      </x:c>
      <x:c r="C102" s="63" t="str">
        <x:v>Health Facilities</x:v>
      </x:c>
      <x:c r="D102" s="63" t="str">
        <x:v>inferred</x:v>
      </x:c>
      <x:c r="E102" s="63" t="str">
        <x:v>Health Care</x:v>
      </x:c>
      <x:c r="F102" s="63" t="str">
        <x:v>Institutional</x:v>
      </x:c>
      <x:c r="G102" s="63" t="str">
        <x:v>Alberta Infrastructure</x:v>
      </x:c>
      <x:c r="H102" s="63" t="str">
        <x:v>Government Or Public Institution Signal</x:v>
      </x:c>
      <x:c r="I102" s="63" t="str">
        <x:v>inferred</x:v>
      </x:c>
      <x:c r="J102" s="63" t="str">
        <x:v>Barrhead</x:v>
      </x:c>
      <x:c r="K102" s="63" t="str">
        <x:v>Proposed</x:v>
      </x:c>
      <x:c r="L102" s="143"/>
      <x:c r="M102" s="179"/>
      <x:c r="N102" s="179"/>
      <x:c r="O102" s="63" t="str">
        <x:v>indeterminate_incomplete_schedule</x:v>
      </x:c>
      <x:c r="P102" s="63" t="str"/>
      <x:c r="Q102" s="143"/>
      <x:c r="R102" s="143"/>
      <x:c r="S102" s="154" t="n">
        <x:v>-114.4000054</x:v>
      </x:c>
      <x:c r="T102" s="154" t="n">
        <x:v>54.1189739</x:v>
      </x:c>
      <x:c r="U102" s="63" t="str">
        <x:v>reported</x:v>
      </x:c>
      <x:c r="V102" s="63" t="str">
        <x:v>ALBERTA_MAJOR_PROJECTS</x:v>
      </x:c>
      <x:c r="W102" s="63" t="str">
        <x:v>observed</x:v>
      </x:c>
      <x:c r="X102" s="155" t="n">
        <x:v>46265</x:v>
      </x:c>
      <x:c r="Y102" s="63" t="str">
        <x:v>https://www.majorprojects.alberta.ca/</x:v>
      </x:c>
    </x:row>
    <x:row r="103">
      <x:c r="A103" s="63" t="str">
        <x:v>ABMP_11782</x:v>
      </x:c>
      <x:c r="B103" s="63" t="str">
        <x:v>Medical Device Reprocessing (MDR) Upgrades Program - Phase 2 (7 - Mazankowski Alberta Health Institute)</x:v>
      </x:c>
      <x:c r="C103" s="63" t="str">
        <x:v>Health Facilities</x:v>
      </x:c>
      <x:c r="D103" s="63" t="str">
        <x:v>inferred</x:v>
      </x:c>
      <x:c r="E103" s="63" t="str">
        <x:v>Health Care</x:v>
      </x:c>
      <x:c r="F103" s="63" t="str">
        <x:v>Institutional</x:v>
      </x:c>
      <x:c r="G103" s="63" t="str">
        <x:v>Alberta Infrastructure</x:v>
      </x:c>
      <x:c r="H103" s="63" t="str">
        <x:v>Government Or Public Institution Signal</x:v>
      </x:c>
      <x:c r="I103" s="63" t="str">
        <x:v>inferred</x:v>
      </x:c>
      <x:c r="J103" s="63" t="str">
        <x:v>Edmonton</x:v>
      </x:c>
      <x:c r="K103" s="63" t="str">
        <x:v>Proposed</x:v>
      </x:c>
      <x:c r="L103" s="143"/>
      <x:c r="M103" s="179"/>
      <x:c r="N103" s="179"/>
      <x:c r="O103" s="63" t="str">
        <x:v>indeterminate_incomplete_schedule</x:v>
      </x:c>
      <x:c r="P103" s="63" t="str"/>
      <x:c r="Q103" s="143"/>
      <x:c r="R103" s="143"/>
      <x:c r="S103" s="154" t="n">
        <x:v>-113.525</x:v>
      </x:c>
      <x:c r="T103" s="154" t="n">
        <x:v>53.5201841</x:v>
      </x:c>
      <x:c r="U103" s="63" t="str">
        <x:v>reported</x:v>
      </x:c>
      <x:c r="V103" s="63" t="str">
        <x:v>ALBERTA_MAJOR_PROJECTS</x:v>
      </x:c>
      <x:c r="W103" s="63" t="str">
        <x:v>observed</x:v>
      </x:c>
      <x:c r="X103" s="155" t="n">
        <x:v>46265</x:v>
      </x:c>
      <x:c r="Y103" s="63" t="str">
        <x:v>https://www.majorprojects.alberta.ca/</x:v>
      </x:c>
    </x:row>
    <x:row r="104">
      <x:c r="A104" s="63" t="str">
        <x:v>ABMP_11783</x:v>
      </x:c>
      <x:c r="B104" s="63" t="str">
        <x:v>Medical Device Reprocessing (MDR) Upgrades Program - Phase 2 (8 - Cross Cancer Institute)</x:v>
      </x:c>
      <x:c r="C104" s="63" t="str">
        <x:v>Health Facilities</x:v>
      </x:c>
      <x:c r="D104" s="63" t="str">
        <x:v>inferred</x:v>
      </x:c>
      <x:c r="E104" s="63" t="str">
        <x:v>Health Care</x:v>
      </x:c>
      <x:c r="F104" s="63" t="str">
        <x:v>Institutional</x:v>
      </x:c>
      <x:c r="G104" s="63" t="str">
        <x:v>Alberta Infrastructure</x:v>
      </x:c>
      <x:c r="H104" s="63" t="str">
        <x:v>Government Or Public Institution Signal</x:v>
      </x:c>
      <x:c r="I104" s="63" t="str">
        <x:v>inferred</x:v>
      </x:c>
      <x:c r="J104" s="63" t="str">
        <x:v>Edmonton</x:v>
      </x:c>
      <x:c r="K104" s="63" t="str">
        <x:v>Proposed</x:v>
      </x:c>
      <x:c r="L104" s="143"/>
      <x:c r="M104" s="179"/>
      <x:c r="N104" s="179"/>
      <x:c r="O104" s="63" t="str">
        <x:v>indeterminate_incomplete_schedule</x:v>
      </x:c>
      <x:c r="P104" s="63" t="str"/>
      <x:c r="Q104" s="143"/>
      <x:c r="R104" s="143"/>
      <x:c r="S104" s="154" t="n">
        <x:v>-113.5335978</x:v>
      </x:c>
      <x:c r="T104" s="154" t="n">
        <x:v>53.5182315</x:v>
      </x:c>
      <x:c r="U104" s="63" t="str">
        <x:v>reported</x:v>
      </x:c>
      <x:c r="V104" s="63" t="str">
        <x:v>ALBERTA_MAJOR_PROJECTS</x:v>
      </x:c>
      <x:c r="W104" s="63" t="str">
        <x:v>observed</x:v>
      </x:c>
      <x:c r="X104" s="155" t="n">
        <x:v>46265</x:v>
      </x:c>
      <x:c r="Y104" s="63" t="str">
        <x:v>https://www.majorprojects.alberta.ca/</x:v>
      </x:c>
    </x:row>
    <x:row r="105">
      <x:c r="A105" s="63" t="str">
        <x:v>ABMP_11784</x:v>
      </x:c>
      <x:c r="B105" s="63" t="str">
        <x:v>Medical Device Reprocessing (MDR) Upgrades Program - Phase 2 (University of Alberta Hospital)</x:v>
      </x:c>
      <x:c r="C105" s="63" t="str">
        <x:v>Health Facilities</x:v>
      </x:c>
      <x:c r="D105" s="63" t="str">
        <x:v>inferred</x:v>
      </x:c>
      <x:c r="E105" s="63" t="str">
        <x:v>Health Care</x:v>
      </x:c>
      <x:c r="F105" s="63" t="str">
        <x:v>Institutional</x:v>
      </x:c>
      <x:c r="G105" s="63" t="str">
        <x:v>Alberta Infrastructure</x:v>
      </x:c>
      <x:c r="H105" s="63" t="str">
        <x:v>Government Or Public Institution Signal</x:v>
      </x:c>
      <x:c r="I105" s="63" t="str">
        <x:v>inferred</x:v>
      </x:c>
      <x:c r="J105" s="63" t="str">
        <x:v>Edmonton</x:v>
      </x:c>
      <x:c r="K105" s="63" t="str">
        <x:v>Proposed</x:v>
      </x:c>
      <x:c r="L105" s="143"/>
      <x:c r="M105" s="179"/>
      <x:c r="N105" s="179"/>
      <x:c r="O105" s="63" t="str">
        <x:v>indeterminate_incomplete_schedule</x:v>
      </x:c>
      <x:c r="P105" s="63" t="str"/>
      <x:c r="Q105" s="143"/>
      <x:c r="R105" s="143"/>
      <x:c r="S105" s="154" t="n">
        <x:v>-113.526</x:v>
      </x:c>
      <x:c r="T105" s="154" t="n">
        <x:v>53.5207648</x:v>
      </x:c>
      <x:c r="U105" s="63" t="str">
        <x:v>reported</x:v>
      </x:c>
      <x:c r="V105" s="63" t="str">
        <x:v>ALBERTA_MAJOR_PROJECTS</x:v>
      </x:c>
      <x:c r="W105" s="63" t="str">
        <x:v>observed</x:v>
      </x:c>
      <x:c r="X105" s="155" t="n">
        <x:v>46265</x:v>
      </x:c>
      <x:c r="Y105" s="63" t="str">
        <x:v>https://www.majorprojects.alberta.ca/</x:v>
      </x:c>
    </x:row>
    <x:row r="106">
      <x:c r="A106" s="63" t="str">
        <x:v>ABMP_11870</x:v>
      </x:c>
      <x:c r="B106" s="63" t="str">
        <x:v>Mountview Health Complex</x:v>
      </x:c>
      <x:c r="C106" s="63" t="str">
        <x:v>Health Facilities</x:v>
      </x:c>
      <x:c r="D106" s="63" t="str">
        <x:v>inferred</x:v>
      </x:c>
      <x:c r="E106" s="63" t="str">
        <x:v>Health Care</x:v>
      </x:c>
      <x:c r="F106" s="63" t="str">
        <x:v>Institutional</x:v>
      </x:c>
      <x:c r="G106" s="63" t="str">
        <x:v>Landrex Inc.</x:v>
      </x:c>
      <x:c r="H106" s="63" t="str">
        <x:v>Unresolved</x:v>
      </x:c>
      <x:c r="I106" s="63" t="str">
        <x:v>inferred</x:v>
      </x:c>
      <x:c r="J106" s="63" t="str">
        <x:v>Beaverlodge</x:v>
      </x:c>
      <x:c r="K106" s="63" t="str">
        <x:v>Under Construction</x:v>
      </x:c>
      <x:c r="L106" s="143" t="n">
        <x:v>170000000</x:v>
      </x:c>
      <x:c r="M106" s="179" t="n">
        <x:v>2025</x:v>
      </x:c>
      <x:c r="N106" s="179" t="n">
        <x:v>2028</x:v>
      </x:c>
      <x:c r="O106" s="63" t="str">
        <x:v>overlaps</x:v>
      </x:c>
      <x:c r="P106" s="63" t="str">
        <x:v>2027|2028</x:v>
      </x:c>
      <x:c r="Q106" s="143" t="n">
        <x:v>42500000</x:v>
      </x:c>
      <x:c r="R106" s="143" t="n">
        <x:v>85000000</x:v>
      </x:c>
      <x:c r="S106" s="154" t="n">
        <x:v>-119.41834</x:v>
      </x:c>
      <x:c r="T106" s="154" t="n">
        <x:v>55.200003</x:v>
      </x:c>
      <x:c r="U106" s="63" t="str">
        <x:v>reported</x:v>
      </x:c>
      <x:c r="V106" s="63" t="str">
        <x:v>ALBERTA_MAJOR_PROJECTS</x:v>
      </x:c>
      <x:c r="W106" s="63" t="str">
        <x:v>observed</x:v>
      </x:c>
      <x:c r="X106" s="155" t="n">
        <x:v>46265</x:v>
      </x:c>
      <x:c r="Y106" s="63" t="str">
        <x:v>https://www.majorprojects.alberta.ca/</x:v>
      </x:c>
    </x:row>
    <x:row r="107">
      <x:c r="A107" s="63" t="str">
        <x:v>ABMP_11362</x:v>
      </x:c>
      <x:c r="B107" s="63" t="str">
        <x:v>National Association of Pharmacy Regulatory Authorities Capital Program (Medicine Hat)</x:v>
      </x:c>
      <x:c r="C107" s="63" t="str">
        <x:v>Health Facilities</x:v>
      </x:c>
      <x:c r="D107" s="63" t="str">
        <x:v>inferred</x:v>
      </x:c>
      <x:c r="E107" s="63" t="str">
        <x:v>Health Care</x:v>
      </x:c>
      <x:c r="F107" s="63" t="str">
        <x:v>Institutional</x:v>
      </x:c>
      <x:c r="G107" s="63" t="str">
        <x:v>Alberta Infrastructure</x:v>
      </x:c>
      <x:c r="H107" s="63" t="str">
        <x:v>Government Or Public Institution Signal</x:v>
      </x:c>
      <x:c r="I107" s="63" t="str">
        <x:v>inferred</x:v>
      </x:c>
      <x:c r="J107" s="63" t="str">
        <x:v>Medicine Hat</x:v>
      </x:c>
      <x:c r="K107" s="63" t="str">
        <x:v>Under Construction</x:v>
      </x:c>
      <x:c r="L107" s="143"/>
      <x:c r="M107" s="179" t="n">
        <x:v>2026</x:v>
      </x:c>
      <x:c r="N107" s="179" t="n">
        <x:v>2027</x:v>
      </x:c>
      <x:c r="O107" s="63" t="str">
        <x:v>overlaps</x:v>
      </x:c>
      <x:c r="P107" s="63" t="str">
        <x:v>2027</x:v>
      </x:c>
      <x:c r="Q107" s="143"/>
      <x:c r="R107" s="143"/>
      <x:c r="S107" s="154" t="n">
        <x:v>-110.680674</x:v>
      </x:c>
      <x:c r="T107" s="154" t="n">
        <x:v>50.038299</x:v>
      </x:c>
      <x:c r="U107" s="63" t="str">
        <x:v>approximate</x:v>
      </x:c>
      <x:c r="V107" s="63" t="str">
        <x:v>ALBERTA_MAJOR_PROJECTS</x:v>
      </x:c>
      <x:c r="W107" s="63" t="str">
        <x:v>observed</x:v>
      </x:c>
      <x:c r="X107" s="155" t="n">
        <x:v>46265</x:v>
      </x:c>
      <x:c r="Y107" s="63" t="str">
        <x:v>https://www.majorprojects.alberta.ca/</x:v>
      </x:c>
    </x:row>
    <x:row r="108">
      <x:c r="A108" s="63" t="str">
        <x:v>ABMP_11363</x:v>
      </x:c>
      <x:c r="B108" s="63" t="str">
        <x:v>North Calgary/Airdrie Regional Health Centre Planning</x:v>
      </x:c>
      <x:c r="C108" s="63" t="str">
        <x:v>Health Facilities</x:v>
      </x:c>
      <x:c r="D108" s="63" t="str">
        <x:v>inferred</x:v>
      </x:c>
      <x:c r="E108" s="63" t="str">
        <x:v>Health Care</x:v>
      </x:c>
      <x:c r="F108" s="63" t="str">
        <x:v>Institutional</x:v>
      </x:c>
      <x:c r="G108" s="63" t="str">
        <x:v>Alberta Infrastructure</x:v>
      </x:c>
      <x:c r="H108" s="63" t="str">
        <x:v>Government Or Public Institution Signal</x:v>
      </x:c>
      <x:c r="I108" s="63" t="str">
        <x:v>inferred</x:v>
      </x:c>
      <x:c r="J108" s="63" t="str">
        <x:v>Airdrie</x:v>
      </x:c>
      <x:c r="K108" s="63" t="str">
        <x:v>Proposed</x:v>
      </x:c>
      <x:c r="L108" s="143"/>
      <x:c r="M108" s="179"/>
      <x:c r="N108" s="179"/>
      <x:c r="O108" s="63" t="str">
        <x:v>indeterminate_incomplete_schedule</x:v>
      </x:c>
      <x:c r="P108" s="63" t="str"/>
      <x:c r="Q108" s="143"/>
      <x:c r="R108" s="143"/>
      <x:c r="S108" s="154" t="n">
        <x:v>-114.001704</x:v>
      </x:c>
      <x:c r="T108" s="154" t="n">
        <x:v>51.254454</x:v>
      </x:c>
      <x:c r="U108" s="63" t="str">
        <x:v>approximate</x:v>
      </x:c>
      <x:c r="V108" s="63" t="str">
        <x:v>ALBERTA_MAJOR_PROJECTS</x:v>
      </x:c>
      <x:c r="W108" s="63" t="str">
        <x:v>observed</x:v>
      </x:c>
      <x:c r="X108" s="155" t="n">
        <x:v>46265</x:v>
      </x:c>
      <x:c r="Y108" s="63" t="str">
        <x:v>https://www.majorprojects.alberta.ca/</x:v>
      </x:c>
    </x:row>
    <x:row r="109">
      <x:c r="A109" s="63" t="str">
        <x:v>ABMP_11510</x:v>
      </x:c>
      <x:c r="B109" s="63" t="str">
        <x:v>Northern Alberta Compassionate Intervention Centre (NACIC) - Edmonton</x:v>
      </x:c>
      <x:c r="C109" s="63" t="str">
        <x:v>Health Facilities</x:v>
      </x:c>
      <x:c r="D109" s="63" t="str">
        <x:v>inferred</x:v>
      </x:c>
      <x:c r="E109" s="63" t="str">
        <x:v>Health Care</x:v>
      </x:c>
      <x:c r="F109" s="63" t="str">
        <x:v>Institutional</x:v>
      </x:c>
      <x:c r="G109" s="63" t="str">
        <x:v>Alberta Infrastructure</x:v>
      </x:c>
      <x:c r="H109" s="63" t="str">
        <x:v>Government Or Public Institution Signal</x:v>
      </x:c>
      <x:c r="I109" s="63" t="str">
        <x:v>inferred</x:v>
      </x:c>
      <x:c r="J109" s="63" t="str">
        <x:v>Edmonton</x:v>
      </x:c>
      <x:c r="K109" s="63" t="str">
        <x:v>Proposed</x:v>
      </x:c>
      <x:c r="L109" s="143"/>
      <x:c r="M109" s="179"/>
      <x:c r="N109" s="179"/>
      <x:c r="O109" s="63" t="str">
        <x:v>indeterminate_incomplete_schedule</x:v>
      </x:c>
      <x:c r="P109" s="63" t="str"/>
      <x:c r="Q109" s="143"/>
      <x:c r="R109" s="143"/>
      <x:c r="S109" s="154" t="n">
        <x:v>-113.370596</x:v>
      </x:c>
      <x:c r="T109" s="154" t="n">
        <x:v>53.642345</x:v>
      </x:c>
      <x:c r="U109" s="63" t="str">
        <x:v>approximate</x:v>
      </x:c>
      <x:c r="V109" s="63" t="str">
        <x:v>ALBERTA_MAJOR_PROJECTS</x:v>
      </x:c>
      <x:c r="W109" s="63" t="str">
        <x:v>observed</x:v>
      </x:c>
      <x:c r="X109" s="155" t="n">
        <x:v>46265</x:v>
      </x:c>
      <x:c r="Y109" s="63" t="str">
        <x:v>https://www.majorprojects.alberta.ca/</x:v>
      </x:c>
    </x:row>
    <x:row r="110">
      <x:c r="A110" s="63" t="str">
        <x:v>ABMP_11567</x:v>
      </x:c>
      <x:c r="B110" s="63" t="str">
        <x:v>Northern Alberta Youth Recovery Centre (NAYRC) - Edmonton EYOC</x:v>
      </x:c>
      <x:c r="C110" s="63" t="str">
        <x:v>Health Facilities</x:v>
      </x:c>
      <x:c r="D110" s="63" t="str">
        <x:v>inferred</x:v>
      </x:c>
      <x:c r="E110" s="63" t="str">
        <x:v>Health Care</x:v>
      </x:c>
      <x:c r="F110" s="63" t="str">
        <x:v>Institutional</x:v>
      </x:c>
      <x:c r="G110" s="63" t="str">
        <x:v>Alberta Infrastructure</x:v>
      </x:c>
      <x:c r="H110" s="63" t="str">
        <x:v>Government Or Public Institution Signal</x:v>
      </x:c>
      <x:c r="I110" s="63" t="str">
        <x:v>inferred</x:v>
      </x:c>
      <x:c r="J110" s="63" t="str">
        <x:v>Edmonton</x:v>
      </x:c>
      <x:c r="K110" s="63" t="str">
        <x:v>Under Construction</x:v>
      </x:c>
      <x:c r="L110" s="143" t="n">
        <x:v>23000000</x:v>
      </x:c>
      <x:c r="M110" s="179" t="n">
        <x:v>2025</x:v>
      </x:c>
      <x:c r="N110" s="179" t="n">
        <x:v>2027</x:v>
      </x:c>
      <x:c r="O110" s="63" t="str">
        <x:v>overlaps</x:v>
      </x:c>
      <x:c r="P110" s="63" t="str">
        <x:v>2027</x:v>
      </x:c>
      <x:c r="Q110" s="143" t="n">
        <x:v>7666666.666666667</x:v>
      </x:c>
      <x:c r="R110" s="143" t="n">
        <x:v>7666666.666666667</x:v>
      </x:c>
      <x:c r="S110" s="154" t="n">
        <x:v>-113.538689</x:v>
      </x:c>
      <x:c r="T110" s="154" t="n">
        <x:v>53.6488002</x:v>
      </x:c>
      <x:c r="U110" s="63" t="str">
        <x:v>approximate</x:v>
      </x:c>
      <x:c r="V110" s="63" t="str">
        <x:v>ALBERTA_MAJOR_PROJECTS</x:v>
      </x:c>
      <x:c r="W110" s="63" t="str">
        <x:v>observed</x:v>
      </x:c>
      <x:c r="X110" s="155" t="n">
        <x:v>46265</x:v>
      </x:c>
      <x:c r="Y110" s="63" t="str">
        <x:v>https://www.majorprojects.alberta.ca/</x:v>
      </x:c>
    </x:row>
    <x:row r="111">
      <x:c r="A111" s="63" t="str">
        <x:v>ABMP_12197</x:v>
      </x:c>
      <x:c r="B111" s="63" t="str">
        <x:v>Northern Lights Regional Health Centre Level 4 Redevelopment</x:v>
      </x:c>
      <x:c r="C111" s="63" t="str">
        <x:v>Health Facilities</x:v>
      </x:c>
      <x:c r="D111" s="63" t="str">
        <x:v>inferred</x:v>
      </x:c>
      <x:c r="E111" s="63" t="str">
        <x:v>Health Care</x:v>
      </x:c>
      <x:c r="F111" s="63" t="str">
        <x:v>Institutional</x:v>
      </x:c>
      <x:c r="G111" s="63" t="str">
        <x:v>Alberta Infrastructure</x:v>
      </x:c>
      <x:c r="H111" s="63" t="str">
        <x:v>Government Or Public Institution Signal</x:v>
      </x:c>
      <x:c r="I111" s="63" t="str">
        <x:v>inferred</x:v>
      </x:c>
      <x:c r="J111" s="63" t="str">
        <x:v>Wood Buffalo</x:v>
      </x:c>
      <x:c r="K111" s="63" t="str">
        <x:v>Proposed</x:v>
      </x:c>
      <x:c r="L111" s="143"/>
      <x:c r="M111" s="179"/>
      <x:c r="N111" s="179"/>
      <x:c r="O111" s="63" t="str">
        <x:v>indeterminate_incomplete_schedule</x:v>
      </x:c>
      <x:c r="P111" s="63" t="str"/>
      <x:c r="Q111" s="143"/>
      <x:c r="R111" s="143"/>
      <x:c r="S111" s="154" t="n">
        <x:v>-111.36158415780142</x:v>
      </x:c>
      <x:c r="T111" s="154" t="n">
        <x:v>56.71657970485221</x:v>
      </x:c>
      <x:c r="U111" s="63" t="str">
        <x:v>reported</x:v>
      </x:c>
      <x:c r="V111" s="63" t="str">
        <x:v>ALBERTA_MAJOR_PROJECTS</x:v>
      </x:c>
      <x:c r="W111" s="63" t="str">
        <x:v>observed</x:v>
      </x:c>
      <x:c r="X111" s="155" t="n">
        <x:v>46265</x:v>
      </x:c>
      <x:c r="Y111" s="63" t="str">
        <x:v>https://www.majorprojects.alberta.ca/</x:v>
      </x:c>
    </x:row>
    <x:row r="112">
      <x:c r="A112" s="63" t="str">
        <x:v>ABMP_11508</x:v>
      </x:c>
      <x:c r="B112" s="63" t="str">
        <x:v>O.S. Longman Building (Edmonton) Planning</x:v>
      </x:c>
      <x:c r="C112" s="63" t="str">
        <x:v>Health Facilities</x:v>
      </x:c>
      <x:c r="D112" s="63" t="str">
        <x:v>inferred</x:v>
      </x:c>
      <x:c r="E112" s="63" t="str">
        <x:v>Health Care</x:v>
      </x:c>
      <x:c r="F112" s="63" t="str">
        <x:v>Institutional</x:v>
      </x:c>
      <x:c r="G112" s="63" t="str">
        <x:v>Alberta Infrastructure</x:v>
      </x:c>
      <x:c r="H112" s="63" t="str">
        <x:v>Government Or Public Institution Signal</x:v>
      </x:c>
      <x:c r="I112" s="63" t="str">
        <x:v>inferred</x:v>
      </x:c>
      <x:c r="J112" s="63" t="str">
        <x:v>Edmonton</x:v>
      </x:c>
      <x:c r="K112" s="63" t="str">
        <x:v>Proposed</x:v>
      </x:c>
      <x:c r="L112" s="143"/>
      <x:c r="M112" s="179"/>
      <x:c r="N112" s="179"/>
      <x:c r="O112" s="63" t="str">
        <x:v>indeterminate_incomplete_schedule</x:v>
      </x:c>
      <x:c r="P112" s="63" t="str"/>
      <x:c r="Q112" s="143"/>
      <x:c r="R112" s="143"/>
      <x:c r="S112" s="154" t="n">
        <x:v>-113.5299739</x:v>
      </x:c>
      <x:c r="T112" s="154" t="n">
        <x:v>53.5058892</x:v>
      </x:c>
      <x:c r="U112" s="63" t="str">
        <x:v>reported</x:v>
      </x:c>
      <x:c r="V112" s="63" t="str">
        <x:v>ALBERTA_MAJOR_PROJECTS</x:v>
      </x:c>
      <x:c r="W112" s="63" t="str">
        <x:v>observed</x:v>
      </x:c>
      <x:c r="X112" s="155" t="n">
        <x:v>46265</x:v>
      </x:c>
      <x:c r="Y112" s="63" t="str">
        <x:v>https://www.majorprojects.alberta.ca/</x:v>
      </x:c>
    </x:row>
    <x:row r="113">
      <x:c r="A113" s="63" t="str">
        <x:v>ABMP_11168</x:v>
      </x:c>
      <x:c r="B113" s="63" t="str">
        <x:v>Pasa Tibi Center</x:v>
      </x:c>
      <x:c r="C113" s="63" t="str">
        <x:v>Health Facilities</x:v>
      </x:c>
      <x:c r="D113" s="63" t="str">
        <x:v>inferred</x:v>
      </x:c>
      <x:c r="E113" s="63" t="str">
        <x:v>Continuing Care</x:v>
      </x:c>
      <x:c r="F113" s="63" t="str">
        <x:v>Institutional</x:v>
      </x:c>
      <x:c r="G113" s="63" t="str">
        <x:v>Alexis Nakota Sioux Nation</x:v>
      </x:c>
      <x:c r="H113" s="63" t="str">
        <x:v>Unresolved</x:v>
      </x:c>
      <x:c r="I113" s="63" t="str">
        <x:v>inferred</x:v>
      </x:c>
      <x:c r="J113" s="63" t="str">
        <x:v>Alexis 133</x:v>
      </x:c>
      <x:c r="K113" s="63" t="str">
        <x:v>Proposed</x:v>
      </x:c>
      <x:c r="L113" s="143" t="n">
        <x:v>24000000</x:v>
      </x:c>
      <x:c r="M113" s="179"/>
      <x:c r="N113" s="179"/>
      <x:c r="O113" s="63" t="str">
        <x:v>indeterminate_incomplete_schedule</x:v>
      </x:c>
      <x:c r="P113" s="63" t="str"/>
      <x:c r="Q113" s="143"/>
      <x:c r="R113" s="143"/>
      <x:c r="S113" s="154" t="n">
        <x:v>-114.503193</x:v>
      </x:c>
      <x:c r="T113" s="154" t="n">
        <x:v>53.728717</x:v>
      </x:c>
      <x:c r="U113" s="63" t="str">
        <x:v>approximate</x:v>
      </x:c>
      <x:c r="V113" s="63" t="str">
        <x:v>ALBERTA_MAJOR_PROJECTS</x:v>
      </x:c>
      <x:c r="W113" s="63" t="str">
        <x:v>observed</x:v>
      </x:c>
      <x:c r="X113" s="155" t="n">
        <x:v>46265</x:v>
      </x:c>
      <x:c r="Y113" s="63" t="str">
        <x:v>https://www.majorprojects.alberta.ca/</x:v>
      </x:c>
    </x:row>
    <x:row r="114">
      <x:c r="A114" s="63" t="str">
        <x:v>ABMP_11605</x:v>
      </x:c>
      <x:c r="B114" s="63" t="str">
        <x:v>Peter Lougheed Centre 6th Floor Shelled Space Fit-Up</x:v>
      </x:c>
      <x:c r="C114" s="63" t="str">
        <x:v>Health Facilities</x:v>
      </x:c>
      <x:c r="D114" s="63" t="str">
        <x:v>inferred</x:v>
      </x:c>
      <x:c r="E114" s="63" t="str">
        <x:v>Health Care</x:v>
      </x:c>
      <x:c r="F114" s="63" t="str">
        <x:v>Institutional</x:v>
      </x:c>
      <x:c r="G114" s="63" t="str">
        <x:v>Alberta Infrastructure</x:v>
      </x:c>
      <x:c r="H114" s="63" t="str">
        <x:v>Government Or Public Institution Signal</x:v>
      </x:c>
      <x:c r="I114" s="63" t="str">
        <x:v>inferred</x:v>
      </x:c>
      <x:c r="J114" s="63" t="str">
        <x:v>Calgary</x:v>
      </x:c>
      <x:c r="K114" s="63" t="str">
        <x:v>Proposed</x:v>
      </x:c>
      <x:c r="L114" s="143"/>
      <x:c r="M114" s="179"/>
      <x:c r="N114" s="179"/>
      <x:c r="O114" s="63" t="str">
        <x:v>indeterminate_incomplete_schedule</x:v>
      </x:c>
      <x:c r="P114" s="63" t="str"/>
      <x:c r="Q114" s="143"/>
      <x:c r="R114" s="143"/>
      <x:c r="S114" s="154" t="n">
        <x:v>-113.984171</x:v>
      </x:c>
      <x:c r="T114" s="154" t="n">
        <x:v>51.079146</x:v>
      </x:c>
      <x:c r="U114" s="63" t="str">
        <x:v>reported</x:v>
      </x:c>
      <x:c r="V114" s="63" t="str">
        <x:v>ALBERTA_MAJOR_PROJECTS</x:v>
      </x:c>
      <x:c r="W114" s="63" t="str">
        <x:v>observed</x:v>
      </x:c>
      <x:c r="X114" s="155" t="n">
        <x:v>46265</x:v>
      </x:c>
      <x:c r="Y114" s="63" t="str">
        <x:v>https://www.majorprojects.alberta.ca/</x:v>
      </x:c>
    </x:row>
    <x:row r="115">
      <x:c r="A115" s="63" t="str">
        <x:v>ABMP_11785</x:v>
      </x:c>
      <x:c r="B115" s="63" t="str">
        <x:v>Provincial Campus Based Care Facility Replacement</x:v>
      </x:c>
      <x:c r="C115" s="63" t="str">
        <x:v>Health Facilities</x:v>
      </x:c>
      <x:c r="D115" s="63" t="str">
        <x:v>inferred</x:v>
      </x:c>
      <x:c r="E115" s="63" t="str">
        <x:v>Continuing Care</x:v>
      </x:c>
      <x:c r="F115" s="63" t="str">
        <x:v>Institutional</x:v>
      </x:c>
      <x:c r="G115" s="63" t="str">
        <x:v>Alberta Infrastructure</x:v>
      </x:c>
      <x:c r="H115" s="63" t="str">
        <x:v>Government Or Public Institution Signal</x:v>
      </x:c>
      <x:c r="I115" s="63" t="str">
        <x:v>inferred</x:v>
      </x:c>
      <x:c r="J115" s="63" t="str">
        <x:v>Edmonton</x:v>
      </x:c>
      <x:c r="K115" s="63" t="str">
        <x:v>Proposed</x:v>
      </x:c>
      <x:c r="L115" s="143"/>
      <x:c r="M115" s="179"/>
      <x:c r="N115" s="179"/>
      <x:c r="O115" s="63" t="str">
        <x:v>indeterminate_incomplete_schedule</x:v>
      </x:c>
      <x:c r="P115" s="63" t="str"/>
      <x:c r="Q115" s="143"/>
      <x:c r="R115" s="143"/>
      <x:c r="S115" s="154" t="n">
        <x:v>-113.506765</x:v>
      </x:c>
      <x:c r="T115" s="154" t="n">
        <x:v>53.53706</x:v>
      </x:c>
      <x:c r="U115" s="63" t="str">
        <x:v>approximate</x:v>
      </x:c>
      <x:c r="V115" s="63" t="str">
        <x:v>ALBERTA_MAJOR_PROJECTS</x:v>
      </x:c>
      <x:c r="W115" s="63" t="str">
        <x:v>observed</x:v>
      </x:c>
      <x:c r="X115" s="155" t="n">
        <x:v>46265</x:v>
      </x:c>
      <x:c r="Y115" s="63" t="str">
        <x:v>https://www.majorprojects.alberta.ca/</x:v>
      </x:c>
    </x:row>
    <x:row r="116">
      <x:c r="A116" s="63" t="str">
        <x:v>ABMP_12073</x:v>
      </x:c>
      <x:c r="B116" s="63" t="str">
        <x:v>Quarry Park Health Campus - Phase 2</x:v>
      </x:c>
      <x:c r="C116" s="63" t="str">
        <x:v>Health Facilities</x:v>
      </x:c>
      <x:c r="D116" s="63" t="str">
        <x:v>inferred</x:v>
      </x:c>
      <x:c r="E116" s="63" t="str">
        <x:v>Health Care</x:v>
      </x:c>
      <x:c r="F116" s="63" t="str">
        <x:v>Institutional</x:v>
      </x:c>
      <x:c r="G116" s="63" t="str">
        <x:v>Remington Development Corp.</x:v>
      </x:c>
      <x:c r="H116" s="63" t="str">
        <x:v>Unresolved</x:v>
      </x:c>
      <x:c r="I116" s="63" t="str">
        <x:v>inferred</x:v>
      </x:c>
      <x:c r="J116" s="63" t="str">
        <x:v>Calgary</x:v>
      </x:c>
      <x:c r="K116" s="63" t="str">
        <x:v>Under Construction</x:v>
      </x:c>
      <x:c r="L116" s="143"/>
      <x:c r="M116" s="179" t="n">
        <x:v>2026</x:v>
      </x:c>
      <x:c r="N116" s="179"/>
      <x:c r="O116" s="63" t="str">
        <x:v>indeterminate_incomplete_schedule</x:v>
      </x:c>
      <x:c r="P116" s="63" t="str"/>
      <x:c r="Q116" s="143"/>
      <x:c r="R116" s="143"/>
      <x:c r="S116" s="154" t="n">
        <x:v>-114.00196938910194</x:v>
      </x:c>
      <x:c r="T116" s="154" t="n">
        <x:v>50.96927263355434</x:v>
      </x:c>
      <x:c r="U116" s="63" t="str">
        <x:v>reported</x:v>
      </x:c>
      <x:c r="V116" s="63" t="str">
        <x:v>ALBERTA_MAJOR_PROJECTS</x:v>
      </x:c>
      <x:c r="W116" s="63" t="str">
        <x:v>observed</x:v>
      </x:c>
      <x:c r="X116" s="155" t="n">
        <x:v>46265</x:v>
      </x:c>
      <x:c r="Y116" s="63" t="str">
        <x:v>https://www.majorprojects.alberta.ca/</x:v>
      </x:c>
    </x:row>
    <x:row r="117">
      <x:c r="A117" s="63" t="str">
        <x:v>ABMP_12184</x:v>
      </x:c>
      <x:c r="B117" s="63" t="str">
        <x:v>Queen Elizabeth II Ambulatory Care Centre Business Case and Site Master Plan</x:v>
      </x:c>
      <x:c r="C117" s="63" t="str">
        <x:v>Health Facilities</x:v>
      </x:c>
      <x:c r="D117" s="63" t="str">
        <x:v>inferred</x:v>
      </x:c>
      <x:c r="E117" s="63" t="str">
        <x:v>Health Care</x:v>
      </x:c>
      <x:c r="F117" s="63" t="str">
        <x:v>Institutional</x:v>
      </x:c>
      <x:c r="G117" s="63" t="str">
        <x:v>Alberta Infrastructure</x:v>
      </x:c>
      <x:c r="H117" s="63" t="str">
        <x:v>Government Or Public Institution Signal</x:v>
      </x:c>
      <x:c r="I117" s="63" t="str">
        <x:v>inferred</x:v>
      </x:c>
      <x:c r="J117" s="63" t="str">
        <x:v>Grande Prairie</x:v>
      </x:c>
      <x:c r="K117" s="63" t="str">
        <x:v>Proposed</x:v>
      </x:c>
      <x:c r="L117" s="143"/>
      <x:c r="M117" s="179"/>
      <x:c r="N117" s="179"/>
      <x:c r="O117" s="63" t="str">
        <x:v>indeterminate_incomplete_schedule</x:v>
      </x:c>
      <x:c r="P117" s="63" t="str"/>
      <x:c r="Q117" s="143"/>
      <x:c r="R117" s="143"/>
      <x:c r="S117" s="154" t="n">
        <x:v>-118.78645502082733</x:v>
      </x:c>
      <x:c r="T117" s="154" t="n">
        <x:v>55.1752929940582</x:v>
      </x:c>
      <x:c r="U117" s="63" t="str">
        <x:v>reported</x:v>
      </x:c>
      <x:c r="V117" s="63" t="str">
        <x:v>ALBERTA_MAJOR_PROJECTS</x:v>
      </x:c>
      <x:c r="W117" s="63" t="str">
        <x:v>observed</x:v>
      </x:c>
      <x:c r="X117" s="155" t="n">
        <x:v>46265</x:v>
      </x:c>
      <x:c r="Y117" s="63" t="str">
        <x:v>https://www.majorprojects.alberta.ca/</x:v>
      </x:c>
    </x:row>
    <x:row r="118">
      <x:c r="A118" s="63" t="str">
        <x:v>ABMP_11512</x:v>
      </x:c>
      <x:c r="B118" s="63" t="str">
        <x:v>Recovery Communities (09 - Central Alberta)</x:v>
      </x:c>
      <x:c r="C118" s="63" t="str">
        <x:v>Health Facilities</x:v>
      </x:c>
      <x:c r="D118" s="63" t="str">
        <x:v>inferred</x:v>
      </x:c>
      <x:c r="E118" s="63" t="str">
        <x:v>Health Care</x:v>
      </x:c>
      <x:c r="F118" s="63" t="str">
        <x:v>Institutional</x:v>
      </x:c>
      <x:c r="G118" s="63" t="str">
        <x:v>Alberta Infrastructure</x:v>
      </x:c>
      <x:c r="H118" s="63" t="str">
        <x:v>Government Or Public Institution Signal</x:v>
      </x:c>
      <x:c r="I118" s="63" t="str">
        <x:v>inferred</x:v>
      </x:c>
      <x:c r="J118" s="63" t="str">
        <x:v>Edmonton</x:v>
      </x:c>
      <x:c r="K118" s="63" t="str">
        <x:v>Proposed</x:v>
      </x:c>
      <x:c r="L118" s="143"/>
      <x:c r="M118" s="179"/>
      <x:c r="N118" s="179"/>
      <x:c r="O118" s="63" t="str">
        <x:v>indeterminate_incomplete_schedule</x:v>
      </x:c>
      <x:c r="P118" s="63" t="str"/>
      <x:c r="Q118" s="143"/>
      <x:c r="R118" s="143"/>
      <x:c r="S118" s="154" t="n">
        <x:v>-113.370255</x:v>
      </x:c>
      <x:c r="T118" s="154" t="n">
        <x:v>53.641401</x:v>
      </x:c>
      <x:c r="U118" s="63" t="str">
        <x:v>reported</x:v>
      </x:c>
      <x:c r="V118" s="63" t="str">
        <x:v>ALBERTA_MAJOR_PROJECTS</x:v>
      </x:c>
      <x:c r="W118" s="63" t="str">
        <x:v>observed</x:v>
      </x:c>
      <x:c r="X118" s="155" t="n">
        <x:v>46265</x:v>
      </x:c>
      <x:c r="Y118" s="63" t="str">
        <x:v>https://www.majorprojects.alberta.ca/</x:v>
      </x:c>
    </x:row>
    <x:row r="119">
      <x:c r="A119" s="63" t="str">
        <x:v>ABMP_10957</x:v>
      </x:c>
      <x:c r="B119" s="63" t="str">
        <x:v>Recovery Communities (10 - Grande Prairie)</x:v>
      </x:c>
      <x:c r="C119" s="63" t="str">
        <x:v>Health Facilities</x:v>
      </x:c>
      <x:c r="D119" s="63" t="str">
        <x:v>inferred</x:v>
      </x:c>
      <x:c r="E119" s="63" t="str">
        <x:v>Health Care</x:v>
      </x:c>
      <x:c r="F119" s="63" t="str">
        <x:v>Institutional</x:v>
      </x:c>
      <x:c r="G119" s="63" t="str">
        <x:v>Alberta Infrastructure</x:v>
      </x:c>
      <x:c r="H119" s="63" t="str">
        <x:v>Government Or Public Institution Signal</x:v>
      </x:c>
      <x:c r="I119" s="63" t="str">
        <x:v>inferred</x:v>
      </x:c>
      <x:c r="J119" s="63" t="str">
        <x:v>Grande Prairie</x:v>
      </x:c>
      <x:c r="K119" s="63" t="str">
        <x:v>Under Construction</x:v>
      </x:c>
      <x:c r="L119" s="143"/>
      <x:c r="M119" s="179" t="n">
        <x:v>2026</x:v>
      </x:c>
      <x:c r="N119" s="179" t="n">
        <x:v>2028</x:v>
      </x:c>
      <x:c r="O119" s="63" t="str">
        <x:v>overlaps</x:v>
      </x:c>
      <x:c r="P119" s="63" t="str">
        <x:v>2027|2028</x:v>
      </x:c>
      <x:c r="Q119" s="143"/>
      <x:c r="R119" s="143"/>
      <x:c r="S119" s="154" t="n">
        <x:v>-118.7971876046214</x:v>
      </x:c>
      <x:c r="T119" s="154" t="n">
        <x:v>55.1903118420023</x:v>
      </x:c>
      <x:c r="U119" s="63" t="str">
        <x:v>reported</x:v>
      </x:c>
      <x:c r="V119" s="63" t="str">
        <x:v>ALBERTA_MAJOR_PROJECTS</x:v>
      </x:c>
      <x:c r="W119" s="63" t="str">
        <x:v>observed</x:v>
      </x:c>
      <x:c r="X119" s="155" t="n">
        <x:v>46265</x:v>
      </x:c>
      <x:c r="Y119" s="63" t="str">
        <x:v>https://www.majorprojects.alberta.ca/</x:v>
      </x:c>
    </x:row>
    <x:row r="120">
      <x:c r="A120" s="63" t="str">
        <x:v>ABMP_11513</x:v>
      </x:c>
      <x:c r="B120" s="63" t="str">
        <x:v>Recovery Communities (12 - Edmonton Young Offender Centre)</x:v>
      </x:c>
      <x:c r="C120" s="63" t="str">
        <x:v>Health Facilities</x:v>
      </x:c>
      <x:c r="D120" s="63" t="str">
        <x:v>inferred</x:v>
      </x:c>
      <x:c r="E120" s="63" t="str">
        <x:v>Health Care</x:v>
      </x:c>
      <x:c r="F120" s="63" t="str">
        <x:v>Institutional</x:v>
      </x:c>
      <x:c r="G120" s="63" t="str">
        <x:v>Alberta Infrastructure</x:v>
      </x:c>
      <x:c r="H120" s="63" t="str">
        <x:v>Government Or Public Institution Signal</x:v>
      </x:c>
      <x:c r="I120" s="63" t="str">
        <x:v>inferred</x:v>
      </x:c>
      <x:c r="J120" s="63" t="str">
        <x:v>Edmonton</x:v>
      </x:c>
      <x:c r="K120" s="63" t="str">
        <x:v>Under Construction</x:v>
      </x:c>
      <x:c r="L120" s="143"/>
      <x:c r="M120" s="179" t="n">
        <x:v>2025</x:v>
      </x:c>
      <x:c r="N120" s="179" t="n">
        <x:v>2027</x:v>
      </x:c>
      <x:c r="O120" s="63" t="str">
        <x:v>overlaps</x:v>
      </x:c>
      <x:c r="P120" s="63" t="str">
        <x:v>2027</x:v>
      </x:c>
      <x:c r="Q120" s="143"/>
      <x:c r="R120" s="143"/>
      <x:c r="S120" s="154" t="n">
        <x:v>-113.538689</x:v>
      </x:c>
      <x:c r="T120" s="154" t="n">
        <x:v>53.6488002</x:v>
      </x:c>
      <x:c r="U120" s="63" t="str">
        <x:v>reported</x:v>
      </x:c>
      <x:c r="V120" s="63" t="str">
        <x:v>ALBERTA_MAJOR_PROJECTS</x:v>
      </x:c>
      <x:c r="W120" s="63" t="str">
        <x:v>observed</x:v>
      </x:c>
      <x:c r="X120" s="155" t="n">
        <x:v>46265</x:v>
      </x:c>
      <x:c r="Y120" s="63" t="str">
        <x:v>https://www.majorprojects.alberta.ca/</x:v>
      </x:c>
    </x:row>
    <x:row r="121">
      <x:c r="A121" s="63" t="str">
        <x:v>ABMP_11666</x:v>
      </x:c>
      <x:c r="B121" s="63" t="str">
        <x:v>Red Deer Interim Cardiac Catheterization Lab</x:v>
      </x:c>
      <x:c r="C121" s="63" t="str">
        <x:v>Health Facilities</x:v>
      </x:c>
      <x:c r="D121" s="63" t="str">
        <x:v>inferred</x:v>
      </x:c>
      <x:c r="E121" s="63" t="str">
        <x:v>Health Care</x:v>
      </x:c>
      <x:c r="F121" s="63" t="str">
        <x:v>Institutional</x:v>
      </x:c>
      <x:c r="G121" s="63" t="str">
        <x:v>Alberta Infrastructure</x:v>
      </x:c>
      <x:c r="H121" s="63" t="str">
        <x:v>Government Or Public Institution Signal</x:v>
      </x:c>
      <x:c r="I121" s="63" t="str">
        <x:v>inferred</x:v>
      </x:c>
      <x:c r="J121" s="63" t="str">
        <x:v>Red Deer</x:v>
      </x:c>
      <x:c r="K121" s="63" t="str">
        <x:v>Under Construction</x:v>
      </x:c>
      <x:c r="L121" s="143" t="n">
        <x:v>18000000</x:v>
      </x:c>
      <x:c r="M121" s="179" t="n">
        <x:v>2025</x:v>
      </x:c>
      <x:c r="N121" s="179" t="n">
        <x:v>2026</x:v>
      </x:c>
      <x:c r="O121" s="63" t="str">
        <x:v>outside_window</x:v>
      </x:c>
      <x:c r="P121" s="63" t="str"/>
      <x:c r="Q121" s="143" t="n">
        <x:v>9000000</x:v>
      </x:c>
      <x:c r="R121" s="143" t="n">
        <x:v>0</x:v>
      </x:c>
      <x:c r="S121" s="154" t="n">
        <x:v>-113.8200245</x:v>
      </x:c>
      <x:c r="T121" s="154" t="n">
        <x:v>52.2608487</x:v>
      </x:c>
      <x:c r="U121" s="63" t="str">
        <x:v>reported</x:v>
      </x:c>
      <x:c r="V121" s="63" t="str">
        <x:v>ALBERTA_MAJOR_PROJECTS</x:v>
      </x:c>
      <x:c r="W121" s="63" t="str">
        <x:v>observed</x:v>
      </x:c>
      <x:c r="X121" s="155" t="n">
        <x:v>46265</x:v>
      </x:c>
      <x:c r="Y121" s="63" t="str">
        <x:v>https://www.majorprojects.alberta.ca/</x:v>
      </x:c>
    </x:row>
    <x:row r="122">
      <x:c r="A122" s="63" t="str">
        <x:v>ABMP_11876</x:v>
      </x:c>
      <x:c r="B122" s="63" t="str">
        <x:v>Red Deer Regional Hospital - Ambulatory Building</x:v>
      </x:c>
      <x:c r="C122" s="63" t="str">
        <x:v>Health Facilities</x:v>
      </x:c>
      <x:c r="D122" s="63" t="str">
        <x:v>inferred</x:v>
      </x:c>
      <x:c r="E122" s="63" t="str">
        <x:v>Health Care</x:v>
      </x:c>
      <x:c r="F122" s="63" t="str">
        <x:v>Institutional</x:v>
      </x:c>
      <x:c r="G122" s="63" t="str">
        <x:v>Alberta Infrastructure</x:v>
      </x:c>
      <x:c r="H122" s="63" t="str">
        <x:v>Government Or Public Institution Signal</x:v>
      </x:c>
      <x:c r="I122" s="63" t="str">
        <x:v>inferred</x:v>
      </x:c>
      <x:c r="J122" s="63" t="str">
        <x:v>Red Deer</x:v>
      </x:c>
      <x:c r="K122" s="63" t="str">
        <x:v>Under Construction</x:v>
      </x:c>
      <x:c r="L122" s="143"/>
      <x:c r="M122" s="179" t="n">
        <x:v>2026</x:v>
      </x:c>
      <x:c r="N122" s="179" t="n">
        <x:v>2029</x:v>
      </x:c>
      <x:c r="O122" s="63" t="str">
        <x:v>overlaps</x:v>
      </x:c>
      <x:c r="P122" s="63" t="str">
        <x:v>2027|2028|2029</x:v>
      </x:c>
      <x:c r="Q122" s="143"/>
      <x:c r="R122" s="143"/>
      <x:c r="S122" s="154" t="n">
        <x:v>-113.8200245</x:v>
      </x:c>
      <x:c r="T122" s="154" t="n">
        <x:v>52.2608487</x:v>
      </x:c>
      <x:c r="U122" s="63" t="str">
        <x:v>reported</x:v>
      </x:c>
      <x:c r="V122" s="63" t="str">
        <x:v>ALBERTA_MAJOR_PROJECTS</x:v>
      </x:c>
      <x:c r="W122" s="63" t="str">
        <x:v>observed</x:v>
      </x:c>
      <x:c r="X122" s="155" t="n">
        <x:v>46265</x:v>
      </x:c>
      <x:c r="Y122" s="63" t="str">
        <x:v>https://www.majorprojects.alberta.ca/</x:v>
      </x:c>
    </x:row>
    <x:row r="123">
      <x:c r="A123" s="63" t="str">
        <x:v>ABMP_4050</x:v>
      </x:c>
      <x:c r="B123" s="63" t="str">
        <x:v>Red Deer Regional Hospital Centre Redevelopment</x:v>
      </x:c>
      <x:c r="C123" s="63" t="str">
        <x:v>Health Facilities</x:v>
      </x:c>
      <x:c r="D123" s="63" t="str">
        <x:v>inferred</x:v>
      </x:c>
      <x:c r="E123" s="63" t="str">
        <x:v>Health Care</x:v>
      </x:c>
      <x:c r="F123" s="63" t="str">
        <x:v>Institutional</x:v>
      </x:c>
      <x:c r="G123" s="63" t="str">
        <x:v>Alberta Infrastructure</x:v>
      </x:c>
      <x:c r="H123" s="63" t="str">
        <x:v>Government Or Public Institution Signal</x:v>
      </x:c>
      <x:c r="I123" s="63" t="str">
        <x:v>inferred</x:v>
      </x:c>
      <x:c r="J123" s="63" t="str">
        <x:v>Red Deer</x:v>
      </x:c>
      <x:c r="K123" s="63" t="str">
        <x:v>Under Construction</x:v>
      </x:c>
      <x:c r="L123" s="143" t="n">
        <x:v>1800000000</x:v>
      </x:c>
      <x:c r="M123" s="179" t="n">
        <x:v>2024</x:v>
      </x:c>
      <x:c r="N123" s="179" t="n">
        <x:v>2031</x:v>
      </x:c>
      <x:c r="O123" s="63" t="str">
        <x:v>overlaps</x:v>
      </x:c>
      <x:c r="P123" s="63" t="str">
        <x:v>2027|2028|2029|2030|2031</x:v>
      </x:c>
      <x:c r="Q123" s="143" t="n">
        <x:v>225000000</x:v>
      </x:c>
      <x:c r="R123" s="143" t="n">
        <x:v>1125000000</x:v>
      </x:c>
      <x:c r="S123" s="154" t="n">
        <x:v>-113.8181984424591</x:v>
      </x:c>
      <x:c r="T123" s="154" t="n">
        <x:v>52.261578064125615</x:v>
      </x:c>
      <x:c r="U123" s="63" t="str">
        <x:v>reported</x:v>
      </x:c>
      <x:c r="V123" s="63" t="str">
        <x:v>ALBERTA_MAJOR_PROJECTS</x:v>
      </x:c>
      <x:c r="W123" s="63" t="str">
        <x:v>observed</x:v>
      </x:c>
      <x:c r="X123" s="155" t="n">
        <x:v>46265</x:v>
      </x:c>
      <x:c r="Y123" s="63" t="str">
        <x:v>https://www.majorprojects.alberta.ca/</x:v>
      </x:c>
    </x:row>
    <x:row r="124">
      <x:c r="A124" s="63" t="str">
        <x:v>ABMP_11514</x:v>
      </x:c>
      <x:c r="B124" s="63" t="str">
        <x:v>Rockyview General Hospital Decanting of Trailers (Unit 45) Mental Health Relocation Business Case</x:v>
      </x:c>
      <x:c r="C124" s="63" t="str">
        <x:v>Health Facilities</x:v>
      </x:c>
      <x:c r="D124" s="63" t="str">
        <x:v>inferred</x:v>
      </x:c>
      <x:c r="E124" s="63" t="str">
        <x:v>Health Care</x:v>
      </x:c>
      <x:c r="F124" s="63" t="str">
        <x:v>Institutional</x:v>
      </x:c>
      <x:c r="G124" s="63" t="str">
        <x:v>Alberta Infrastructure</x:v>
      </x:c>
      <x:c r="H124" s="63" t="str">
        <x:v>Government Or Public Institution Signal</x:v>
      </x:c>
      <x:c r="I124" s="63" t="str">
        <x:v>inferred</x:v>
      </x:c>
      <x:c r="J124" s="63" t="str">
        <x:v>Calgary</x:v>
      </x:c>
      <x:c r="K124" s="63" t="str">
        <x:v>Proposed</x:v>
      </x:c>
      <x:c r="L124" s="143"/>
      <x:c r="M124" s="179"/>
      <x:c r="N124" s="179"/>
      <x:c r="O124" s="63" t="str">
        <x:v>indeterminate_incomplete_schedule</x:v>
      </x:c>
      <x:c r="P124" s="63" t="str"/>
      <x:c r="Q124" s="143"/>
      <x:c r="R124" s="143"/>
      <x:c r="S124" s="154" t="n">
        <x:v>-114.098003</x:v>
      </x:c>
      <x:c r="T124" s="154" t="n">
        <x:v>50.990701</x:v>
      </x:c>
      <x:c r="U124" s="63" t="str">
        <x:v>reported</x:v>
      </x:c>
      <x:c r="V124" s="63" t="str">
        <x:v>ALBERTA_MAJOR_PROJECTS</x:v>
      </x:c>
      <x:c r="W124" s="63" t="str">
        <x:v>observed</x:v>
      </x:c>
      <x:c r="X124" s="155" t="n">
        <x:v>46265</x:v>
      </x:c>
      <x:c r="Y124" s="63" t="str">
        <x:v>https://www.majorprojects.alberta.ca/</x:v>
      </x:c>
    </x:row>
    <x:row r="125">
      <x:c r="A125" s="63" t="str">
        <x:v>ABMP_4258</x:v>
      </x:c>
      <x:c r="B125" s="63" t="str">
        <x:v>Sherwood Care Expansion</x:v>
      </x:c>
      <x:c r="C125" s="63" t="str">
        <x:v>Health Facilities</x:v>
      </x:c>
      <x:c r="D125" s="63" t="str">
        <x:v>inferred</x:v>
      </x:c>
      <x:c r="E125" s="63" t="str">
        <x:v>Continuing Care</x:v>
      </x:c>
      <x:c r="F125" s="63" t="str">
        <x:v>Institutional</x:v>
      </x:c>
      <x:c r="G125" s="63" t="str">
        <x:v>Sherwood Care</x:v>
      </x:c>
      <x:c r="H125" s="63" t="str">
        <x:v>Unresolved</x:v>
      </x:c>
      <x:c r="I125" s="63" t="str">
        <x:v>inferred</x:v>
      </x:c>
      <x:c r="J125" s="63" t="str">
        <x:v>Strathcona County</x:v>
      </x:c>
      <x:c r="K125" s="63" t="str">
        <x:v>Under Construction</x:v>
      </x:c>
      <x:c r="L125" s="143" t="n">
        <x:v>113000000</x:v>
      </x:c>
      <x:c r="M125" s="179" t="n">
        <x:v>2024</x:v>
      </x:c>
      <x:c r="N125" s="179" t="n">
        <x:v>2027</x:v>
      </x:c>
      <x:c r="O125" s="63" t="str">
        <x:v>overlaps</x:v>
      </x:c>
      <x:c r="P125" s="63" t="str">
        <x:v>2027</x:v>
      </x:c>
      <x:c r="Q125" s="143" t="n">
        <x:v>28250000</x:v>
      </x:c>
      <x:c r="R125" s="143" t="n">
        <x:v>28250000</x:v>
      </x:c>
      <x:c r="S125" s="154" t="n">
        <x:v>-113.301158</x:v>
      </x:c>
      <x:c r="T125" s="154" t="n">
        <x:v>53.528502</x:v>
      </x:c>
      <x:c r="U125" s="63" t="str">
        <x:v>reported</x:v>
      </x:c>
      <x:c r="V125" s="63" t="str">
        <x:v>ALBERTA_MAJOR_PROJECTS</x:v>
      </x:c>
      <x:c r="W125" s="63" t="str">
        <x:v>observed</x:v>
      </x:c>
      <x:c r="X125" s="155" t="n">
        <x:v>46265</x:v>
      </x:c>
      <x:c r="Y125" s="63" t="str">
        <x:v>https://www.majorprojects.alberta.ca/</x:v>
      </x:c>
    </x:row>
    <x:row r="126">
      <x:c r="A126" s="63" t="str">
        <x:v>ABMP_10646</x:v>
      </x:c>
      <x:c r="B126" s="63" t="str">
        <x:v>Siksika Nation Continuing Care Centre</x:v>
      </x:c>
      <x:c r="C126" s="63" t="str">
        <x:v>Health Facilities</x:v>
      </x:c>
      <x:c r="D126" s="63" t="str">
        <x:v>inferred</x:v>
      </x:c>
      <x:c r="E126" s="63" t="str">
        <x:v>Continuing Care</x:v>
      </x:c>
      <x:c r="F126" s="63" t="str">
        <x:v>Institutional</x:v>
      </x:c>
      <x:c r="G126" s="63" t="str">
        <x:v>Siksika Health Services</x:v>
      </x:c>
      <x:c r="H126" s="63" t="str">
        <x:v>Unresolved</x:v>
      </x:c>
      <x:c r="I126" s="63" t="str">
        <x:v>inferred</x:v>
      </x:c>
      <x:c r="J126" s="63" t="str">
        <x:v>Siksika 146</x:v>
      </x:c>
      <x:c r="K126" s="63" t="str">
        <x:v>Proposed</x:v>
      </x:c>
      <x:c r="L126" s="143"/>
      <x:c r="M126" s="179"/>
      <x:c r="N126" s="179"/>
      <x:c r="O126" s="63" t="str">
        <x:v>indeterminate_incomplete_schedule</x:v>
      </x:c>
      <x:c r="P126" s="63" t="str"/>
      <x:c r="Q126" s="143"/>
      <x:c r="R126" s="143"/>
      <x:c r="S126" s="154" t="n">
        <x:v>-113.047589</x:v>
      </x:c>
      <x:c r="T126" s="154" t="n">
        <x:v>50.84342</x:v>
      </x:c>
      <x:c r="U126" s="63" t="str">
        <x:v>reported</x:v>
      </x:c>
      <x:c r="V126" s="63" t="str">
        <x:v>ALBERTA_MAJOR_PROJECTS</x:v>
      </x:c>
      <x:c r="W126" s="63" t="str">
        <x:v>observed</x:v>
      </x:c>
      <x:c r="X126" s="155" t="n">
        <x:v>46265</x:v>
      </x:c>
      <x:c r="Y126" s="63" t="str">
        <x:v>https://www.majorprojects.alberta.ca/</x:v>
      </x:c>
    </x:row>
    <x:row r="127">
      <x:c r="A127" s="63" t="str">
        <x:v>ABMP_12124</x:v>
      </x:c>
      <x:c r="B127" s="63" t="str">
        <x:v>South Health Campus Expansion Planning</x:v>
      </x:c>
      <x:c r="C127" s="63" t="str">
        <x:v>Health Facilities</x:v>
      </x:c>
      <x:c r="D127" s="63" t="str">
        <x:v>inferred</x:v>
      </x:c>
      <x:c r="E127" s="63" t="str">
        <x:v>Health Care</x:v>
      </x:c>
      <x:c r="F127" s="63" t="str">
        <x:v>Institutional</x:v>
      </x:c>
      <x:c r="G127" s="63" t="str">
        <x:v>Alberta Infrastructure</x:v>
      </x:c>
      <x:c r="H127" s="63" t="str">
        <x:v>Government Or Public Institution Signal</x:v>
      </x:c>
      <x:c r="I127" s="63" t="str">
        <x:v>inferred</x:v>
      </x:c>
      <x:c r="J127" s="63" t="str">
        <x:v>Calgary</x:v>
      </x:c>
      <x:c r="K127" s="63" t="str">
        <x:v>Proposed</x:v>
      </x:c>
      <x:c r="L127" s="143"/>
      <x:c r="M127" s="179"/>
      <x:c r="N127" s="179"/>
      <x:c r="O127" s="63" t="str">
        <x:v>indeterminate_incomplete_schedule</x:v>
      </x:c>
      <x:c r="P127" s="63" t="str"/>
      <x:c r="Q127" s="143"/>
      <x:c r="R127" s="143"/>
      <x:c r="S127" s="154" t="n">
        <x:v>-113.9534941</x:v>
      </x:c>
      <x:c r="T127" s="154" t="n">
        <x:v>50.8823872</x:v>
      </x:c>
      <x:c r="U127" s="63" t="str">
        <x:v>reported</x:v>
      </x:c>
      <x:c r="V127" s="63" t="str">
        <x:v>ALBERTA_MAJOR_PROJECTS</x:v>
      </x:c>
      <x:c r="W127" s="63" t="str">
        <x:v>observed</x:v>
      </x:c>
      <x:c r="X127" s="155" t="n">
        <x:v>46265</x:v>
      </x:c>
      <x:c r="Y127" s="63" t="str">
        <x:v>https://www.majorprojects.alberta.ca/</x:v>
      </x:c>
    </x:row>
    <x:row r="128">
      <x:c r="A128" s="63" t="str">
        <x:v>ABMP_11877</x:v>
      </x:c>
      <x:c r="B128" s="63" t="str">
        <x:v>South Health Campus ICU and Cardiac Sciences ICU Shelled Space Redevelopment Planning</x:v>
      </x:c>
      <x:c r="C128" s="63" t="str">
        <x:v>Health Facilities</x:v>
      </x:c>
      <x:c r="D128" s="63" t="str">
        <x:v>inferred</x:v>
      </x:c>
      <x:c r="E128" s="63" t="str">
        <x:v>Health Care</x:v>
      </x:c>
      <x:c r="F128" s="63" t="str">
        <x:v>Institutional</x:v>
      </x:c>
      <x:c r="G128" s="63" t="str">
        <x:v>Alberta Infrastructure</x:v>
      </x:c>
      <x:c r="H128" s="63" t="str">
        <x:v>Government Or Public Institution Signal</x:v>
      </x:c>
      <x:c r="I128" s="63" t="str">
        <x:v>inferred</x:v>
      </x:c>
      <x:c r="J128" s="63" t="str">
        <x:v>Calgary</x:v>
      </x:c>
      <x:c r="K128" s="63" t="str">
        <x:v>Proposed</x:v>
      </x:c>
      <x:c r="L128" s="143"/>
      <x:c r="M128" s="179"/>
      <x:c r="N128" s="179"/>
      <x:c r="O128" s="63" t="str">
        <x:v>indeterminate_incomplete_schedule</x:v>
      </x:c>
      <x:c r="P128" s="63" t="str"/>
      <x:c r="Q128" s="143"/>
      <x:c r="R128" s="143"/>
      <x:c r="S128" s="154" t="n">
        <x:v>-113.9534941</x:v>
      </x:c>
      <x:c r="T128" s="154" t="n">
        <x:v>50.8823872</x:v>
      </x:c>
      <x:c r="U128" s="63" t="str">
        <x:v>reported</x:v>
      </x:c>
      <x:c r="V128" s="63" t="str">
        <x:v>ALBERTA_MAJOR_PROJECTS</x:v>
      </x:c>
      <x:c r="W128" s="63" t="str">
        <x:v>observed</x:v>
      </x:c>
      <x:c r="X128" s="155" t="n">
        <x:v>46265</x:v>
      </x:c>
      <x:c r="Y128" s="63" t="str">
        <x:v>https://www.majorprojects.alberta.ca/</x:v>
      </x:c>
    </x:row>
    <x:row r="129">
      <x:c r="A129" s="63" t="str">
        <x:v>ABMP_11503</x:v>
      </x:c>
      <x:c r="B129" s="63" t="str">
        <x:v>South Zone Cardiac Services and ICU Functional Program (Lethbridge)</x:v>
      </x:c>
      <x:c r="C129" s="63" t="str">
        <x:v>Health Facilities</x:v>
      </x:c>
      <x:c r="D129" s="63" t="str">
        <x:v>inferred</x:v>
      </x:c>
      <x:c r="E129" s="63" t="str">
        <x:v>Health Care</x:v>
      </x:c>
      <x:c r="F129" s="63" t="str">
        <x:v>Institutional</x:v>
      </x:c>
      <x:c r="G129" s="63" t="str">
        <x:v>Alberta Infrastructure</x:v>
      </x:c>
      <x:c r="H129" s="63" t="str">
        <x:v>Government Or Public Institution Signal</x:v>
      </x:c>
      <x:c r="I129" s="63" t="str">
        <x:v>inferred</x:v>
      </x:c>
      <x:c r="J129" s="63" t="str">
        <x:v>Lethbridge</x:v>
      </x:c>
      <x:c r="K129" s="63" t="str">
        <x:v>Proposed</x:v>
      </x:c>
      <x:c r="L129" s="143"/>
      <x:c r="M129" s="179"/>
      <x:c r="N129" s="179"/>
      <x:c r="O129" s="63" t="str">
        <x:v>indeterminate_incomplete_schedule</x:v>
      </x:c>
      <x:c r="P129" s="63" t="str"/>
      <x:c r="Q129" s="143"/>
      <x:c r="R129" s="143"/>
      <x:c r="S129" s="154" t="n">
        <x:v>-112.81577857329798</x:v>
      </x:c>
      <x:c r="T129" s="154" t="n">
        <x:v>49.68484910362169</x:v>
      </x:c>
      <x:c r="U129" s="63" t="str">
        <x:v>reported</x:v>
      </x:c>
      <x:c r="V129" s="63" t="str">
        <x:v>ALBERTA_MAJOR_PROJECTS</x:v>
      </x:c>
      <x:c r="W129" s="63" t="str">
        <x:v>observed</x:v>
      </x:c>
      <x:c r="X129" s="155" t="n">
        <x:v>46265</x:v>
      </x:c>
      <x:c r="Y129" s="63" t="str">
        <x:v>https://www.majorprojects.alberta.ca/</x:v>
      </x:c>
    </x:row>
    <x:row r="130">
      <x:c r="A130" s="63" t="str">
        <x:v>ABMP_12201</x:v>
      </x:c>
      <x:c r="B130" s="63" t="str">
        <x:v>South Zone Cardiac and ICU Capacity Project (Medicine Hat)</x:v>
      </x:c>
      <x:c r="C130" s="63" t="str">
        <x:v>Health Facilities</x:v>
      </x:c>
      <x:c r="D130" s="63" t="str">
        <x:v>inferred</x:v>
      </x:c>
      <x:c r="E130" s="63" t="str">
        <x:v>Health Care</x:v>
      </x:c>
      <x:c r="F130" s="63" t="str">
        <x:v>Institutional</x:v>
      </x:c>
      <x:c r="G130" s="63" t="str">
        <x:v>Alberta Infrastructure</x:v>
      </x:c>
      <x:c r="H130" s="63" t="str">
        <x:v>Government Or Public Institution Signal</x:v>
      </x:c>
      <x:c r="I130" s="63" t="str">
        <x:v>inferred</x:v>
      </x:c>
      <x:c r="J130" s="63" t="str">
        <x:v>Medicine Hat</x:v>
      </x:c>
      <x:c r="K130" s="63" t="str">
        <x:v>Proposed</x:v>
      </x:c>
      <x:c r="L130" s="143"/>
      <x:c r="M130" s="179"/>
      <x:c r="N130" s="179"/>
      <x:c r="O130" s="63" t="str">
        <x:v>indeterminate_incomplete_schedule</x:v>
      </x:c>
      <x:c r="P130" s="63" t="str"/>
      <x:c r="Q130" s="143"/>
      <x:c r="R130" s="143"/>
      <x:c r="S130" s="154" t="n">
        <x:v>-110.70269864646018</x:v>
      </x:c>
      <x:c r="T130" s="154" t="n">
        <x:v>50.03478859053004</x:v>
      </x:c>
      <x:c r="U130" s="63" t="str">
        <x:v>approximate</x:v>
      </x:c>
      <x:c r="V130" s="63" t="str">
        <x:v>ALBERTA_MAJOR_PROJECTS</x:v>
      </x:c>
      <x:c r="W130" s="63" t="str">
        <x:v>observed</x:v>
      </x:c>
      <x:c r="X130" s="155" t="n">
        <x:v>46265</x:v>
      </x:c>
      <x:c r="Y130" s="63" t="str">
        <x:v>https://www.majorprojects.alberta.ca/</x:v>
      </x:c>
    </x:row>
    <x:row r="131">
      <x:c r="A131" s="63" t="str">
        <x:v>ABMP_11505</x:v>
      </x:c>
      <x:c r="B131" s="63" t="str">
        <x:v>Southern Alberta Compassionate Intervention Centre (SACIC) - Calgary</x:v>
      </x:c>
      <x:c r="C131" s="63" t="str">
        <x:v>Health Facilities</x:v>
      </x:c>
      <x:c r="D131" s="63" t="str">
        <x:v>inferred</x:v>
      </x:c>
      <x:c r="E131" s="63" t="str">
        <x:v>Health Care</x:v>
      </x:c>
      <x:c r="F131" s="63" t="str">
        <x:v>Institutional</x:v>
      </x:c>
      <x:c r="G131" s="63" t="str">
        <x:v>Alberta Infrastructure</x:v>
      </x:c>
      <x:c r="H131" s="63" t="str">
        <x:v>Government Or Public Institution Signal</x:v>
      </x:c>
      <x:c r="I131" s="63" t="str">
        <x:v>inferred</x:v>
      </x:c>
      <x:c r="J131" s="63" t="str">
        <x:v>Calgary</x:v>
      </x:c>
      <x:c r="K131" s="63" t="str">
        <x:v>Proposed</x:v>
      </x:c>
      <x:c r="L131" s="143"/>
      <x:c r="M131" s="179"/>
      <x:c r="N131" s="179"/>
      <x:c r="O131" s="63" t="str">
        <x:v>indeterminate_incomplete_schedule</x:v>
      </x:c>
      <x:c r="P131" s="63" t="str"/>
      <x:c r="Q131" s="143"/>
      <x:c r="R131" s="143"/>
      <x:c r="S131" s="154" t="n">
        <x:v>-114.220364</x:v>
      </x:c>
      <x:c r="T131" s="154" t="n">
        <x:v>51.15547</x:v>
      </x:c>
      <x:c r="U131" s="63" t="str">
        <x:v>approximate</x:v>
      </x:c>
      <x:c r="V131" s="63" t="str">
        <x:v>ALBERTA_MAJOR_PROJECTS</x:v>
      </x:c>
      <x:c r="W131" s="63" t="str">
        <x:v>observed</x:v>
      </x:c>
      <x:c r="X131" s="155" t="n">
        <x:v>46265</x:v>
      </x:c>
      <x:c r="Y131" s="63" t="str">
        <x:v>https://www.majorprojects.alberta.ca/</x:v>
      </x:c>
    </x:row>
    <x:row r="132">
      <x:c r="A132" s="63" t="str">
        <x:v>ABMP_11516</x:v>
      </x:c>
      <x:c r="B132" s="63" t="str">
        <x:v>Southern Alberta Forensic Psychiatry Centre (Phase 2) Redevelopment Business Case</x:v>
      </x:c>
      <x:c r="C132" s="63" t="str">
        <x:v>Health Facilities</x:v>
      </x:c>
      <x:c r="D132" s="63" t="str">
        <x:v>inferred</x:v>
      </x:c>
      <x:c r="E132" s="63" t="str">
        <x:v>Health Care</x:v>
      </x:c>
      <x:c r="F132" s="63" t="str">
        <x:v>Institutional</x:v>
      </x:c>
      <x:c r="G132" s="63" t="str">
        <x:v>Alberta Infrastructure</x:v>
      </x:c>
      <x:c r="H132" s="63" t="str">
        <x:v>Government Or Public Institution Signal</x:v>
      </x:c>
      <x:c r="I132" s="63" t="str">
        <x:v>inferred</x:v>
      </x:c>
      <x:c r="J132" s="63" t="str">
        <x:v>Calgary</x:v>
      </x:c>
      <x:c r="K132" s="63" t="str">
        <x:v>Proposed</x:v>
      </x:c>
      <x:c r="L132" s="143"/>
      <x:c r="M132" s="179"/>
      <x:c r="N132" s="179"/>
      <x:c r="O132" s="63" t="str">
        <x:v>indeterminate_incomplete_schedule</x:v>
      </x:c>
      <x:c r="P132" s="63" t="str"/>
      <x:c r="Q132" s="143"/>
      <x:c r="R132" s="143"/>
      <x:c r="S132" s="154" t="n">
        <x:v>-114.220589</x:v>
      </x:c>
      <x:c r="T132" s="154" t="n">
        <x:v>51.155995</x:v>
      </x:c>
      <x:c r="U132" s="63" t="str">
        <x:v>reported</x:v>
      </x:c>
      <x:c r="V132" s="63" t="str">
        <x:v>ALBERTA_MAJOR_PROJECTS</x:v>
      </x:c>
      <x:c r="W132" s="63" t="str">
        <x:v>observed</x:v>
      </x:c>
      <x:c r="X132" s="155" t="n">
        <x:v>46265</x:v>
      </x:c>
      <x:c r="Y132" s="63" t="str">
        <x:v>https://www.majorprojects.alberta.ca/</x:v>
      </x:c>
    </x:row>
    <x:row r="133">
      <x:c r="A133" s="63" t="str">
        <x:v>ABMP_12122</x:v>
      </x:c>
      <x:c r="B133" s="63" t="str">
        <x:v>St. Paul Healthcare Centre (SPHC) Modernization and Expansion</x:v>
      </x:c>
      <x:c r="C133" s="63" t="str">
        <x:v>Health Facilities</x:v>
      </x:c>
      <x:c r="D133" s="63" t="str">
        <x:v>inferred</x:v>
      </x:c>
      <x:c r="E133" s="63" t="str">
        <x:v>Health Care</x:v>
      </x:c>
      <x:c r="F133" s="63" t="str">
        <x:v>Institutional</x:v>
      </x:c>
      <x:c r="G133" s="63" t="str">
        <x:v>Alberta Infrastructure</x:v>
      </x:c>
      <x:c r="H133" s="63" t="str">
        <x:v>Government Or Public Institution Signal</x:v>
      </x:c>
      <x:c r="I133" s="63" t="str">
        <x:v>inferred</x:v>
      </x:c>
      <x:c r="J133" s="63" t="str">
        <x:v>St. Paul</x:v>
      </x:c>
      <x:c r="K133" s="63" t="str">
        <x:v>Proposed</x:v>
      </x:c>
      <x:c r="L133" s="143"/>
      <x:c r="M133" s="179"/>
      <x:c r="N133" s="179"/>
      <x:c r="O133" s="63" t="str">
        <x:v>indeterminate_incomplete_schedule</x:v>
      </x:c>
      <x:c r="P133" s="63" t="str"/>
      <x:c r="Q133" s="143"/>
      <x:c r="R133" s="143"/>
      <x:c r="S133" s="154" t="n">
        <x:v>-111.29029994959848</x:v>
      </x:c>
      <x:c r="T133" s="154" t="n">
        <x:v>53.98871565667074</x:v>
      </x:c>
      <x:c r="U133" s="63" t="str">
        <x:v>reported</x:v>
      </x:c>
      <x:c r="V133" s="63" t="str">
        <x:v>ALBERTA_MAJOR_PROJECTS</x:v>
      </x:c>
      <x:c r="W133" s="63" t="str">
        <x:v>observed</x:v>
      </x:c>
      <x:c r="X133" s="155" t="n">
        <x:v>46265</x:v>
      </x:c>
      <x:c r="Y133" s="63" t="str">
        <x:v>https://www.majorprojects.alberta.ca/</x:v>
      </x:c>
    </x:row>
    <x:row r="134">
      <x:c r="A134" s="63" t="str">
        <x:v>ABMP_10961</x:v>
      </x:c>
      <x:c r="B134" s="63" t="str">
        <x:v>Stollery Children's Hospital (Edmonton) Planning</x:v>
      </x:c>
      <x:c r="C134" s="63" t="str">
        <x:v>Health Facilities</x:v>
      </x:c>
      <x:c r="D134" s="63" t="str">
        <x:v>inferred</x:v>
      </x:c>
      <x:c r="E134" s="63" t="str">
        <x:v>Health Care</x:v>
      </x:c>
      <x:c r="F134" s="63" t="str">
        <x:v>Institutional</x:v>
      </x:c>
      <x:c r="G134" s="63" t="str">
        <x:v>Alberta Infrastructure</x:v>
      </x:c>
      <x:c r="H134" s="63" t="str">
        <x:v>Government Or Public Institution Signal</x:v>
      </x:c>
      <x:c r="I134" s="63" t="str">
        <x:v>inferred</x:v>
      </x:c>
      <x:c r="J134" s="63" t="str">
        <x:v>Edmonton</x:v>
      </x:c>
      <x:c r="K134" s="63" t="str">
        <x:v>Proposed</x:v>
      </x:c>
      <x:c r="L134" s="143"/>
      <x:c r="M134" s="179"/>
      <x:c r="N134" s="179"/>
      <x:c r="O134" s="63" t="str">
        <x:v>indeterminate_incomplete_schedule</x:v>
      </x:c>
      <x:c r="P134" s="63" t="str"/>
      <x:c r="Q134" s="143"/>
      <x:c r="R134" s="143"/>
      <x:c r="S134" s="154" t="n">
        <x:v>-113.538055</x:v>
      </x:c>
      <x:c r="T134" s="154" t="n">
        <x:v>53.489711</x:v>
      </x:c>
      <x:c r="U134" s="63" t="str">
        <x:v>reported</x:v>
      </x:c>
      <x:c r="V134" s="63" t="str">
        <x:v>ALBERTA_MAJOR_PROJECTS</x:v>
      </x:c>
      <x:c r="W134" s="63" t="str">
        <x:v>observed</x:v>
      </x:c>
      <x:c r="X134" s="155" t="n">
        <x:v>46265</x:v>
      </x:c>
      <x:c r="Y134" s="63" t="str">
        <x:v>https://www.majorprojects.alberta.ca/</x:v>
      </x:c>
    </x:row>
    <x:row r="135">
      <x:c r="A135" s="63" t="str">
        <x:v>ABMP_10962</x:v>
      </x:c>
      <x:c r="B135" s="63" t="str">
        <x:v>Strathcona Community Hospital Expansion Planning</x:v>
      </x:c>
      <x:c r="C135" s="63" t="str">
        <x:v>Health Facilities</x:v>
      </x:c>
      <x:c r="D135" s="63" t="str">
        <x:v>inferred</x:v>
      </x:c>
      <x:c r="E135" s="63" t="str">
        <x:v>Health Care</x:v>
      </x:c>
      <x:c r="F135" s="63" t="str">
        <x:v>Institutional</x:v>
      </x:c>
      <x:c r="G135" s="63" t="str">
        <x:v>Alberta Infrastructure</x:v>
      </x:c>
      <x:c r="H135" s="63" t="str">
        <x:v>Government Or Public Institution Signal</x:v>
      </x:c>
      <x:c r="I135" s="63" t="str">
        <x:v>inferred</x:v>
      </x:c>
      <x:c r="J135" s="63" t="str">
        <x:v>Strathcona County</x:v>
      </x:c>
      <x:c r="K135" s="63" t="str">
        <x:v>Proposed</x:v>
      </x:c>
      <x:c r="L135" s="143"/>
      <x:c r="M135" s="179"/>
      <x:c r="N135" s="179"/>
      <x:c r="O135" s="63" t="str">
        <x:v>indeterminate_incomplete_schedule</x:v>
      </x:c>
      <x:c r="P135" s="63" t="str"/>
      <x:c r="Q135" s="143"/>
      <x:c r="R135" s="143"/>
      <x:c r="S135" s="154" t="n">
        <x:v>-113.277033</x:v>
      </x:c>
      <x:c r="T135" s="154" t="n">
        <x:v>53.567881</x:v>
      </x:c>
      <x:c r="U135" s="63" t="str">
        <x:v>reported</x:v>
      </x:c>
      <x:c r="V135" s="63" t="str">
        <x:v>ALBERTA_MAJOR_PROJECTS</x:v>
      </x:c>
      <x:c r="W135" s="63" t="str">
        <x:v>observed</x:v>
      </x:c>
      <x:c r="X135" s="155" t="n">
        <x:v>46265</x:v>
      </x:c>
      <x:c r="Y135" s="63" t="str">
        <x:v>https://www.majorprojects.alberta.ca/</x:v>
      </x:c>
    </x:row>
    <x:row r="136">
      <x:c r="A136" s="63" t="str">
        <x:v>ABMP_12200</x:v>
      </x:c>
      <x:c r="B136" s="63" t="str">
        <x:v>Sturgeon Community Hospital - Unit 15 Expansion</x:v>
      </x:c>
      <x:c r="C136" s="63" t="str">
        <x:v>Health Facilities</x:v>
      </x:c>
      <x:c r="D136" s="63" t="str">
        <x:v>inferred</x:v>
      </x:c>
      <x:c r="E136" s="63" t="str">
        <x:v>Health Care</x:v>
      </x:c>
      <x:c r="F136" s="63" t="str">
        <x:v>Institutional</x:v>
      </x:c>
      <x:c r="G136" s="63" t="str">
        <x:v>Alberta Infrastructure</x:v>
      </x:c>
      <x:c r="H136" s="63" t="str">
        <x:v>Government Or Public Institution Signal</x:v>
      </x:c>
      <x:c r="I136" s="63" t="str">
        <x:v>inferred</x:v>
      </x:c>
      <x:c r="J136" s="63" t="str">
        <x:v>St. Albert</x:v>
      </x:c>
      <x:c r="K136" s="63" t="str">
        <x:v>Proposed</x:v>
      </x:c>
      <x:c r="L136" s="143"/>
      <x:c r="M136" s="179"/>
      <x:c r="N136" s="179"/>
      <x:c r="O136" s="63" t="str">
        <x:v>indeterminate_incomplete_schedule</x:v>
      </x:c>
      <x:c r="P136" s="63" t="str"/>
      <x:c r="Q136" s="143"/>
      <x:c r="R136" s="143"/>
      <x:c r="S136" s="154" t="n">
        <x:v>-113.62609145979187</x:v>
      </x:c>
      <x:c r="T136" s="154" t="n">
        <x:v>53.65564528860904</x:v>
      </x:c>
      <x:c r="U136" s="63" t="str">
        <x:v>reported</x:v>
      </x:c>
      <x:c r="V136" s="63" t="str">
        <x:v>ALBERTA_MAJOR_PROJECTS</x:v>
      </x:c>
      <x:c r="W136" s="63" t="str">
        <x:v>observed</x:v>
      </x:c>
      <x:c r="X136" s="155" t="n">
        <x:v>46265</x:v>
      </x:c>
      <x:c r="Y136" s="63" t="str">
        <x:v>https://www.majorprojects.alberta.ca/</x:v>
      </x:c>
    </x:row>
    <x:row r="137">
      <x:c r="A137" s="63" t="str">
        <x:v>ABMP_11606</x:v>
      </x:c>
      <x:c r="B137" s="63" t="str">
        <x:v>Sundre Community Health Centre Replacement Business Case</x:v>
      </x:c>
      <x:c r="C137" s="63" t="str">
        <x:v>Health Facilities</x:v>
      </x:c>
      <x:c r="D137" s="63" t="str">
        <x:v>inferred</x:v>
      </x:c>
      <x:c r="E137" s="63" t="str">
        <x:v>Health Care</x:v>
      </x:c>
      <x:c r="F137" s="63" t="str">
        <x:v>Institutional</x:v>
      </x:c>
      <x:c r="G137" s="63" t="str">
        <x:v>Alberta Infrastructure</x:v>
      </x:c>
      <x:c r="H137" s="63" t="str">
        <x:v>Government Or Public Institution Signal</x:v>
      </x:c>
      <x:c r="I137" s="63" t="str">
        <x:v>inferred</x:v>
      </x:c>
      <x:c r="J137" s="63" t="str">
        <x:v>Sundre</x:v>
      </x:c>
      <x:c r="K137" s="63" t="str">
        <x:v>Proposed</x:v>
      </x:c>
      <x:c r="L137" s="143"/>
      <x:c r="M137" s="179"/>
      <x:c r="N137" s="179"/>
      <x:c r="O137" s="63" t="str">
        <x:v>indeterminate_incomplete_schedule</x:v>
      </x:c>
      <x:c r="P137" s="63" t="str"/>
      <x:c r="Q137" s="143"/>
      <x:c r="R137" s="143"/>
      <x:c r="S137" s="154" t="n">
        <x:v>-114.6382882</x:v>
      </x:c>
      <x:c r="T137" s="154" t="n">
        <x:v>51.8072163</x:v>
      </x:c>
      <x:c r="U137" s="63" t="str">
        <x:v>reported</x:v>
      </x:c>
      <x:c r="V137" s="63" t="str">
        <x:v>ALBERTA_MAJOR_PROJECTS</x:v>
      </x:c>
      <x:c r="W137" s="63" t="str">
        <x:v>observed</x:v>
      </x:c>
      <x:c r="X137" s="155" t="n">
        <x:v>46265</x:v>
      </x:c>
      <x:c r="Y137" s="63" t="str">
        <x:v>https://www.majorprojects.alberta.ca/</x:v>
      </x:c>
    </x:row>
    <x:row r="138">
      <x:c r="A138" s="63" t="str">
        <x:v>ABMP_12111</x:v>
      </x:c>
      <x:c r="B138" s="63" t="str">
        <x:v>Sylvan Lake Advanced Ambulatory Care Centre Conversion</x:v>
      </x:c>
      <x:c r="C138" s="63" t="str">
        <x:v>Health Facilities</x:v>
      </x:c>
      <x:c r="D138" s="63" t="str">
        <x:v>inferred</x:v>
      </x:c>
      <x:c r="E138" s="63" t="str">
        <x:v>Health Care</x:v>
      </x:c>
      <x:c r="F138" s="63" t="str">
        <x:v>Institutional</x:v>
      </x:c>
      <x:c r="G138" s="63" t="str">
        <x:v>Alberta Infrastructure</x:v>
      </x:c>
      <x:c r="H138" s="63" t="str">
        <x:v>Government Or Public Institution Signal</x:v>
      </x:c>
      <x:c r="I138" s="63" t="str">
        <x:v>inferred</x:v>
      </x:c>
      <x:c r="J138" s="63" t="str">
        <x:v>Sylvan Lake</x:v>
      </x:c>
      <x:c r="K138" s="63" t="str">
        <x:v>Proposed</x:v>
      </x:c>
      <x:c r="L138" s="143"/>
      <x:c r="M138" s="179"/>
      <x:c r="N138" s="179"/>
      <x:c r="O138" s="63" t="str">
        <x:v>indeterminate_incomplete_schedule</x:v>
      </x:c>
      <x:c r="P138" s="63" t="str"/>
      <x:c r="Q138" s="143"/>
      <x:c r="R138" s="143"/>
      <x:c r="S138" s="154" t="n">
        <x:v>-114.09089469081813</x:v>
      </x:c>
      <x:c r="T138" s="154" t="n">
        <x:v>52.308482010382995</x:v>
      </x:c>
      <x:c r="U138" s="63" t="str">
        <x:v>approximate</x:v>
      </x:c>
      <x:c r="V138" s="63" t="str">
        <x:v>ALBERTA_MAJOR_PROJECTS</x:v>
      </x:c>
      <x:c r="W138" s="63" t="str">
        <x:v>observed</x:v>
      </x:c>
      <x:c r="X138" s="155" t="n">
        <x:v>46265</x:v>
      </x:c>
      <x:c r="Y138" s="63" t="str">
        <x:v>https://www.majorprojects.alberta.ca/</x:v>
      </x:c>
    </x:row>
    <x:row r="139">
      <x:c r="A139" s="63" t="str">
        <x:v>ABMP_10535</x:v>
      </x:c>
      <x:c r="B139" s="63" t="str">
        <x:v>University of Alberta Hospital Brain Centre - Neurosciences Intensive Care Unit (NSICU)</x:v>
      </x:c>
      <x:c r="C139" s="63" t="str">
        <x:v>Health Facilities</x:v>
      </x:c>
      <x:c r="D139" s="63" t="str">
        <x:v>inferred</x:v>
      </x:c>
      <x:c r="E139" s="63" t="str">
        <x:v>Health Care</x:v>
      </x:c>
      <x:c r="F139" s="63" t="str">
        <x:v>Institutional</x:v>
      </x:c>
      <x:c r="G139" s="63" t="str">
        <x:v>Alberta Infrastructure</x:v>
      </x:c>
      <x:c r="H139" s="63" t="str">
        <x:v>Government Or Public Institution Signal</x:v>
      </x:c>
      <x:c r="I139" s="63" t="str">
        <x:v>inferred</x:v>
      </x:c>
      <x:c r="J139" s="63" t="str">
        <x:v>Edmonton</x:v>
      </x:c>
      <x:c r="K139" s="63" t="str">
        <x:v>Under Construction</x:v>
      </x:c>
      <x:c r="L139" s="143" t="n">
        <x:v>212000000</x:v>
      </x:c>
      <x:c r="M139" s="179" t="n">
        <x:v>2024</x:v>
      </x:c>
      <x:c r="N139" s="179" t="n">
        <x:v>2029</x:v>
      </x:c>
      <x:c r="O139" s="63" t="str">
        <x:v>overlaps</x:v>
      </x:c>
      <x:c r="P139" s="63" t="str">
        <x:v>2027|2028|2029</x:v>
      </x:c>
      <x:c r="Q139" s="143" t="n">
        <x:v>35333333.333333336</x:v>
      </x:c>
      <x:c r="R139" s="143" t="n">
        <x:v>106000000</x:v>
      </x:c>
      <x:c r="S139" s="154" t="n">
        <x:v>-113.522913</x:v>
      </x:c>
      <x:c r="T139" s="154" t="n">
        <x:v>53.520331</x:v>
      </x:c>
      <x:c r="U139" s="63" t="str">
        <x:v>reported</x:v>
      </x:c>
      <x:c r="V139" s="63" t="str">
        <x:v>ALBERTA_MAJOR_PROJECTS</x:v>
      </x:c>
      <x:c r="W139" s="63" t="str">
        <x:v>observed</x:v>
      </x:c>
      <x:c r="X139" s="155" t="n">
        <x:v>46265</x:v>
      </x:c>
      <x:c r="Y139" s="63" t="str">
        <x:v>https://www.majorprojects.alberta.ca/</x:v>
      </x:c>
    </x:row>
    <x:row r="140">
      <x:c r="A140" s="63" t="str">
        <x:v>ABMP_11948</x:v>
      </x:c>
      <x:c r="B140" s="63" t="str">
        <x:v>Urgent Care Centres Planning</x:v>
      </x:c>
      <x:c r="C140" s="63" t="str">
        <x:v>Health Facilities</x:v>
      </x:c>
      <x:c r="D140" s="63" t="str">
        <x:v>inferred</x:v>
      </x:c>
      <x:c r="E140" s="63" t="str">
        <x:v>Health Care</x:v>
      </x:c>
      <x:c r="F140" s="63" t="str">
        <x:v>Institutional</x:v>
      </x:c>
      <x:c r="G140" s="63" t="str">
        <x:v>Alberta Infrastructure</x:v>
      </x:c>
      <x:c r="H140" s="63" t="str">
        <x:v>Government Or Public Institution Signal</x:v>
      </x:c>
      <x:c r="I140" s="63" t="str">
        <x:v>inferred</x:v>
      </x:c>
      <x:c r="J140" s="63" t="str">
        <x:v>Edmonton</x:v>
      </x:c>
      <x:c r="K140" s="63" t="str">
        <x:v>Proposed</x:v>
      </x:c>
      <x:c r="L140" s="143"/>
      <x:c r="M140" s="179"/>
      <x:c r="N140" s="179"/>
      <x:c r="O140" s="63" t="str">
        <x:v>indeterminate_incomplete_schedule</x:v>
      </x:c>
      <x:c r="P140" s="63" t="str"/>
      <x:c r="Q140" s="143"/>
      <x:c r="R140" s="143"/>
      <x:c r="S140" s="154" t="n">
        <x:v>-113.523209</x:v>
      </x:c>
      <x:c r="T140" s="154" t="n">
        <x:v>53.521058</x:v>
      </x:c>
      <x:c r="U140" s="63" t="str">
        <x:v>approximate</x:v>
      </x:c>
      <x:c r="V140" s="63" t="str">
        <x:v>ALBERTA_MAJOR_PROJECTS</x:v>
      </x:c>
      <x:c r="W140" s="63" t="str">
        <x:v>observed</x:v>
      </x:c>
      <x:c r="X140" s="155" t="n">
        <x:v>46265</x:v>
      </x:c>
      <x:c r="Y140" s="63" t="str">
        <x:v>https://www.majorprojects.alberta.ca/</x:v>
      </x:c>
    </x:row>
    <x:row r="141">
      <x:c r="A141" s="63" t="str">
        <x:v>ABMP_12110</x:v>
      </x:c>
      <x:c r="B141" s="63" t="str">
        <x:v>Walter MacKenzie Centre Planning</x:v>
      </x:c>
      <x:c r="C141" s="63" t="str">
        <x:v>Health Facilities</x:v>
      </x:c>
      <x:c r="D141" s="63" t="str">
        <x:v>inferred</x:v>
      </x:c>
      <x:c r="E141" s="63" t="str">
        <x:v>Health Care</x:v>
      </x:c>
      <x:c r="F141" s="63" t="str">
        <x:v>Institutional</x:v>
      </x:c>
      <x:c r="G141" s="63" t="str">
        <x:v>Alberta Infrastructure</x:v>
      </x:c>
      <x:c r="H141" s="63" t="str">
        <x:v>Government Or Public Institution Signal</x:v>
      </x:c>
      <x:c r="I141" s="63" t="str">
        <x:v>inferred</x:v>
      </x:c>
      <x:c r="J141" s="63" t="str">
        <x:v>Edmonton</x:v>
      </x:c>
      <x:c r="K141" s="63" t="str">
        <x:v>Proposed</x:v>
      </x:c>
      <x:c r="L141" s="143"/>
      <x:c r="M141" s="179"/>
      <x:c r="N141" s="179"/>
      <x:c r="O141" s="63" t="str">
        <x:v>indeterminate_incomplete_schedule</x:v>
      </x:c>
      <x:c r="P141" s="63" t="str"/>
      <x:c r="Q141" s="143"/>
      <x:c r="R141" s="143"/>
      <x:c r="S141" s="154" t="n">
        <x:v>-113.523477</x:v>
      </x:c>
      <x:c r="T141" s="154" t="n">
        <x:v>53.520363</x:v>
      </x:c>
      <x:c r="U141" s="63" t="str">
        <x:v>reported</x:v>
      </x:c>
      <x:c r="V141" s="63" t="str">
        <x:v>ALBERTA_MAJOR_PROJECTS</x:v>
      </x:c>
      <x:c r="W141" s="63" t="str">
        <x:v>observed</x:v>
      </x:c>
      <x:c r="X141" s="155" t="n">
        <x:v>46265</x:v>
      </x:c>
      <x:c r="Y141" s="63" t="str">
        <x:v>https://www.majorprojects.alberta.ca/</x:v>
      </x:c>
    </x:row>
    <x:row r="142">
      <x:c r="A142" s="63" t="str">
        <x:v>ABMP_4452</x:v>
      </x:c>
      <x:c r="B142" s="63" t="str">
        <x:v>Wheatland Lodge Replacement Project</x:v>
      </x:c>
      <x:c r="C142" s="63" t="str">
        <x:v>Health Facilities</x:v>
      </x:c>
      <x:c r="D142" s="63" t="str">
        <x:v>inferred</x:v>
      </x:c>
      <x:c r="E142" s="63" t="str">
        <x:v>Continuing Care</x:v>
      </x:c>
      <x:c r="F142" s="63" t="str">
        <x:v>Institutional</x:v>
      </x:c>
      <x:c r="G142" s="63" t="str">
        <x:v>Wheatland Housing Management Body</x:v>
      </x:c>
      <x:c r="H142" s="63" t="str">
        <x:v>Unresolved</x:v>
      </x:c>
      <x:c r="I142" s="63" t="str">
        <x:v>inferred</x:v>
      </x:c>
      <x:c r="J142" s="63" t="str">
        <x:v>Strathmore</x:v>
      </x:c>
      <x:c r="K142" s="63" t="str">
        <x:v>Proposed</x:v>
      </x:c>
      <x:c r="L142" s="143" t="n">
        <x:v>65000000</x:v>
      </x:c>
      <x:c r="M142" s="179"/>
      <x:c r="N142" s="179"/>
      <x:c r="O142" s="63" t="str">
        <x:v>indeterminate_incomplete_schedule</x:v>
      </x:c>
      <x:c r="P142" s="63" t="str"/>
      <x:c r="Q142" s="143"/>
      <x:c r="R142" s="143"/>
      <x:c r="S142" s="154" t="n">
        <x:v>-113.392958</x:v>
      </x:c>
      <x:c r="T142" s="154" t="n">
        <x:v>51.043386</x:v>
      </x:c>
      <x:c r="U142" s="63" t="str">
        <x:v>reported</x:v>
      </x:c>
      <x:c r="V142" s="63" t="str">
        <x:v>ALBERTA_MAJOR_PROJECTS</x:v>
      </x:c>
      <x:c r="W142" s="63" t="str">
        <x:v>observed</x:v>
      </x:c>
      <x:c r="X142" s="155" t="n">
        <x:v>46265</x:v>
      </x:c>
      <x:c r="Y142" s="63" t="str">
        <x:v>https://www.majorprojects.alberta.ca/</x:v>
      </x:c>
    </x:row>
    <x:row r="143">
      <x:c r="A143" s="63" t="str">
        <x:v>ABMP_12109</x:v>
      </x:c>
      <x:c r="B143" s="63" t="str">
        <x:v>Whitecourt Healthcare Centre Expansion Planning</x:v>
      </x:c>
      <x:c r="C143" s="63" t="str">
        <x:v>Health Facilities</x:v>
      </x:c>
      <x:c r="D143" s="63" t="str">
        <x:v>inferred</x:v>
      </x:c>
      <x:c r="E143" s="63" t="str">
        <x:v>Health Care</x:v>
      </x:c>
      <x:c r="F143" s="63" t="str">
        <x:v>Institutional</x:v>
      </x:c>
      <x:c r="G143" s="63" t="str">
        <x:v>Alberta Infrastructure</x:v>
      </x:c>
      <x:c r="H143" s="63" t="str">
        <x:v>Government Or Public Institution Signal</x:v>
      </x:c>
      <x:c r="I143" s="63" t="str">
        <x:v>inferred</x:v>
      </x:c>
      <x:c r="J143" s="63" t="str">
        <x:v>Whitecourt</x:v>
      </x:c>
      <x:c r="K143" s="63" t="str">
        <x:v>Proposed</x:v>
      </x:c>
      <x:c r="L143" s="143"/>
      <x:c r="M143" s="179"/>
      <x:c r="N143" s="179"/>
      <x:c r="O143" s="63" t="str">
        <x:v>indeterminate_incomplete_schedule</x:v>
      </x:c>
      <x:c r="P143" s="63" t="str"/>
      <x:c r="Q143" s="143"/>
      <x:c r="R143" s="143"/>
      <x:c r="S143" s="154" t="n">
        <x:v>-115.67433</x:v>
      </x:c>
      <x:c r="T143" s="154" t="n">
        <x:v>54.13121</x:v>
      </x:c>
      <x:c r="U143" s="63" t="str">
        <x:v>reported</x:v>
      </x:c>
      <x:c r="V143" s="63" t="str">
        <x:v>ALBERTA_MAJOR_PROJECTS</x:v>
      </x:c>
      <x:c r="W143" s="63" t="str">
        <x:v>observed</x:v>
      </x:c>
      <x:c r="X143" s="155" t="n">
        <x:v>46265</x:v>
      </x:c>
      <x:c r="Y143" s="63" t="str">
        <x:v>https://www.majorprojects.alberta.ca/</x:v>
      </x:c>
    </x:row>
    <x:row r="144">
      <x:c r="A144" s="63" t="str">
        <x:v>ABMP_11037</x:v>
      </x:c>
      <x:c r="B144" s="63" t="str">
        <x:v>Wing Kei Village Continuing Care Facility (Phase 1)</x:v>
      </x:c>
      <x:c r="C144" s="63" t="str">
        <x:v>Health Facilities</x:v>
      </x:c>
      <x:c r="D144" s="63" t="str">
        <x:v>inferred</x:v>
      </x:c>
      <x:c r="E144" s="63" t="str">
        <x:v>Continuing Care</x:v>
      </x:c>
      <x:c r="F144" s="63" t="str">
        <x:v>Institutional</x:v>
      </x:c>
      <x:c r="G144" s="63" t="str">
        <x:v>Wing Kei Care Centres</x:v>
      </x:c>
      <x:c r="H144" s="63" t="str">
        <x:v>Unresolved</x:v>
      </x:c>
      <x:c r="I144" s="63" t="str">
        <x:v>inferred</x:v>
      </x:c>
      <x:c r="J144" s="63" t="str">
        <x:v>Calgary</x:v>
      </x:c>
      <x:c r="K144" s="63" t="str">
        <x:v>Under Construction</x:v>
      </x:c>
      <x:c r="L144" s="143" t="n">
        <x:v>85000000</x:v>
      </x:c>
      <x:c r="M144" s="179" t="n">
        <x:v>2024</x:v>
      </x:c>
      <x:c r="N144" s="179" t="n">
        <x:v>2026</x:v>
      </x:c>
      <x:c r="O144" s="63" t="str">
        <x:v>outside_window</x:v>
      </x:c>
      <x:c r="P144" s="63" t="str"/>
      <x:c r="Q144" s="143" t="n">
        <x:v>28333333.333333332</x:v>
      </x:c>
      <x:c r="R144" s="143" t="n">
        <x:v>0</x:v>
      </x:c>
      <x:c r="S144" s="154" t="n">
        <x:v>-114.061372</x:v>
      </x:c>
      <x:c r="T144" s="154" t="n">
        <x:v>51.089797</x:v>
      </x:c>
      <x:c r="U144" s="63" t="str">
        <x:v>reported</x:v>
      </x:c>
      <x:c r="V144" s="63" t="str">
        <x:v>ALBERTA_MAJOR_PROJECTS</x:v>
      </x:c>
      <x:c r="W144" s="63" t="str">
        <x:v>observed</x:v>
      </x:c>
      <x:c r="X144" s="155" t="n">
        <x:v>46265</x:v>
      </x:c>
      <x:c r="Y144" s="63" t="str">
        <x:v>https://www.majorprojects.alberta.ca/</x:v>
      </x:c>
    </x:row>
    <x:row r="145">
      <x:c r="A145" s="63" t="str">
        <x:v>ABMP_11807</x:v>
      </x:c>
      <x:c r="B145" s="63" t="str">
        <x:v>Airdrie Wastewater Pipeline Expansion</x:v>
      </x:c>
      <x:c r="C145" s="63" t="str">
        <x:v>Municipal Water And Resilience</x:v>
      </x:c>
      <x:c r="D145" s="63" t="str">
        <x:v>inferred</x:v>
      </x:c>
      <x:c r="E145" s="63" t="str">
        <x:v>Water/Wastewater</x:v>
      </x:c>
      <x:c r="F145" s="63" t="str">
        <x:v>Infrastructure</x:v>
      </x:c>
      <x:c r="G145" s="63" t="str">
        <x:v>City of Airdrie</x:v>
      </x:c>
      <x:c r="H145" s="63" t="str">
        <x:v>Government Or Public Institution Signal</x:v>
      </x:c>
      <x:c r="I145" s="63" t="str">
        <x:v>inferred</x:v>
      </x:c>
      <x:c r="J145" s="63" t="str">
        <x:v>Airdrie</x:v>
      </x:c>
      <x:c r="K145" s="63" t="str">
        <x:v>Under Construction</x:v>
      </x:c>
      <x:c r="L145" s="143" t="n">
        <x:v>114000000</x:v>
      </x:c>
      <x:c r="M145" s="179" t="n">
        <x:v>2026</x:v>
      </x:c>
      <x:c r="N145" s="179" t="n">
        <x:v>2027</x:v>
      </x:c>
      <x:c r="O145" s="63" t="str">
        <x:v>overlaps</x:v>
      </x:c>
      <x:c r="P145" s="63" t="str">
        <x:v>2027</x:v>
      </x:c>
      <x:c r="Q145" s="143" t="n">
        <x:v>57000000</x:v>
      </x:c>
      <x:c r="R145" s="143" t="n">
        <x:v>57000000</x:v>
      </x:c>
      <x:c r="S145" s="154" t="n">
        <x:v>-114.001538</x:v>
      </x:c>
      <x:c r="T145" s="154" t="n">
        <x:v>51.269815</x:v>
      </x:c>
      <x:c r="U145" s="63" t="str">
        <x:v>approximate</x:v>
      </x:c>
      <x:c r="V145" s="63" t="str">
        <x:v>ALBERTA_MAJOR_PROJECTS</x:v>
      </x:c>
      <x:c r="W145" s="63" t="str">
        <x:v>observed</x:v>
      </x:c>
      <x:c r="X145" s="155" t="n">
        <x:v>46265</x:v>
      </x:c>
      <x:c r="Y145" s="63" t="str">
        <x:v>https://www.majorprojects.alberta.ca/</x:v>
      </x:c>
    </x:row>
    <x:row r="146">
      <x:c r="A146" s="63" t="str">
        <x:v>ABMP_12204</x:v>
      </x:c>
      <x:c r="B146" s="63" t="str">
        <x:v>Alberta Avenue Arts Hub</x:v>
      </x:c>
      <x:c r="C146" s="63" t="str">
        <x:v>Municipal Water And Resilience</x:v>
      </x:c>
      <x:c r="D146" s="63" t="str">
        <x:v>inferred</x:v>
      </x:c>
      <x:c r="E146" s="63" t="str">
        <x:v>Other Infrastructure</x:v>
      </x:c>
      <x:c r="F146" s="63" t="str">
        <x:v>Infrastructure</x:v>
      </x:c>
      <x:c r="G146" s="63" t="str">
        <x:v>Qualico Developments</x:v>
      </x:c>
      <x:c r="H146" s="63" t="str">
        <x:v>Unresolved</x:v>
      </x:c>
      <x:c r="I146" s="63" t="str">
        <x:v>inferred</x:v>
      </x:c>
      <x:c r="J146" s="63" t="str">
        <x:v>Edmonton</x:v>
      </x:c>
      <x:c r="K146" s="63" t="str">
        <x:v>Proposed</x:v>
      </x:c>
      <x:c r="L146" s="143" t="n">
        <x:v>10400000</x:v>
      </x:c>
      <x:c r="M146" s="179"/>
      <x:c r="N146" s="179" t="n">
        <x:v>2029</x:v>
      </x:c>
      <x:c r="O146" s="63" t="str">
        <x:v>indeterminate_incomplete_schedule</x:v>
      </x:c>
      <x:c r="P146" s="63" t="str"/>
      <x:c r="Q146" s="143"/>
      <x:c r="R146" s="143"/>
      <x:c r="S146" s="154" t="n">
        <x:v>-113.4824447642307</x:v>
      </x:c>
      <x:c r="T146" s="154" t="n">
        <x:v>53.570208295076505</x:v>
      </x:c>
      <x:c r="U146" s="63" t="str">
        <x:v>reported</x:v>
      </x:c>
      <x:c r="V146" s="63" t="str">
        <x:v>ALBERTA_MAJOR_PROJECTS</x:v>
      </x:c>
      <x:c r="W146" s="63" t="str">
        <x:v>observed</x:v>
      </x:c>
      <x:c r="X146" s="155" t="n">
        <x:v>46265</x:v>
      </x:c>
      <x:c r="Y146" s="63" t="str">
        <x:v>https://www.majorprojects.alberta.ca/</x:v>
      </x:c>
    </x:row>
    <x:row r="147">
      <x:c r="A147" s="63" t="str">
        <x:v>ABMP_12118</x:v>
      </x:c>
      <x:c r="B147" s="63" t="str">
        <x:v>Alberta Corridor Export (ACE) Rail Terminal</x:v>
      </x:c>
      <x:c r="C147" s="63" t="str">
        <x:v>Municipal Water And Resilience</x:v>
      </x:c>
      <x:c r="D147" s="63" t="str">
        <x:v>inferred</x:v>
      </x:c>
      <x:c r="E147" s="63" t="str">
        <x:v>Other Infrastructure</x:v>
      </x:c>
      <x:c r="F147" s="63" t="str">
        <x:v>Infrastructure</x:v>
      </x:c>
      <x:c r="G147" s="63" t="str">
        <x:v>Keyera Corp/AltaGas/CN Rail</x:v>
      </x:c>
      <x:c r="H147" s="63" t="str">
        <x:v>Unresolved</x:v>
      </x:c>
      <x:c r="I147" s="63" t="str">
        <x:v>inferred</x:v>
      </x:c>
      <x:c r="J147" s="63" t="str">
        <x:v>Strathcona County</x:v>
      </x:c>
      <x:c r="K147" s="63" t="str">
        <x:v>Under Construction</x:v>
      </x:c>
      <x:c r="L147" s="143" t="n">
        <x:v>240000000</x:v>
      </x:c>
      <x:c r="M147" s="179" t="n">
        <x:v>2026</x:v>
      </x:c>
      <x:c r="N147" s="179" t="n">
        <x:v>2028</x:v>
      </x:c>
      <x:c r="O147" s="63" t="str">
        <x:v>overlaps</x:v>
      </x:c>
      <x:c r="P147" s="63" t="str">
        <x:v>2027|2028</x:v>
      </x:c>
      <x:c r="Q147" s="143" t="n">
        <x:v>80000000</x:v>
      </x:c>
      <x:c r="R147" s="143" t="n">
        <x:v>160000000</x:v>
      </x:c>
      <x:c r="S147" s="154" t="n">
        <x:v>-113.12359474715319</x:v>
      </x:c>
      <x:c r="T147" s="154" t="n">
        <x:v>53.752421313703245</x:v>
      </x:c>
      <x:c r="U147" s="63" t="str">
        <x:v>approximate</x:v>
      </x:c>
      <x:c r="V147" s="63" t="str">
        <x:v>ALBERTA_MAJOR_PROJECTS</x:v>
      </x:c>
      <x:c r="W147" s="63" t="str">
        <x:v>observed</x:v>
      </x:c>
      <x:c r="X147" s="155" t="n">
        <x:v>46265</x:v>
      </x:c>
      <x:c r="Y147" s="63" t="str">
        <x:v>https://www.majorprojects.alberta.ca/</x:v>
      </x:c>
    </x:row>
    <x:row r="148">
      <x:c r="A148" s="63" t="str">
        <x:v>ABMP_10771</x:v>
      </x:c>
      <x:c r="B148" s="63" t="str">
        <x:v>Ambleside Integrated Site - Phase 1</x:v>
      </x:c>
      <x:c r="C148" s="63" t="str">
        <x:v>Municipal Water And Resilience</x:v>
      </x:c>
      <x:c r="D148" s="63" t="str">
        <x:v>inferred</x:v>
      </x:c>
      <x:c r="E148" s="63" t="str">
        <x:v>Other Infrastructure</x:v>
      </x:c>
      <x:c r="F148" s="63" t="str">
        <x:v>Infrastructure</x:v>
      </x:c>
      <x:c r="G148" s="63" t="str">
        <x:v>City of Edmonton</x:v>
      </x:c>
      <x:c r="H148" s="63" t="str">
        <x:v>Government Or Public Institution Signal</x:v>
      </x:c>
      <x:c r="I148" s="63" t="str">
        <x:v>inferred</x:v>
      </x:c>
      <x:c r="J148" s="63" t="str">
        <x:v>Edmonton</x:v>
      </x:c>
      <x:c r="K148" s="63" t="str">
        <x:v>Under Construction</x:v>
      </x:c>
      <x:c r="L148" s="143" t="n">
        <x:v>80300000</x:v>
      </x:c>
      <x:c r="M148" s="179" t="n">
        <x:v>2024</x:v>
      </x:c>
      <x:c r="N148" s="179" t="n">
        <x:v>2027</x:v>
      </x:c>
      <x:c r="O148" s="63" t="str">
        <x:v>overlaps</x:v>
      </x:c>
      <x:c r="P148" s="63" t="str">
        <x:v>2027</x:v>
      </x:c>
      <x:c r="Q148" s="143" t="n">
        <x:v>20075000</x:v>
      </x:c>
      <x:c r="R148" s="143" t="n">
        <x:v>20075000</x:v>
      </x:c>
      <x:c r="S148" s="154" t="n">
        <x:v>-113.573256</x:v>
      </x:c>
      <x:c r="T148" s="154" t="n">
        <x:v>53.425793</x:v>
      </x:c>
      <x:c r="U148" s="63" t="str">
        <x:v>reported</x:v>
      </x:c>
      <x:c r="V148" s="63" t="str">
        <x:v>ALBERTA_MAJOR_PROJECTS</x:v>
      </x:c>
      <x:c r="W148" s="63" t="str">
        <x:v>observed</x:v>
      </x:c>
      <x:c r="X148" s="155" t="n">
        <x:v>46265</x:v>
      </x:c>
      <x:c r="Y148" s="63" t="str">
        <x:v>https://www.majorprojects.alberta.ca/</x:v>
      </x:c>
    </x:row>
    <x:row r="149">
      <x:c r="A149" s="63" t="str">
        <x:v>ABMP_11825</x:v>
      </x:c>
      <x:c r="B149" s="63" t="str">
        <x:v>Bearspaw RAW 2 Pump Station Upgrades</x:v>
      </x:c>
      <x:c r="C149" s="63" t="str">
        <x:v>Municipal Water And Resilience</x:v>
      </x:c>
      <x:c r="D149" s="63" t="str">
        <x:v>inferred</x:v>
      </x:c>
      <x:c r="E149" s="63" t="str">
        <x:v>Water/Wastewater</x:v>
      </x:c>
      <x:c r="F149" s="63" t="str">
        <x:v>Infrastructure</x:v>
      </x:c>
      <x:c r="G149" s="63" t="str">
        <x:v>City of Calgary</x:v>
      </x:c>
      <x:c r="H149" s="63" t="str">
        <x:v>Government Or Public Institution Signal</x:v>
      </x:c>
      <x:c r="I149" s="63" t="str">
        <x:v>inferred</x:v>
      </x:c>
      <x:c r="J149" s="63" t="str">
        <x:v>Calgary</x:v>
      </x:c>
      <x:c r="K149" s="63" t="str">
        <x:v>Under Construction</x:v>
      </x:c>
      <x:c r="L149" s="143" t="n">
        <x:v>24000000</x:v>
      </x:c>
      <x:c r="M149" s="179" t="n">
        <x:v>2025</x:v>
      </x:c>
      <x:c r="N149" s="179" t="n">
        <x:v>2026</x:v>
      </x:c>
      <x:c r="O149" s="63" t="str">
        <x:v>outside_window</x:v>
      </x:c>
      <x:c r="P149" s="63" t="str"/>
      <x:c r="Q149" s="143" t="n">
        <x:v>12000000</x:v>
      </x:c>
      <x:c r="R149" s="143" t="n">
        <x:v>0</x:v>
      </x:c>
      <x:c r="S149" s="154" t="n">
        <x:v>-114.228457</x:v>
      </x:c>
      <x:c r="T149" s="154" t="n">
        <x:v>51.099907</x:v>
      </x:c>
      <x:c r="U149" s="63" t="str">
        <x:v>reported</x:v>
      </x:c>
      <x:c r="V149" s="63" t="str">
        <x:v>ALBERTA_MAJOR_PROJECTS</x:v>
      </x:c>
      <x:c r="W149" s="63" t="str">
        <x:v>observed</x:v>
      </x:c>
      <x:c r="X149" s="155" t="n">
        <x:v>46265</x:v>
      </x:c>
      <x:c r="Y149" s="63" t="str">
        <x:v>https://www.majorprojects.alberta.ca/</x:v>
      </x:c>
    </x:row>
    <x:row r="150">
      <x:c r="A150" s="63" t="str">
        <x:v>ABMP_11555</x:v>
      </x:c>
      <x:c r="B150" s="63" t="str">
        <x:v>Bearspaw South Feeder Main Improvements Project</x:v>
      </x:c>
      <x:c r="C150" s="63" t="str">
        <x:v>Municipal Water And Resilience</x:v>
      </x:c>
      <x:c r="D150" s="63" t="str">
        <x:v>inferred</x:v>
      </x:c>
      <x:c r="E150" s="63" t="str">
        <x:v>Water/Wastewater</x:v>
      </x:c>
      <x:c r="F150" s="63" t="str">
        <x:v>Infrastructure</x:v>
      </x:c>
      <x:c r="G150" s="63" t="str">
        <x:v>City of Calgary</x:v>
      </x:c>
      <x:c r="H150" s="63" t="str">
        <x:v>Government Or Public Institution Signal</x:v>
      </x:c>
      <x:c r="I150" s="63" t="str">
        <x:v>inferred</x:v>
      </x:c>
      <x:c r="J150" s="63" t="str">
        <x:v>Calgary</x:v>
      </x:c>
      <x:c r="K150" s="63" t="str">
        <x:v>Under Construction</x:v>
      </x:c>
      <x:c r="L150" s="143"/>
      <x:c r="M150" s="179" t="n">
        <x:v>2026</x:v>
      </x:c>
      <x:c r="N150" s="179" t="n">
        <x:v>2026</x:v>
      </x:c>
      <x:c r="O150" s="63" t="str">
        <x:v>outside_window</x:v>
      </x:c>
      <x:c r="P150" s="63" t="str"/>
      <x:c r="Q150" s="143"/>
      <x:c r="R150" s="143"/>
      <x:c r="S150" s="154" t="n">
        <x:v>-114.187818</x:v>
      </x:c>
      <x:c r="T150" s="154" t="n">
        <x:v>51.084469</x:v>
      </x:c>
      <x:c r="U150" s="63" t="str">
        <x:v>approximate</x:v>
      </x:c>
      <x:c r="V150" s="63" t="str">
        <x:v>ALBERTA_MAJOR_PROJECTS</x:v>
      </x:c>
      <x:c r="W150" s="63" t="str">
        <x:v>observed</x:v>
      </x:c>
      <x:c r="X150" s="155" t="n">
        <x:v>46265</x:v>
      </x:c>
      <x:c r="Y150" s="63" t="str">
        <x:v>https://www.majorprojects.alberta.ca/</x:v>
      </x:c>
    </x:row>
    <x:row r="151">
      <x:c r="A151" s="63" t="str">
        <x:v>ABMP_10606</x:v>
      </x:c>
      <x:c r="B151" s="63" t="str">
        <x:v>Belly River Diversion Rehabilitation</x:v>
      </x:c>
      <x:c r="C151" s="63" t="str">
        <x:v>Municipal Water And Resilience</x:v>
      </x:c>
      <x:c r="D151" s="63" t="str">
        <x:v>inferred</x:v>
      </x:c>
      <x:c r="E151" s="63" t="str">
        <x:v>Flood Mitigation/Reservoir</x:v>
      </x:c>
      <x:c r="F151" s="63" t="str">
        <x:v>Infrastructure</x:v>
      </x:c>
      <x:c r="G151" s="63" t="str">
        <x:v>Alberta Transportation and Economic Corridors</x:v>
      </x:c>
      <x:c r="H151" s="63" t="str">
        <x:v>Government Or Public Institution Signal</x:v>
      </x:c>
      <x:c r="I151" s="63" t="str">
        <x:v>inferred</x:v>
      </x:c>
      <x:c r="J151" s="63" t="str">
        <x:v>Cardston County</x:v>
      </x:c>
      <x:c r="K151" s="63" t="str">
        <x:v>Proposed</x:v>
      </x:c>
      <x:c r="L151" s="143"/>
      <x:c r="M151" s="179" t="n">
        <x:v>2027</x:v>
      </x:c>
      <x:c r="N151" s="179" t="n">
        <x:v>2029</x:v>
      </x:c>
      <x:c r="O151" s="63" t="str">
        <x:v>overlaps</x:v>
      </x:c>
      <x:c r="P151" s="63" t="str">
        <x:v>2027|2028|2029</x:v>
      </x:c>
      <x:c r="Q151" s="143"/>
      <x:c r="R151" s="143"/>
      <x:c r="S151" s="154" t="n">
        <x:v>-113.5734353426911</x:v>
      </x:c>
      <x:c r="T151" s="154" t="n">
        <x:v>49.32718534435737</x:v>
      </x:c>
      <x:c r="U151" s="63" t="str">
        <x:v>reported</x:v>
      </x:c>
      <x:c r="V151" s="63" t="str">
        <x:v>ALBERTA_MAJOR_PROJECTS</x:v>
      </x:c>
      <x:c r="W151" s="63" t="str">
        <x:v>observed</x:v>
      </x:c>
      <x:c r="X151" s="155" t="n">
        <x:v>46265</x:v>
      </x:c>
      <x:c r="Y151" s="63" t="str">
        <x:v>https://www.majorprojects.alberta.ca/</x:v>
      </x:c>
    </x:row>
    <x:row r="152">
      <x:c r="A152" s="63" t="str">
        <x:v>ABMP_115</x:v>
      </x:c>
      <x:c r="B152" s="63" t="str">
        <x:v>Bonnybrook Wastewater Treatment Plant D Expansion</x:v>
      </x:c>
      <x:c r="C152" s="63" t="str">
        <x:v>Municipal Water And Resilience</x:v>
      </x:c>
      <x:c r="D152" s="63" t="str">
        <x:v>inferred</x:v>
      </x:c>
      <x:c r="E152" s="63" t="str">
        <x:v>Water/Wastewater</x:v>
      </x:c>
      <x:c r="F152" s="63" t="str">
        <x:v>Infrastructure</x:v>
      </x:c>
      <x:c r="G152" s="63" t="str">
        <x:v>City of Calgary</x:v>
      </x:c>
      <x:c r="H152" s="63" t="str">
        <x:v>Government Or Public Institution Signal</x:v>
      </x:c>
      <x:c r="I152" s="63" t="str">
        <x:v>inferred</x:v>
      </x:c>
      <x:c r="J152" s="63" t="str">
        <x:v>Calgary</x:v>
      </x:c>
      <x:c r="K152" s="63" t="str">
        <x:v>Under Construction</x:v>
      </x:c>
      <x:c r="L152" s="143" t="n">
        <x:v>640000000</x:v>
      </x:c>
      <x:c r="M152" s="179" t="n">
        <x:v>2017</x:v>
      </x:c>
      <x:c r="N152" s="179" t="n">
        <x:v>2028</x:v>
      </x:c>
      <x:c r="O152" s="63" t="str">
        <x:v>overlaps</x:v>
      </x:c>
      <x:c r="P152" s="63" t="str">
        <x:v>2027|2028</x:v>
      </x:c>
      <x:c r="Q152" s="143" t="n">
        <x:v>53333333.333333336</x:v>
      </x:c>
      <x:c r="R152" s="143" t="n">
        <x:v>106666666.66666667</x:v>
      </x:c>
      <x:c r="S152" s="154" t="n">
        <x:v>-114.02490234375</x:v>
      </x:c>
      <x:c r="T152" s="154" t="n">
        <x:v>51.0104179382324</x:v>
      </x:c>
      <x:c r="U152" s="63" t="str">
        <x:v>reported</x:v>
      </x:c>
      <x:c r="V152" s="63" t="str">
        <x:v>ALBERTA_MAJOR_PROJECTS</x:v>
      </x:c>
      <x:c r="W152" s="63" t="str">
        <x:v>observed</x:v>
      </x:c>
      <x:c r="X152" s="155" t="n">
        <x:v>46265</x:v>
      </x:c>
      <x:c r="Y152" s="63" t="str">
        <x:v>https://www.majorprojects.alberta.ca/</x:v>
      </x:c>
    </x:row>
    <x:row r="153">
      <x:c r="A153" s="63" t="str">
        <x:v>ABMP_11189</x:v>
      </x:c>
      <x:c r="B153" s="63" t="str">
        <x:v>CNR Overpass on Highway 2 (N of Red Deer)</x:v>
      </x:c>
      <x:c r="C153" s="63" t="str">
        <x:v>Municipal Water And Resilience</x:v>
      </x:c>
      <x:c r="D153" s="63" t="str">
        <x:v>inferred</x:v>
      </x:c>
      <x:c r="E153" s="63" t="str">
        <x:v>Other Infrastructure</x:v>
      </x:c>
      <x:c r="F153" s="63" t="str">
        <x:v>Infrastructure</x:v>
      </x:c>
      <x:c r="G153" s="63" t="str">
        <x:v>Alberta Transportation and Economic Corridors</x:v>
      </x:c>
      <x:c r="H153" s="63" t="str">
        <x:v>Government Or Public Institution Signal</x:v>
      </x:c>
      <x:c r="I153" s="63" t="str">
        <x:v>inferred</x:v>
      </x:c>
      <x:c r="J153" s="63" t="str">
        <x:v>Red Deer|Red Deer County</x:v>
      </x:c>
      <x:c r="K153" s="63" t="str">
        <x:v>Under Construction</x:v>
      </x:c>
      <x:c r="L153" s="143"/>
      <x:c r="M153" s="179" t="n">
        <x:v>2025</x:v>
      </x:c>
      <x:c r="N153" s="179" t="n">
        <x:v>2027</x:v>
      </x:c>
      <x:c r="O153" s="63" t="str">
        <x:v>overlaps</x:v>
      </x:c>
      <x:c r="P153" s="63" t="str">
        <x:v>2027</x:v>
      </x:c>
      <x:c r="Q153" s="143"/>
      <x:c r="R153" s="143"/>
      <x:c r="S153" s="154"/>
      <x:c r="T153" s="154"/>
      <x:c r="U153" s="63" t="str">
        <x:v>reported</x:v>
      </x:c>
      <x:c r="V153" s="63" t="str">
        <x:v>ALBERTA_MAJOR_PROJECTS</x:v>
      </x:c>
      <x:c r="W153" s="63" t="str">
        <x:v>observed</x:v>
      </x:c>
      <x:c r="X153" s="155" t="n">
        <x:v>46265</x:v>
      </x:c>
      <x:c r="Y153" s="63" t="str">
        <x:v>https://www.majorprojects.alberta.ca/</x:v>
      </x:c>
    </x:row>
    <x:row r="154">
      <x:c r="A154" s="63" t="str">
        <x:v>ABMP_11188</x:v>
      </x:c>
      <x:c r="B154" s="63" t="str">
        <x:v>CPR Overpass on Highway 2 (SE of Lacombe)</x:v>
      </x:c>
      <x:c r="C154" s="63" t="str">
        <x:v>Municipal Water And Resilience</x:v>
      </x:c>
      <x:c r="D154" s="63" t="str">
        <x:v>inferred</x:v>
      </x:c>
      <x:c r="E154" s="63" t="str">
        <x:v>Other Infrastructure</x:v>
      </x:c>
      <x:c r="F154" s="63" t="str">
        <x:v>Infrastructure</x:v>
      </x:c>
      <x:c r="G154" s="63" t="str">
        <x:v>Alberta Transportation and Economic Corridors</x:v>
      </x:c>
      <x:c r="H154" s="63" t="str">
        <x:v>Government Or Public Institution Signal</x:v>
      </x:c>
      <x:c r="I154" s="63" t="str">
        <x:v>inferred</x:v>
      </x:c>
      <x:c r="J154" s="63" t="str">
        <x:v>Lacombe County</x:v>
      </x:c>
      <x:c r="K154" s="63" t="str">
        <x:v>Proposed</x:v>
      </x:c>
      <x:c r="L154" s="143"/>
      <x:c r="M154" s="179" t="n">
        <x:v>2027</x:v>
      </x:c>
      <x:c r="N154" s="179" t="n">
        <x:v>2028</x:v>
      </x:c>
      <x:c r="O154" s="63" t="str">
        <x:v>overlaps</x:v>
      </x:c>
      <x:c r="P154" s="63" t="str">
        <x:v>2027|2028</x:v>
      </x:c>
      <x:c r="Q154" s="143"/>
      <x:c r="R154" s="143"/>
      <x:c r="S154" s="154" t="n">
        <x:v>-113.805066</x:v>
      </x:c>
      <x:c r="T154" s="154" t="n">
        <x:v>52.443188</x:v>
      </x:c>
      <x:c r="U154" s="63" t="str">
        <x:v>reported</x:v>
      </x:c>
      <x:c r="V154" s="63" t="str">
        <x:v>ALBERTA_MAJOR_PROJECTS</x:v>
      </x:c>
      <x:c r="W154" s="63" t="str">
        <x:v>observed</x:v>
      </x:c>
      <x:c r="X154" s="155" t="n">
        <x:v>46265</x:v>
      </x:c>
      <x:c r="Y154" s="63" t="str">
        <x:v>https://www.majorprojects.alberta.ca/</x:v>
      </x:c>
    </x:row>
    <x:row r="155">
      <x:c r="A155" s="63" t="str">
        <x:v>ABMP_4492</x:v>
      </x:c>
      <x:c r="B155" s="63" t="str">
        <x:v>Calgary - Banff Rail Link</x:v>
      </x:c>
      <x:c r="C155" s="63" t="str">
        <x:v>Municipal Water And Resilience</x:v>
      </x:c>
      <x:c r="D155" s="63" t="str">
        <x:v>inferred</x:v>
      </x:c>
      <x:c r="E155" s="63" t="str">
        <x:v>Other Infrastructure</x:v>
      </x:c>
      <x:c r="F155" s="63" t="str">
        <x:v>Infrastructure</x:v>
      </x:c>
      <x:c r="G155" s="63" t="str">
        <x:v>Liricon Capital Ltd.</x:v>
      </x:c>
      <x:c r="H155" s="63" t="str">
        <x:v>Unresolved</x:v>
      </x:c>
      <x:c r="I155" s="63" t="str">
        <x:v>inferred</x:v>
      </x:c>
      <x:c r="J155" s="63" t="str">
        <x:v>Banff|Bighorn No. 8|Calgary|Canmore|Improvement District No.  9 Banff|Kananaskis|Rocky View County|Stoney 142, 143, 144</x:v>
      </x:c>
      <x:c r="K155" s="63" t="str">
        <x:v>Proposed</x:v>
      </x:c>
      <x:c r="L155" s="143" t="n">
        <x:v>2600000000</x:v>
      </x:c>
      <x:c r="M155" s="179"/>
      <x:c r="N155" s="179"/>
      <x:c r="O155" s="63" t="str">
        <x:v>indeterminate_incomplete_schedule</x:v>
      </x:c>
      <x:c r="P155" s="63" t="str"/>
      <x:c r="Q155" s="143"/>
      <x:c r="R155" s="143"/>
      <x:c r="S155" s="154"/>
      <x:c r="T155" s="154"/>
      <x:c r="U155" s="63" t="str">
        <x:v>reported</x:v>
      </x:c>
      <x:c r="V155" s="63" t="str">
        <x:v>ALBERTA_MAJOR_PROJECTS</x:v>
      </x:c>
      <x:c r="W155" s="63" t="str">
        <x:v>observed</x:v>
      </x:c>
      <x:c r="X155" s="155" t="n">
        <x:v>46265</x:v>
      </x:c>
      <x:c r="Y155" s="63" t="str">
        <x:v>https://www.majorprojects.alberta.ca/</x:v>
      </x:c>
    </x:row>
    <x:row r="156">
      <x:c r="A156" s="63" t="str">
        <x:v>ABMP_11418</x:v>
      </x:c>
      <x:c r="B156" s="63" t="str">
        <x:v>Cando Sturgeon Rail Terminal Expansion</x:v>
      </x:c>
      <x:c r="C156" s="63" t="str">
        <x:v>Municipal Water And Resilience</x:v>
      </x:c>
      <x:c r="D156" s="63" t="str">
        <x:v>inferred</x:v>
      </x:c>
      <x:c r="E156" s="63" t="str">
        <x:v>Other Infrastructure</x:v>
      </x:c>
      <x:c r="F156" s="63" t="str">
        <x:v>Infrastructure</x:v>
      </x:c>
      <x:c r="G156" s="63" t="str">
        <x:v>Cando Rail Services</x:v>
      </x:c>
      <x:c r="H156" s="63" t="str">
        <x:v>Unresolved</x:v>
      </x:c>
      <x:c r="I156" s="63" t="str">
        <x:v>inferred</x:v>
      </x:c>
      <x:c r="J156" s="63" t="str">
        <x:v>Sturgeon County</x:v>
      </x:c>
      <x:c r="K156" s="63" t="str">
        <x:v>Under Construction</x:v>
      </x:c>
      <x:c r="L156" s="143" t="n">
        <x:v>200000000</x:v>
      </x:c>
      <x:c r="M156" s="179" t="n">
        <x:v>2025</x:v>
      </x:c>
      <x:c r="N156" s="179" t="n">
        <x:v>2026</x:v>
      </x:c>
      <x:c r="O156" s="63" t="str">
        <x:v>outside_window</x:v>
      </x:c>
      <x:c r="P156" s="63" t="str"/>
      <x:c r="Q156" s="143" t="n">
        <x:v>100000000</x:v>
      </x:c>
      <x:c r="R156" s="143" t="n">
        <x:v>0</x:v>
      </x:c>
      <x:c r="S156" s="154" t="n">
        <x:v>-113.176496</x:v>
      </x:c>
      <x:c r="T156" s="154" t="n">
        <x:v>53.800031</x:v>
      </x:c>
      <x:c r="U156" s="63" t="str">
        <x:v>reported</x:v>
      </x:c>
      <x:c r="V156" s="63" t="str">
        <x:v>ALBERTA_MAJOR_PROJECTS</x:v>
      </x:c>
      <x:c r="W156" s="63" t="str">
        <x:v>observed</x:v>
      </x:c>
      <x:c r="X156" s="155" t="n">
        <x:v>46265</x:v>
      </x:c>
      <x:c r="Y156" s="63" t="str">
        <x:v>https://www.majorprojects.alberta.ca/</x:v>
      </x:c>
    </x:row>
    <x:row r="157">
      <x:c r="A157" s="63" t="str">
        <x:v>ABMP_11841</x:v>
      </x:c>
      <x:c r="B157" s="63" t="str">
        <x:v>Cardston Wastewater Treatment Plant MABR Pilot Project</x:v>
      </x:c>
      <x:c r="C157" s="63" t="str">
        <x:v>Municipal Water And Resilience</x:v>
      </x:c>
      <x:c r="D157" s="63" t="str">
        <x:v>inferred</x:v>
      </x:c>
      <x:c r="E157" s="63" t="str">
        <x:v>Water/Wastewater</x:v>
      </x:c>
      <x:c r="F157" s="63" t="str">
        <x:v>Infrastructure</x:v>
      </x:c>
      <x:c r="G157" s="63" t="str">
        <x:v>Town of Cardston</x:v>
      </x:c>
      <x:c r="H157" s="63" t="str">
        <x:v>Government Or Public Institution Signal</x:v>
      </x:c>
      <x:c r="I157" s="63" t="str">
        <x:v>inferred</x:v>
      </x:c>
      <x:c r="J157" s="63" t="str">
        <x:v>Cardston County</x:v>
      </x:c>
      <x:c r="K157" s="63" t="str">
        <x:v>Proposed</x:v>
      </x:c>
      <x:c r="L157" s="143" t="n">
        <x:v>17900000</x:v>
      </x:c>
      <x:c r="M157" s="179"/>
      <x:c r="N157" s="179"/>
      <x:c r="O157" s="63" t="str">
        <x:v>indeterminate_incomplete_schedule</x:v>
      </x:c>
      <x:c r="P157" s="63" t="str"/>
      <x:c r="Q157" s="143"/>
      <x:c r="R157" s="143"/>
      <x:c r="S157" s="154" t="n">
        <x:v>-113.335905</x:v>
      </x:c>
      <x:c r="T157" s="154" t="n">
        <x:v>49.184143</x:v>
      </x:c>
      <x:c r="U157" s="63" t="str">
        <x:v>reported</x:v>
      </x:c>
      <x:c r="V157" s="63" t="str">
        <x:v>ALBERTA_MAJOR_PROJECTS</x:v>
      </x:c>
      <x:c r="W157" s="63" t="str">
        <x:v>observed</x:v>
      </x:c>
      <x:c r="X157" s="155" t="n">
        <x:v>46265</x:v>
      </x:c>
      <x:c r="Y157" s="63" t="str">
        <x:v>https://www.majorprojects.alberta.ca/</x:v>
      </x:c>
    </x:row>
    <x:row r="158">
      <x:c r="A158" s="63" t="str">
        <x:v>ABMP_4498</x:v>
      </x:c>
      <x:c r="B158" s="63" t="str">
        <x:v>Chin Reservoir Expansion</x:v>
      </x:c>
      <x:c r="C158" s="63" t="str">
        <x:v>Municipal Water And Resilience</x:v>
      </x:c>
      <x:c r="D158" s="63" t="str">
        <x:v>inferred</x:v>
      </x:c>
      <x:c r="E158" s="63" t="str">
        <x:v>Other Infrastructure</x:v>
      </x:c>
      <x:c r="F158" s="63" t="str">
        <x:v>Infrastructure</x:v>
      </x:c>
      <x:c r="G158" s="63" t="str">
        <x:v>St. Mary River Irrigation District</x:v>
      </x:c>
      <x:c r="H158" s="63" t="str">
        <x:v>Unresolved</x:v>
      </x:c>
      <x:c r="I158" s="63" t="str">
        <x:v>inferred</x:v>
      </x:c>
      <x:c r="J158" s="63" t="str">
        <x:v>Lethbridge County</x:v>
      </x:c>
      <x:c r="K158" s="63" t="str">
        <x:v>Proposed</x:v>
      </x:c>
      <x:c r="L158" s="143" t="n">
        <x:v>133000000</x:v>
      </x:c>
      <x:c r="M158" s="179"/>
      <x:c r="N158" s="179"/>
      <x:c r="O158" s="63" t="str">
        <x:v>indeterminate_incomplete_schedule</x:v>
      </x:c>
      <x:c r="P158" s="63" t="str"/>
      <x:c r="Q158" s="143"/>
      <x:c r="R158" s="143"/>
      <x:c r="S158" s="154" t="n">
        <x:v>-112.284665</x:v>
      </x:c>
      <x:c r="T158" s="154" t="n">
        <x:v>49.659722</x:v>
      </x:c>
      <x:c r="U158" s="63" t="str">
        <x:v>reported</x:v>
      </x:c>
      <x:c r="V158" s="63" t="str">
        <x:v>ALBERTA_MAJOR_PROJECTS</x:v>
      </x:c>
      <x:c r="W158" s="63" t="str">
        <x:v>observed</x:v>
      </x:c>
      <x:c r="X158" s="155" t="n">
        <x:v>46265</x:v>
      </x:c>
      <x:c r="Y158" s="63" t="str">
        <x:v>https://www.majorprojects.alberta.ca/</x:v>
      </x:c>
    </x:row>
    <x:row r="159">
      <x:c r="A159" s="63" t="str">
        <x:v>ABMP_4163</x:v>
      </x:c>
      <x:c r="B159" s="63" t="str">
        <x:v>Conklin Sewage Lagoon Expansion and Rehabilitation</x:v>
      </x:c>
      <x:c r="C159" s="63" t="str">
        <x:v>Municipal Water And Resilience</x:v>
      </x:c>
      <x:c r="D159" s="63" t="str">
        <x:v>inferred</x:v>
      </x:c>
      <x:c r="E159" s="63" t="str">
        <x:v>Water/Wastewater</x:v>
      </x:c>
      <x:c r="F159" s="63" t="str">
        <x:v>Infrastructure</x:v>
      </x:c>
      <x:c r="G159" s="63" t="str">
        <x:v>Regional Municipality of Wood Buffalo</x:v>
      </x:c>
      <x:c r="H159" s="63" t="str">
        <x:v>Government Or Public Institution Signal</x:v>
      </x:c>
      <x:c r="I159" s="63" t="str">
        <x:v>inferred</x:v>
      </x:c>
      <x:c r="J159" s="63" t="str">
        <x:v>Wood Buffalo</x:v>
      </x:c>
      <x:c r="K159" s="63" t="str">
        <x:v>Under Construction</x:v>
      </x:c>
      <x:c r="L159" s="143" t="n">
        <x:v>15000000</x:v>
      </x:c>
      <x:c r="M159" s="179" t="n">
        <x:v>2025</x:v>
      </x:c>
      <x:c r="N159" s="179" t="n">
        <x:v>2027</x:v>
      </x:c>
      <x:c r="O159" s="63" t="str">
        <x:v>overlaps</x:v>
      </x:c>
      <x:c r="P159" s="63" t="str">
        <x:v>2027</x:v>
      </x:c>
      <x:c r="Q159" s="143" t="n">
        <x:v>5000000</x:v>
      </x:c>
      <x:c r="R159" s="143" t="n">
        <x:v>5000000</x:v>
      </x:c>
      <x:c r="S159" s="154" t="n">
        <x:v>-111.086197</x:v>
      </x:c>
      <x:c r="T159" s="154" t="n">
        <x:v>55.630322</x:v>
      </x:c>
      <x:c r="U159" s="63" t="str">
        <x:v>approximate</x:v>
      </x:c>
      <x:c r="V159" s="63" t="str">
        <x:v>ALBERTA_MAJOR_PROJECTS</x:v>
      </x:c>
      <x:c r="W159" s="63" t="str">
        <x:v>observed</x:v>
      </x:c>
      <x:c r="X159" s="155" t="n">
        <x:v>46265</x:v>
      </x:c>
      <x:c r="Y159" s="63" t="str">
        <x:v>https://www.majorprojects.alberta.ca/</x:v>
      </x:c>
    </x:row>
    <x:row r="160">
      <x:c r="A160" s="63" t="str">
        <x:v>ABMP_11218</x:v>
      </x:c>
      <x:c r="B160" s="63" t="str">
        <x:v>Dickson Dam Capacity Enhancement - Phase 3</x:v>
      </x:c>
      <x:c r="C160" s="63" t="str">
        <x:v>Municipal Water And Resilience</x:v>
      </x:c>
      <x:c r="D160" s="63" t="str">
        <x:v>inferred</x:v>
      </x:c>
      <x:c r="E160" s="63" t="str">
        <x:v>Flood Mitigation/Reservoir</x:v>
      </x:c>
      <x:c r="F160" s="63" t="str">
        <x:v>Infrastructure</x:v>
      </x:c>
      <x:c r="G160" s="63" t="str">
        <x:v>Alberta Transportation and Economic Corridors</x:v>
      </x:c>
      <x:c r="H160" s="63" t="str">
        <x:v>Government Or Public Institution Signal</x:v>
      </x:c>
      <x:c r="I160" s="63" t="str">
        <x:v>inferred</x:v>
      </x:c>
      <x:c r="J160" s="63" t="str">
        <x:v>Red Deer County</x:v>
      </x:c>
      <x:c r="K160" s="63" t="str">
        <x:v>Under Construction</x:v>
      </x:c>
      <x:c r="L160" s="143"/>
      <x:c r="M160" s="179" t="n">
        <x:v>2024</x:v>
      </x:c>
      <x:c r="N160" s="179" t="n">
        <x:v>2027</x:v>
      </x:c>
      <x:c r="O160" s="63" t="str">
        <x:v>overlaps</x:v>
      </x:c>
      <x:c r="P160" s="63" t="str">
        <x:v>2027</x:v>
      </x:c>
      <x:c r="Q160" s="143"/>
      <x:c r="R160" s="143"/>
      <x:c r="S160" s="154" t="n">
        <x:v>-114.2194</x:v>
      </x:c>
      <x:c r="T160" s="154" t="n">
        <x:v>52.0527</x:v>
      </x:c>
      <x:c r="U160" s="63" t="str">
        <x:v>reported</x:v>
      </x:c>
      <x:c r="V160" s="63" t="str">
        <x:v>ALBERTA_MAJOR_PROJECTS</x:v>
      </x:c>
      <x:c r="W160" s="63" t="str">
        <x:v>observed</x:v>
      </x:c>
      <x:c r="X160" s="155" t="n">
        <x:v>46265</x:v>
      </x:c>
      <x:c r="Y160" s="63" t="str">
        <x:v>https://www.majorprojects.alberta.ca/</x:v>
      </x:c>
    </x:row>
    <x:row r="161">
      <x:c r="A161" s="63" t="str">
        <x:v>ABMP_11770</x:v>
      </x:c>
      <x:c r="B161" s="63" t="str">
        <x:v>Didsbury Water Reservoir</x:v>
      </x:c>
      <x:c r="C161" s="63" t="str">
        <x:v>Municipal Water And Resilience</x:v>
      </x:c>
      <x:c r="D161" s="63" t="str">
        <x:v>inferred</x:v>
      </x:c>
      <x:c r="E161" s="63" t="str">
        <x:v>Water/Wastewater</x:v>
      </x:c>
      <x:c r="F161" s="63" t="str">
        <x:v>Infrastructure</x:v>
      </x:c>
      <x:c r="G161" s="63" t="str">
        <x:v>Town of Didsbury</x:v>
      </x:c>
      <x:c r="H161" s="63" t="str">
        <x:v>Government Or Public Institution Signal</x:v>
      </x:c>
      <x:c r="I161" s="63" t="str">
        <x:v>inferred</x:v>
      </x:c>
      <x:c r="J161" s="63" t="str">
        <x:v>Didsbury</x:v>
      </x:c>
      <x:c r="K161" s="63" t="str">
        <x:v>Under Construction</x:v>
      </x:c>
      <x:c r="L161" s="143" t="n">
        <x:v>7400000</x:v>
      </x:c>
      <x:c r="M161" s="179" t="n">
        <x:v>2025</x:v>
      </x:c>
      <x:c r="N161" s="179" t="n">
        <x:v>2026</x:v>
      </x:c>
      <x:c r="O161" s="63" t="str">
        <x:v>outside_window</x:v>
      </x:c>
      <x:c r="P161" s="63" t="str"/>
      <x:c r="Q161" s="143" t="n">
        <x:v>3700000</x:v>
      </x:c>
      <x:c r="R161" s="143" t="n">
        <x:v>0</x:v>
      </x:c>
      <x:c r="S161" s="154" t="n">
        <x:v>-114.114647</x:v>
      </x:c>
      <x:c r="T161" s="154" t="n">
        <x:v>51.661048</x:v>
      </x:c>
      <x:c r="U161" s="63" t="str">
        <x:v>approximate</x:v>
      </x:c>
      <x:c r="V161" s="63" t="str">
        <x:v>ALBERTA_MAJOR_PROJECTS</x:v>
      </x:c>
      <x:c r="W161" s="63" t="str">
        <x:v>observed</x:v>
      </x:c>
      <x:c r="X161" s="155" t="n">
        <x:v>46265</x:v>
      </x:c>
      <x:c r="Y161" s="63" t="str">
        <x:v>https://www.majorprojects.alberta.ca/</x:v>
      </x:c>
    </x:row>
    <x:row r="162">
      <x:c r="A162" s="63" t="str">
        <x:v>ABMP_12187</x:v>
      </x:c>
      <x:c r="B162" s="63" t="str">
        <x:v>Dunmore Wastewater Project</x:v>
      </x:c>
      <x:c r="C162" s="63" t="str">
        <x:v>Municipal Water And Resilience</x:v>
      </x:c>
      <x:c r="D162" s="63" t="str">
        <x:v>inferred</x:v>
      </x:c>
      <x:c r="E162" s="63" t="str">
        <x:v>Water/Wastewater</x:v>
      </x:c>
      <x:c r="F162" s="63" t="str">
        <x:v>Infrastructure</x:v>
      </x:c>
      <x:c r="G162" s="63" t="str">
        <x:v>Cypress County</x:v>
      </x:c>
      <x:c r="H162" s="63" t="str">
        <x:v>Unresolved</x:v>
      </x:c>
      <x:c r="I162" s="63" t="str">
        <x:v>inferred</x:v>
      </x:c>
      <x:c r="J162" s="63" t="str">
        <x:v>Cypress County</x:v>
      </x:c>
      <x:c r="K162" s="63" t="str">
        <x:v>Proposed</x:v>
      </x:c>
      <x:c r="L162" s="143" t="n">
        <x:v>10500000</x:v>
      </x:c>
      <x:c r="M162" s="179"/>
      <x:c r="N162" s="179"/>
      <x:c r="O162" s="63" t="str">
        <x:v>indeterminate_incomplete_schedule</x:v>
      </x:c>
      <x:c r="P162" s="63" t="str"/>
      <x:c r="Q162" s="143"/>
      <x:c r="R162" s="143"/>
      <x:c r="S162" s="154" t="n">
        <x:v>-110.58693577066893</x:v>
      </x:c>
      <x:c r="T162" s="154" t="n">
        <x:v>49.9689008922038</x:v>
      </x:c>
      <x:c r="U162" s="63" t="str">
        <x:v>approximate</x:v>
      </x:c>
      <x:c r="V162" s="63" t="str">
        <x:v>ALBERTA_MAJOR_PROJECTS</x:v>
      </x:c>
      <x:c r="W162" s="63" t="str">
        <x:v>observed</x:v>
      </x:c>
      <x:c r="X162" s="155" t="n">
        <x:v>46265</x:v>
      </x:c>
      <x:c r="Y162" s="63" t="str">
        <x:v>https://www.majorprojects.alberta.ca/</x:v>
      </x:c>
    </x:row>
    <x:row r="163">
      <x:c r="A163" s="63" t="str">
        <x:v>ABMP_4494</x:v>
      </x:c>
      <x:c r="B163" s="63" t="str">
        <x:v>Edmonton - Calgary High Speed Rail Line</x:v>
      </x:c>
      <x:c r="C163" s="63" t="str">
        <x:v>Municipal Water And Resilience</x:v>
      </x:c>
      <x:c r="D163" s="63" t="str">
        <x:v>inferred</x:v>
      </x:c>
      <x:c r="E163" s="63" t="str">
        <x:v>Other Infrastructure</x:v>
      </x:c>
      <x:c r="F163" s="63" t="str">
        <x:v>Infrastructure</x:v>
      </x:c>
      <x:c r="G163" s="63" t="str">
        <x:v>Prairie Link Rail Partnership (EllisDon &amp; AECOM)</x:v>
      </x:c>
      <x:c r="H163" s="63" t="str">
        <x:v>Unresolved</x:v>
      </x:c>
      <x:c r="I163" s="63" t="str">
        <x:v>inferred</x:v>
      </x:c>
      <x:c r="J163" s="63" t="str">
        <x:v>Airdrie|Blackfalds|Calgary|Edmonton|Lacombe|Lacombe County|Leduc|Leduc County|Mountain View County|Ponoka County|Red Deer|Red Deer County|Rocky View County|Wetaskiwin County No. 10</x:v>
      </x:c>
      <x:c r="K163" s="63" t="str">
        <x:v>Proposed</x:v>
      </x:c>
      <x:c r="L163" s="143"/>
      <x:c r="M163" s="179"/>
      <x:c r="N163" s="179"/>
      <x:c r="O163" s="63" t="str">
        <x:v>indeterminate_incomplete_schedule</x:v>
      </x:c>
      <x:c r="P163" s="63" t="str"/>
      <x:c r="Q163" s="143"/>
      <x:c r="R163" s="143"/>
      <x:c r="S163" s="154"/>
      <x:c r="T163" s="154"/>
      <x:c r="U163" s="63" t="str">
        <x:v>approximate</x:v>
      </x:c>
      <x:c r="V163" s="63" t="str">
        <x:v>ALBERTA_MAJOR_PROJECTS</x:v>
      </x:c>
      <x:c r="W163" s="63" t="str">
        <x:v>observed</x:v>
      </x:c>
      <x:c r="X163" s="155" t="n">
        <x:v>46265</x:v>
      </x:c>
      <x:c r="Y163" s="63" t="str">
        <x:v>https://www.majorprojects.alberta.ca/</x:v>
      </x:c>
    </x:row>
    <x:row r="164">
      <x:c r="A164" s="63" t="str">
        <x:v>ABMP_10570</x:v>
      </x:c>
      <x:c r="B164" s="63" t="str">
        <x:v>Edmonton - Calgary Hyperloop Project Test Track</x:v>
      </x:c>
      <x:c r="C164" s="63" t="str">
        <x:v>Municipal Water And Resilience</x:v>
      </x:c>
      <x:c r="D164" s="63" t="str">
        <x:v>inferred</x:v>
      </x:c>
      <x:c r="E164" s="63" t="str">
        <x:v>Other Infrastructure</x:v>
      </x:c>
      <x:c r="F164" s="63" t="str">
        <x:v>Infrastructure</x:v>
      </x:c>
      <x:c r="G164" s="63" t="str">
        <x:v>TransPod Inc.</x:v>
      </x:c>
      <x:c r="H164" s="63" t="str">
        <x:v>Unresolved</x:v>
      </x:c>
      <x:c r="I164" s="63" t="str">
        <x:v>inferred</x:v>
      </x:c>
      <x:c r="J164" s="63" t="str">
        <x:v>Leduc County</x:v>
      </x:c>
      <x:c r="K164" s="63" t="str">
        <x:v>Proposed</x:v>
      </x:c>
      <x:c r="L164" s="143" t="n">
        <x:v>688000000</x:v>
      </x:c>
      <x:c r="M164" s="179"/>
      <x:c r="N164" s="179"/>
      <x:c r="O164" s="63" t="str">
        <x:v>indeterminate_incomplete_schedule</x:v>
      </x:c>
      <x:c r="P164" s="63" t="str"/>
      <x:c r="Q164" s="143"/>
      <x:c r="R164" s="143"/>
      <x:c r="S164" s="154" t="n">
        <x:v>-113.581604</x:v>
      </x:c>
      <x:c r="T164" s="154" t="n">
        <x:v>53.367815</x:v>
      </x:c>
      <x:c r="U164" s="63" t="str">
        <x:v>approximate</x:v>
      </x:c>
      <x:c r="V164" s="63" t="str">
        <x:v>ALBERTA_MAJOR_PROJECTS</x:v>
      </x:c>
      <x:c r="W164" s="63" t="str">
        <x:v>observed</x:v>
      </x:c>
      <x:c r="X164" s="155" t="n">
        <x:v>46265</x:v>
      </x:c>
      <x:c r="Y164" s="63" t="str">
        <x:v>https://www.majorprojects.alberta.ca/</x:v>
      </x:c>
    </x:row>
    <x:row r="165">
      <x:c r="A165" s="63" t="str">
        <x:v>ABMP_12127</x:v>
      </x:c>
      <x:c r="B165" s="63" t="str">
        <x:v>Edmonton - Calgary Passenger Rail</x:v>
      </x:c>
      <x:c r="C165" s="63" t="str">
        <x:v>Municipal Water And Resilience</x:v>
      </x:c>
      <x:c r="D165" s="63" t="str">
        <x:v>inferred</x:v>
      </x:c>
      <x:c r="E165" s="63" t="str">
        <x:v>Other Infrastructure</x:v>
      </x:c>
      <x:c r="F165" s="63" t="str">
        <x:v>Infrastructure</x:v>
      </x:c>
      <x:c r="G165" s="63" t="str">
        <x:v>Government of Alberta</x:v>
      </x:c>
      <x:c r="H165" s="63" t="str">
        <x:v>Unresolved</x:v>
      </x:c>
      <x:c r="I165" s="63" t="str">
        <x:v>inferred</x:v>
      </x:c>
      <x:c r="J165" s="63" t="str">
        <x:v>Airdrie|Blackfalds|Calgary|Edmonton|Lacombe|Lacombe County|Leduc|Leduc County|Mountain View County|Ponoka County|Red Deer|Red Deer County|Rocky View County|Wetaskiwin County No. 10</x:v>
      </x:c>
      <x:c r="K165" s="63" t="str">
        <x:v>Proposed</x:v>
      </x:c>
      <x:c r="L165" s="143"/>
      <x:c r="M165" s="179"/>
      <x:c r="N165" s="179"/>
      <x:c r="O165" s="63" t="str">
        <x:v>indeterminate_incomplete_schedule</x:v>
      </x:c>
      <x:c r="P165" s="63" t="str"/>
      <x:c r="Q165" s="143"/>
      <x:c r="R165" s="143"/>
      <x:c r="S165" s="154"/>
      <x:c r="T165" s="154"/>
      <x:c r="U165" s="63" t="str">
        <x:v>approximate</x:v>
      </x:c>
      <x:c r="V165" s="63" t="str">
        <x:v>ALBERTA_MAJOR_PROJECTS</x:v>
      </x:c>
      <x:c r="W165" s="63" t="str">
        <x:v>observed</x:v>
      </x:c>
      <x:c r="X165" s="155" t="n">
        <x:v>46265</x:v>
      </x:c>
      <x:c r="Y165" s="63" t="str">
        <x:v>https://www.majorprojects.alberta.ca/</x:v>
      </x:c>
    </x:row>
    <x:row r="166">
      <x:c r="A166" s="63" t="str">
        <x:v>ABMP_10964</x:v>
      </x:c>
      <x:c r="B166" s="63" t="str">
        <x:v>Edmonton Water Treatment Plants Flood Mitigation</x:v>
      </x:c>
      <x:c r="C166" s="63" t="str">
        <x:v>Municipal Water And Resilience</x:v>
      </x:c>
      <x:c r="D166" s="63" t="str">
        <x:v>inferred</x:v>
      </x:c>
      <x:c r="E166" s="63" t="str">
        <x:v>Flood Mitigation/Reservoir</x:v>
      </x:c>
      <x:c r="F166" s="63" t="str">
        <x:v>Infrastructure</x:v>
      </x:c>
      <x:c r="G166" s="63" t="str">
        <x:v>EPCOR</x:v>
      </x:c>
      <x:c r="H166" s="63" t="str">
        <x:v>Municipal Or Public Utility Signal</x:v>
      </x:c>
      <x:c r="I166" s="63" t="str">
        <x:v>inferred</x:v>
      </x:c>
      <x:c r="J166" s="63" t="str">
        <x:v>Edmonton</x:v>
      </x:c>
      <x:c r="K166" s="63" t="str">
        <x:v>Under Construction</x:v>
      </x:c>
      <x:c r="L166" s="143" t="n">
        <x:v>65000000</x:v>
      </x:c>
      <x:c r="M166" s="179" t="n">
        <x:v>2024</x:v>
      </x:c>
      <x:c r="N166" s="179" t="n">
        <x:v>2027</x:v>
      </x:c>
      <x:c r="O166" s="63" t="str">
        <x:v>overlaps</x:v>
      </x:c>
      <x:c r="P166" s="63" t="str">
        <x:v>2027</x:v>
      </x:c>
      <x:c r="Q166" s="143" t="n">
        <x:v>16250000</x:v>
      </x:c>
      <x:c r="R166" s="143" t="n">
        <x:v>16250000</x:v>
      </x:c>
      <x:c r="S166" s="154" t="n">
        <x:v>-113.496548</x:v>
      </x:c>
      <x:c r="T166" s="154" t="n">
        <x:v>53.529465</x:v>
      </x:c>
      <x:c r="U166" s="63" t="str">
        <x:v>reported</x:v>
      </x:c>
      <x:c r="V166" s="63" t="str">
        <x:v>ALBERTA_MAJOR_PROJECTS</x:v>
      </x:c>
      <x:c r="W166" s="63" t="str">
        <x:v>observed</x:v>
      </x:c>
      <x:c r="X166" s="155" t="n">
        <x:v>46265</x:v>
      </x:c>
      <x:c r="Y166" s="63" t="str">
        <x:v>https://www.majorprojects.alberta.ca/</x:v>
      </x:c>
    </x:row>
    <x:row r="167">
      <x:c r="A167" s="63" t="str">
        <x:v>ABMP_11572</x:v>
      </x:c>
      <x:c r="B167" s="63" t="str">
        <x:v>Fish Creek Waste Water Treatment Plant Upgrades</x:v>
      </x:c>
      <x:c r="C167" s="63" t="str">
        <x:v>Municipal Water And Resilience</x:v>
      </x:c>
      <x:c r="D167" s="63" t="str">
        <x:v>inferred</x:v>
      </x:c>
      <x:c r="E167" s="63" t="str">
        <x:v>Water/Wastewater</x:v>
      </x:c>
      <x:c r="F167" s="63" t="str">
        <x:v>Infrastructure</x:v>
      </x:c>
      <x:c r="G167" s="63" t="str">
        <x:v>City of Calgary</x:v>
      </x:c>
      <x:c r="H167" s="63" t="str">
        <x:v>Government Or Public Institution Signal</x:v>
      </x:c>
      <x:c r="I167" s="63" t="str">
        <x:v>inferred</x:v>
      </x:c>
      <x:c r="J167" s="63" t="str">
        <x:v>Calgary</x:v>
      </x:c>
      <x:c r="K167" s="63" t="str">
        <x:v>Under Construction</x:v>
      </x:c>
      <x:c r="L167" s="143" t="n">
        <x:v>547500000</x:v>
      </x:c>
      <x:c r="M167" s="179" t="n">
        <x:v>2025</x:v>
      </x:c>
      <x:c r="N167" s="179" t="n">
        <x:v>2031</x:v>
      </x:c>
      <x:c r="O167" s="63" t="str">
        <x:v>overlaps</x:v>
      </x:c>
      <x:c r="P167" s="63" t="str">
        <x:v>2027|2028|2029|2030|2031</x:v>
      </x:c>
      <x:c r="Q167" s="143" t="n">
        <x:v>78214285.71428572</x:v>
      </x:c>
      <x:c r="R167" s="143" t="n">
        <x:v>391071428.5714286</x:v>
      </x:c>
      <x:c r="S167" s="154" t="n">
        <x:v>-114.010351</x:v>
      </x:c>
      <x:c r="T167" s="154" t="n">
        <x:v>50.911634</x:v>
      </x:c>
      <x:c r="U167" s="63" t="str">
        <x:v>reported</x:v>
      </x:c>
      <x:c r="V167" s="63" t="str">
        <x:v>ALBERTA_MAJOR_PROJECTS</x:v>
      </x:c>
      <x:c r="W167" s="63" t="str">
        <x:v>observed</x:v>
      </x:c>
      <x:c r="X167" s="155" t="n">
        <x:v>46265</x:v>
      </x:c>
      <x:c r="Y167" s="63" t="str">
        <x:v>https://www.majorprojects.alberta.ca/</x:v>
      </x:c>
    </x:row>
    <x:row r="168">
      <x:c r="A168" s="63" t="str">
        <x:v>ABMP_10517</x:v>
      </x:c>
      <x:c r="B168" s="63" t="str">
        <x:v>Fort McMurray Lower Townsite Flood Mitigation</x:v>
      </x:c>
      <x:c r="C168" s="63" t="str">
        <x:v>Municipal Water And Resilience</x:v>
      </x:c>
      <x:c r="D168" s="63" t="str">
        <x:v>inferred</x:v>
      </x:c>
      <x:c r="E168" s="63" t="str">
        <x:v>Flood Mitigation/Reservoir</x:v>
      </x:c>
      <x:c r="F168" s="63" t="str">
        <x:v>Infrastructure</x:v>
      </x:c>
      <x:c r="G168" s="63" t="str">
        <x:v>Regional Municipality of Wood Buffalo</x:v>
      </x:c>
      <x:c r="H168" s="63" t="str">
        <x:v>Government Or Public Institution Signal</x:v>
      </x:c>
      <x:c r="I168" s="63" t="str">
        <x:v>inferred</x:v>
      </x:c>
      <x:c r="J168" s="63" t="str">
        <x:v>Wood Buffalo</x:v>
      </x:c>
      <x:c r="K168" s="63" t="str">
        <x:v>Under Construction</x:v>
      </x:c>
      <x:c r="L168" s="143" t="n">
        <x:v>143000000</x:v>
      </x:c>
      <x:c r="M168" s="179" t="n">
        <x:v>2017</x:v>
      </x:c>
      <x:c r="N168" s="179" t="n">
        <x:v>2026</x:v>
      </x:c>
      <x:c r="O168" s="63" t="str">
        <x:v>outside_window</x:v>
      </x:c>
      <x:c r="P168" s="63" t="str"/>
      <x:c r="Q168" s="143" t="n">
        <x:v>14300000</x:v>
      </x:c>
      <x:c r="R168" s="143" t="n">
        <x:v>0</x:v>
      </x:c>
      <x:c r="S168" s="154" t="n">
        <x:v>-111.340313</x:v>
      </x:c>
      <x:c r="T168" s="154" t="n">
        <x:v>56.706374</x:v>
      </x:c>
      <x:c r="U168" s="63" t="str">
        <x:v>reported</x:v>
      </x:c>
      <x:c r="V168" s="63" t="str">
        <x:v>ALBERTA_MAJOR_PROJECTS</x:v>
      </x:c>
      <x:c r="W168" s="63" t="str">
        <x:v>observed</x:v>
      </x:c>
      <x:c r="X168" s="155" t="n">
        <x:v>46265</x:v>
      </x:c>
      <x:c r="Y168" s="63" t="str">
        <x:v>https://www.majorprojects.alberta.ca/</x:v>
      </x:c>
    </x:row>
    <x:row r="169">
      <x:c r="A169" s="63" t="str">
        <x:v>ABMP_11831</x:v>
      </x:c>
      <x:c r="B169" s="63" t="str">
        <x:v>Hanson Ranch Stormwater Wetlands Redesign</x:v>
      </x:c>
      <x:c r="C169" s="63" t="str">
        <x:v>Municipal Water And Resilience</x:v>
      </x:c>
      <x:c r="D169" s="63" t="str">
        <x:v>inferred</x:v>
      </x:c>
      <x:c r="E169" s="63" t="str">
        <x:v>Water/Wastewater</x:v>
      </x:c>
      <x:c r="F169" s="63" t="str">
        <x:v>Infrastructure</x:v>
      </x:c>
      <x:c r="G169" s="63" t="str">
        <x:v>City of Calgary</x:v>
      </x:c>
      <x:c r="H169" s="63" t="str">
        <x:v>Government Or Public Institution Signal</x:v>
      </x:c>
      <x:c r="I169" s="63" t="str">
        <x:v>inferred</x:v>
      </x:c>
      <x:c r="J169" s="63" t="str">
        <x:v>Calgary</x:v>
      </x:c>
      <x:c r="K169" s="63" t="str">
        <x:v>Under Construction</x:v>
      </x:c>
      <x:c r="L169" s="143" t="n">
        <x:v>12700000</x:v>
      </x:c>
      <x:c r="M169" s="179" t="n">
        <x:v>2025</x:v>
      </x:c>
      <x:c r="N169" s="179" t="n">
        <x:v>2026</x:v>
      </x:c>
      <x:c r="O169" s="63" t="str">
        <x:v>outside_window</x:v>
      </x:c>
      <x:c r="P169" s="63" t="str"/>
      <x:c r="Q169" s="143" t="n">
        <x:v>6350000</x:v>
      </x:c>
      <x:c r="R169" s="143" t="n">
        <x:v>0</x:v>
      </x:c>
      <x:c r="S169" s="154" t="n">
        <x:v>-114.104856</x:v>
      </x:c>
      <x:c r="T169" s="154" t="n">
        <x:v>51.1565</x:v>
      </x:c>
      <x:c r="U169" s="63" t="str">
        <x:v>reported</x:v>
      </x:c>
      <x:c r="V169" s="63" t="str">
        <x:v>ALBERTA_MAJOR_PROJECTS</x:v>
      </x:c>
      <x:c r="W169" s="63" t="str">
        <x:v>observed</x:v>
      </x:c>
      <x:c r="X169" s="155" t="n">
        <x:v>46265</x:v>
      </x:c>
      <x:c r="Y169" s="63" t="str">
        <x:v>https://www.majorprojects.alberta.ca/</x:v>
      </x:c>
    </x:row>
    <x:row r="170">
      <x:c r="A170" s="63" t="str">
        <x:v>ABMP_11940</x:v>
      </x:c>
      <x:c r="B170" s="63" t="str">
        <x:v>Island Lake Regional Water Extension</x:v>
      </x:c>
      <x:c r="C170" s="63" t="str">
        <x:v>Municipal Water And Resilience</x:v>
      </x:c>
      <x:c r="D170" s="63" t="str">
        <x:v>inferred</x:v>
      </x:c>
      <x:c r="E170" s="63" t="str">
        <x:v>Water/Wastewater</x:v>
      </x:c>
      <x:c r="F170" s="63" t="str">
        <x:v>Infrastructure</x:v>
      </x:c>
      <x:c r="G170" s="63" t="str">
        <x:v>Athabasca County</x:v>
      </x:c>
      <x:c r="H170" s="63" t="str">
        <x:v>Unresolved</x:v>
      </x:c>
      <x:c r="I170" s="63" t="str">
        <x:v>inferred</x:v>
      </x:c>
      <x:c r="J170" s="63" t="str">
        <x:v>Athabasca|Athabasca County|Island Lake|Whispering Hills</x:v>
      </x:c>
      <x:c r="K170" s="63" t="str">
        <x:v>Under Construction</x:v>
      </x:c>
      <x:c r="L170" s="143" t="n">
        <x:v>16600000</x:v>
      </x:c>
      <x:c r="M170" s="179" t="n">
        <x:v>2026</x:v>
      </x:c>
      <x:c r="N170" s="179" t="n">
        <x:v>2028</x:v>
      </x:c>
      <x:c r="O170" s="63" t="str">
        <x:v>overlaps</x:v>
      </x:c>
      <x:c r="P170" s="63" t="str">
        <x:v>2027|2028</x:v>
      </x:c>
      <x:c r="Q170" s="143" t="n">
        <x:v>5533333.333333333</x:v>
      </x:c>
      <x:c r="R170" s="143" t="n">
        <x:v>11066666.666666666</x:v>
      </x:c>
      <x:c r="S170" s="154"/>
      <x:c r="T170" s="154"/>
      <x:c r="U170" s="63" t="str">
        <x:v>reported</x:v>
      </x:c>
      <x:c r="V170" s="63" t="str">
        <x:v>ALBERTA_MAJOR_PROJECTS</x:v>
      </x:c>
      <x:c r="W170" s="63" t="str">
        <x:v>observed</x:v>
      </x:c>
      <x:c r="X170" s="155" t="n">
        <x:v>46265</x:v>
      </x:c>
      <x:c r="Y170" s="63" t="str">
        <x:v>https://www.majorprojects.alberta.ca/</x:v>
      </x:c>
    </x:row>
    <x:row r="171">
      <x:c r="A171" s="63" t="str">
        <x:v>ABMP_11195</x:v>
      </x:c>
      <x:c r="B171" s="63" t="str">
        <x:v>Jensen Reservoir - Inlet Replacement</x:v>
      </x:c>
      <x:c r="C171" s="63" t="str">
        <x:v>Municipal Water And Resilience</x:v>
      </x:c>
      <x:c r="D171" s="63" t="str">
        <x:v>inferred</x:v>
      </x:c>
      <x:c r="E171" s="63" t="str">
        <x:v>Water/Wastewater</x:v>
      </x:c>
      <x:c r="F171" s="63" t="str">
        <x:v>Infrastructure</x:v>
      </x:c>
      <x:c r="G171" s="63" t="str">
        <x:v>Alberta Transportation and Economic Corridors</x:v>
      </x:c>
      <x:c r="H171" s="63" t="str">
        <x:v>Government Or Public Institution Signal</x:v>
      </x:c>
      <x:c r="I171" s="63" t="str">
        <x:v>inferred</x:v>
      </x:c>
      <x:c r="J171" s="63" t="str">
        <x:v>Cardston County</x:v>
      </x:c>
      <x:c r="K171" s="63" t="str">
        <x:v>Proposed</x:v>
      </x:c>
      <x:c r="L171" s="143"/>
      <x:c r="M171" s="179" t="n">
        <x:v>2027</x:v>
      </x:c>
      <x:c r="N171" s="179" t="n">
        <x:v>2028</x:v>
      </x:c>
      <x:c r="O171" s="63" t="str">
        <x:v>overlaps</x:v>
      </x:c>
      <x:c r="P171" s="63" t="str">
        <x:v>2027|2028</x:v>
      </x:c>
      <x:c r="Q171" s="143"/>
      <x:c r="R171" s="143"/>
      <x:c r="S171" s="154" t="n">
        <x:v>-113.1031</x:v>
      </x:c>
      <x:c r="T171" s="154" t="n">
        <x:v>49.3597</x:v>
      </x:c>
      <x:c r="U171" s="63" t="str">
        <x:v>reported</x:v>
      </x:c>
      <x:c r="V171" s="63" t="str">
        <x:v>ALBERTA_MAJOR_PROJECTS</x:v>
      </x:c>
      <x:c r="W171" s="63" t="str">
        <x:v>observed</x:v>
      </x:c>
      <x:c r="X171" s="155" t="n">
        <x:v>46265</x:v>
      </x:c>
      <x:c r="Y171" s="63" t="str">
        <x:v>https://www.majorprojects.alberta.ca/</x:v>
      </x:c>
    </x:row>
    <x:row r="172">
      <x:c r="A172" s="63" t="str">
        <x:v>ABMP_11973</x:v>
      </x:c>
      <x:c r="B172" s="63" t="str">
        <x:v>Jura Creek Flood Mitigation Project</x:v>
      </x:c>
      <x:c r="C172" s="63" t="str">
        <x:v>Municipal Water And Resilience</x:v>
      </x:c>
      <x:c r="D172" s="63" t="str">
        <x:v>inferred</x:v>
      </x:c>
      <x:c r="E172" s="63" t="str">
        <x:v>Flood Mitigation/Reservoir</x:v>
      </x:c>
      <x:c r="F172" s="63" t="str">
        <x:v>Infrastructure</x:v>
      </x:c>
      <x:c r="G172" s="63" t="str">
        <x:v>Alberta Transportation and Economic Corridors</x:v>
      </x:c>
      <x:c r="H172" s="63" t="str">
        <x:v>Government Or Public Institution Signal</x:v>
      </x:c>
      <x:c r="I172" s="63" t="str">
        <x:v>inferred</x:v>
      </x:c>
      <x:c r="J172" s="63" t="str">
        <x:v>Bighorn No. 8</x:v>
      </x:c>
      <x:c r="K172" s="63" t="str">
        <x:v>Proposed</x:v>
      </x:c>
      <x:c r="L172" s="143"/>
      <x:c r="M172" s="179" t="n">
        <x:v>2027</x:v>
      </x:c>
      <x:c r="N172" s="179" t="n">
        <x:v>2028</x:v>
      </x:c>
      <x:c r="O172" s="63" t="str">
        <x:v>overlaps</x:v>
      </x:c>
      <x:c r="P172" s="63" t="str">
        <x:v>2027|2028</x:v>
      </x:c>
      <x:c r="Q172" s="143"/>
      <x:c r="R172" s="143"/>
      <x:c r="S172" s="154" t="n">
        <x:v>-115.146149</x:v>
      </x:c>
      <x:c r="T172" s="154" t="n">
        <x:v>51.069807</x:v>
      </x:c>
      <x:c r="U172" s="63" t="str">
        <x:v>reported</x:v>
      </x:c>
      <x:c r="V172" s="63" t="str">
        <x:v>ALBERTA_MAJOR_PROJECTS</x:v>
      </x:c>
      <x:c r="W172" s="63" t="str">
        <x:v>observed</x:v>
      </x:c>
      <x:c r="X172" s="155" t="n">
        <x:v>46265</x:v>
      </x:c>
      <x:c r="Y172" s="63" t="str">
        <x:v>https://www.majorprojects.alberta.ca/</x:v>
      </x:c>
    </x:row>
    <x:row r="173">
      <x:c r="A173" s="63" t="str">
        <x:v>ABMP_11988</x:v>
      </x:c>
      <x:c r="B173" s="63" t="str">
        <x:v>Kipling Street Feeder Main Twinning</x:v>
      </x:c>
      <x:c r="C173" s="63" t="str">
        <x:v>Municipal Water And Resilience</x:v>
      </x:c>
      <x:c r="D173" s="63" t="str">
        <x:v>inferred</x:v>
      </x:c>
      <x:c r="E173" s="63" t="str">
        <x:v>Water/Wastewater</x:v>
      </x:c>
      <x:c r="F173" s="63" t="str">
        <x:v>Infrastructure</x:v>
      </x:c>
      <x:c r="G173" s="63" t="str">
        <x:v>City of Medicine Hat</x:v>
      </x:c>
      <x:c r="H173" s="63" t="str">
        <x:v>Government Or Public Institution Signal</x:v>
      </x:c>
      <x:c r="I173" s="63" t="str">
        <x:v>inferred</x:v>
      </x:c>
      <x:c r="J173" s="63" t="str">
        <x:v>Medicine Hat</x:v>
      </x:c>
      <x:c r="K173" s="63" t="str">
        <x:v>Under Construction</x:v>
      </x:c>
      <x:c r="L173" s="143" t="n">
        <x:v>6300000</x:v>
      </x:c>
      <x:c r="M173" s="179" t="n">
        <x:v>2026</x:v>
      </x:c>
      <x:c r="N173" s="179"/>
      <x:c r="O173" s="63" t="str">
        <x:v>indeterminate_incomplete_schedule</x:v>
      </x:c>
      <x:c r="P173" s="63" t="str"/>
      <x:c r="Q173" s="143"/>
      <x:c r="R173" s="143"/>
      <x:c r="S173" s="154" t="n">
        <x:v>-110.679682</x:v>
      </x:c>
      <x:c r="T173" s="154" t="n">
        <x:v>50.023914</x:v>
      </x:c>
      <x:c r="U173" s="63" t="str">
        <x:v>reported</x:v>
      </x:c>
      <x:c r="V173" s="63" t="str">
        <x:v>ALBERTA_MAJOR_PROJECTS</x:v>
      </x:c>
      <x:c r="W173" s="63" t="str">
        <x:v>observed</x:v>
      </x:c>
      <x:c r="X173" s="155" t="n">
        <x:v>46265</x:v>
      </x:c>
      <x:c r="Y173" s="63" t="str">
        <x:v>https://www.majorprojects.alberta.ca/</x:v>
      </x:c>
    </x:row>
    <x:row r="174">
      <x:c r="A174" s="63" t="str">
        <x:v>ABMP_11818</x:v>
      </x:c>
      <x:c r="B174" s="63" t="str">
        <x:v>Lethbridge Water Treatment Plant Upgrades</x:v>
      </x:c>
      <x:c r="C174" s="63" t="str">
        <x:v>Municipal Water And Resilience</x:v>
      </x:c>
      <x:c r="D174" s="63" t="str">
        <x:v>inferred</x:v>
      </x:c>
      <x:c r="E174" s="63" t="str">
        <x:v>Water/Wastewater</x:v>
      </x:c>
      <x:c r="F174" s="63" t="str">
        <x:v>Infrastructure</x:v>
      </x:c>
      <x:c r="G174" s="63" t="str">
        <x:v>City of Lethbridge</x:v>
      </x:c>
      <x:c r="H174" s="63" t="str">
        <x:v>Government Or Public Institution Signal</x:v>
      </x:c>
      <x:c r="I174" s="63" t="str">
        <x:v>inferred</x:v>
      </x:c>
      <x:c r="J174" s="63" t="str">
        <x:v>Lethbridge</x:v>
      </x:c>
      <x:c r="K174" s="63" t="str">
        <x:v>Under Construction</x:v>
      </x:c>
      <x:c r="L174" s="143" t="n">
        <x:v>67200000</x:v>
      </x:c>
      <x:c r="M174" s="179" t="n">
        <x:v>2025</x:v>
      </x:c>
      <x:c r="N174" s="179" t="n">
        <x:v>2027</x:v>
      </x:c>
      <x:c r="O174" s="63" t="str">
        <x:v>overlaps</x:v>
      </x:c>
      <x:c r="P174" s="63" t="str">
        <x:v>2027</x:v>
      </x:c>
      <x:c r="Q174" s="143" t="n">
        <x:v>22400000</x:v>
      </x:c>
      <x:c r="R174" s="143" t="n">
        <x:v>22400000</x:v>
      </x:c>
      <x:c r="S174" s="154" t="n">
        <x:v>-112.852362</x:v>
      </x:c>
      <x:c r="T174" s="154" t="n">
        <x:v>49.685205</x:v>
      </x:c>
      <x:c r="U174" s="63" t="str">
        <x:v>reported</x:v>
      </x:c>
      <x:c r="V174" s="63" t="str">
        <x:v>ALBERTA_MAJOR_PROJECTS</x:v>
      </x:c>
      <x:c r="W174" s="63" t="str">
        <x:v>observed</x:v>
      </x:c>
      <x:c r="X174" s="155" t="n">
        <x:v>46265</x:v>
      </x:c>
      <x:c r="Y174" s="63" t="str">
        <x:v>https://www.majorprojects.alberta.ca/</x:v>
      </x:c>
    </x:row>
    <x:row r="175">
      <x:c r="A175" s="63" t="str">
        <x:v>ABMP_11234</x:v>
      </x:c>
      <x:c r="B175" s="63" t="str">
        <x:v>Milo Regional System HUB Water Treatment Plant (Phase 1 &amp; 2)</x:v>
      </x:c>
      <x:c r="C175" s="63" t="str">
        <x:v>Municipal Water And Resilience</x:v>
      </x:c>
      <x:c r="D175" s="63" t="str">
        <x:v>inferred</x:v>
      </x:c>
      <x:c r="E175" s="63" t="str">
        <x:v>Water/Wastewater</x:v>
      </x:c>
      <x:c r="F175" s="63" t="str">
        <x:v>Infrastructure</x:v>
      </x:c>
      <x:c r="G175" s="63" t="str">
        <x:v>Village of Milo</x:v>
      </x:c>
      <x:c r="H175" s="63" t="str">
        <x:v>Government Or Public Institution Signal</x:v>
      </x:c>
      <x:c r="I175" s="63" t="str">
        <x:v>inferred</x:v>
      </x:c>
      <x:c r="J175" s="63" t="str">
        <x:v>Milo</x:v>
      </x:c>
      <x:c r="K175" s="63" t="str">
        <x:v>Under Construction</x:v>
      </x:c>
      <x:c r="L175" s="143" t="n">
        <x:v>21000000</x:v>
      </x:c>
      <x:c r="M175" s="179" t="n">
        <x:v>2026</x:v>
      </x:c>
      <x:c r="N175" s="179"/>
      <x:c r="O175" s="63" t="str">
        <x:v>indeterminate_incomplete_schedule</x:v>
      </x:c>
      <x:c r="P175" s="63" t="str"/>
      <x:c r="Q175" s="143"/>
      <x:c r="R175" s="143"/>
      <x:c r="S175" s="154" t="n">
        <x:v>-112.88288</x:v>
      </x:c>
      <x:c r="T175" s="154" t="n">
        <x:v>50.569584</x:v>
      </x:c>
      <x:c r="U175" s="63" t="str">
        <x:v>reported</x:v>
      </x:c>
      <x:c r="V175" s="63" t="str">
        <x:v>ALBERTA_MAJOR_PROJECTS</x:v>
      </x:c>
      <x:c r="W175" s="63" t="str">
        <x:v>observed</x:v>
      </x:c>
      <x:c r="X175" s="155" t="n">
        <x:v>46265</x:v>
      </x:c>
      <x:c r="Y175" s="63" t="str">
        <x:v>https://www.majorprojects.alberta.ca/</x:v>
      </x:c>
    </x:row>
    <x:row r="176">
      <x:c r="A176" s="63" t="str">
        <x:v>ABMP_11903</x:v>
      </x:c>
      <x:c r="B176" s="63" t="str">
        <x:v>Mountain View Pump Station Capacity Upgrades</x:v>
      </x:c>
      <x:c r="C176" s="63" t="str">
        <x:v>Municipal Water And Resilience</x:v>
      </x:c>
      <x:c r="D176" s="63" t="str">
        <x:v>inferred</x:v>
      </x:c>
      <x:c r="E176" s="63" t="str">
        <x:v>Water/Wastewater</x:v>
      </x:c>
      <x:c r="F176" s="63" t="str">
        <x:v>Infrastructure</x:v>
      </x:c>
      <x:c r="G176" s="63" t="str">
        <x:v>City of Calgary</x:v>
      </x:c>
      <x:c r="H176" s="63" t="str">
        <x:v>Government Or Public Institution Signal</x:v>
      </x:c>
      <x:c r="I176" s="63" t="str">
        <x:v>inferred</x:v>
      </x:c>
      <x:c r="J176" s="63" t="str">
        <x:v>Calgary</x:v>
      </x:c>
      <x:c r="K176" s="63" t="str">
        <x:v>Proposed</x:v>
      </x:c>
      <x:c r="L176" s="143" t="n">
        <x:v>10400000</x:v>
      </x:c>
      <x:c r="M176" s="179"/>
      <x:c r="N176" s="179" t="n">
        <x:v>2027</x:v>
      </x:c>
      <x:c r="O176" s="63" t="str">
        <x:v>indeterminate_incomplete_schedule</x:v>
      </x:c>
      <x:c r="P176" s="63" t="str"/>
      <x:c r="Q176" s="143"/>
      <x:c r="R176" s="143"/>
      <x:c r="S176" s="154" t="n">
        <x:v>-114.208653</x:v>
      </x:c>
      <x:c r="T176" s="154" t="n">
        <x:v>51.132746</x:v>
      </x:c>
      <x:c r="U176" s="63" t="str">
        <x:v>reported</x:v>
      </x:c>
      <x:c r="V176" s="63" t="str">
        <x:v>ALBERTA_MAJOR_PROJECTS</x:v>
      </x:c>
      <x:c r="W176" s="63" t="str">
        <x:v>observed</x:v>
      </x:c>
      <x:c r="X176" s="155" t="n">
        <x:v>46265</x:v>
      </x:c>
      <x:c r="Y176" s="63" t="str">
        <x:v>https://www.majorprojects.alberta.ca/</x:v>
      </x:c>
    </x:row>
    <x:row r="177">
      <x:c r="A177" s="63" t="str">
        <x:v>ABMP_11235</x:v>
      </x:c>
      <x:c r="B177" s="63" t="str">
        <x:v>Nanton Regional Water System</x:v>
      </x:c>
      <x:c r="C177" s="63" t="str">
        <x:v>Municipal Water And Resilience</x:v>
      </x:c>
      <x:c r="D177" s="63" t="str">
        <x:v>inferred</x:v>
      </x:c>
      <x:c r="E177" s="63" t="str">
        <x:v>Water/Wastewater</x:v>
      </x:c>
      <x:c r="F177" s="63" t="str">
        <x:v>Infrastructure</x:v>
      </x:c>
      <x:c r="G177" s="63" t="str">
        <x:v>Town of Nanton</x:v>
      </x:c>
      <x:c r="H177" s="63" t="str">
        <x:v>Government Or Public Institution Signal</x:v>
      </x:c>
      <x:c r="I177" s="63" t="str">
        <x:v>inferred</x:v>
      </x:c>
      <x:c r="J177" s="63" t="str">
        <x:v>Nanton|Foothills No. 31|High River|Willow Creek No. 26</x:v>
      </x:c>
      <x:c r="K177" s="63" t="str">
        <x:v>Proposed</x:v>
      </x:c>
      <x:c r="L177" s="143" t="n">
        <x:v>16200000</x:v>
      </x:c>
      <x:c r="M177" s="179"/>
      <x:c r="N177" s="179"/>
      <x:c r="O177" s="63" t="str">
        <x:v>indeterminate_incomplete_schedule</x:v>
      </x:c>
      <x:c r="P177" s="63" t="str"/>
      <x:c r="Q177" s="143"/>
      <x:c r="R177" s="143"/>
      <x:c r="S177" s="154" t="n">
        <x:v>-113.768878</x:v>
      </x:c>
      <x:c r="T177" s="154" t="n">
        <x:v>50.344666</x:v>
      </x:c>
      <x:c r="U177" s="63" t="str">
        <x:v>approximate</x:v>
      </x:c>
      <x:c r="V177" s="63" t="str">
        <x:v>ALBERTA_MAJOR_PROJECTS</x:v>
      </x:c>
      <x:c r="W177" s="63" t="str">
        <x:v>observed</x:v>
      </x:c>
      <x:c r="X177" s="155" t="n">
        <x:v>46265</x:v>
      </x:c>
      <x:c r="Y177" s="63" t="str">
        <x:v>https://www.majorprojects.alberta.ca/</x:v>
      </x:c>
    </x:row>
    <x:row r="178">
      <x:c r="A178" s="63" t="str">
        <x:v>ABMP_11855</x:v>
      </x:c>
      <x:c r="B178" s="63" t="str">
        <x:v>Northeast Gateway Water Supply Main</x:v>
      </x:c>
      <x:c r="C178" s="63" t="str">
        <x:v>Municipal Water And Resilience</x:v>
      </x:c>
      <x:c r="D178" s="63" t="str">
        <x:v>inferred</x:v>
      </x:c>
      <x:c r="E178" s="63" t="str">
        <x:v>Water/Wastewater</x:v>
      </x:c>
      <x:c r="F178" s="63" t="str">
        <x:v>Infrastructure</x:v>
      </x:c>
      <x:c r="G178" s="63" t="str">
        <x:v>Town of Sylvan Lake</x:v>
      </x:c>
      <x:c r="H178" s="63" t="str">
        <x:v>Government Or Public Institution Signal</x:v>
      </x:c>
      <x:c r="I178" s="63" t="str">
        <x:v>inferred</x:v>
      </x:c>
      <x:c r="J178" s="63" t="str">
        <x:v>Sylvan Lake</x:v>
      </x:c>
      <x:c r="K178" s="63" t="str">
        <x:v>Under Construction</x:v>
      </x:c>
      <x:c r="L178" s="143" t="n">
        <x:v>7900000</x:v>
      </x:c>
      <x:c r="M178" s="179" t="n">
        <x:v>2026</x:v>
      </x:c>
      <x:c r="N178" s="179" t="n">
        <x:v>2026</x:v>
      </x:c>
      <x:c r="O178" s="63" t="str">
        <x:v>outside_window</x:v>
      </x:c>
      <x:c r="P178" s="63" t="str"/>
      <x:c r="Q178" s="143" t="n">
        <x:v>7900000</x:v>
      </x:c>
      <x:c r="R178" s="143" t="n">
        <x:v>0</x:v>
      </x:c>
      <x:c r="S178" s="154" t="n">
        <x:v>-114.065914</x:v>
      </x:c>
      <x:c r="T178" s="154" t="n">
        <x:v>52.298593</x:v>
      </x:c>
      <x:c r="U178" s="63" t="str">
        <x:v>approximate</x:v>
      </x:c>
      <x:c r="V178" s="63" t="str">
        <x:v>ALBERTA_MAJOR_PROJECTS</x:v>
      </x:c>
      <x:c r="W178" s="63" t="str">
        <x:v>observed</x:v>
      </x:c>
      <x:c r="X178" s="155" t="n">
        <x:v>46265</x:v>
      </x:c>
      <x:c r="Y178" s="63" t="str">
        <x:v>https://www.majorprojects.alberta.ca/</x:v>
      </x:c>
    </x:row>
    <x:row r="179">
      <x:c r="A179" s="63" t="str">
        <x:v>ABMP_12003</x:v>
      </x:c>
      <x:c r="B179" s="63" t="str">
        <x:v>Pine Creek Sanitary Lift Station</x:v>
      </x:c>
      <x:c r="C179" s="63" t="str">
        <x:v>Municipal Water And Resilience</x:v>
      </x:c>
      <x:c r="D179" s="63" t="str">
        <x:v>inferred</x:v>
      </x:c>
      <x:c r="E179" s="63" t="str">
        <x:v>Water/Wastewater</x:v>
      </x:c>
      <x:c r="F179" s="63" t="str">
        <x:v>Infrastructure</x:v>
      </x:c>
      <x:c r="G179" s="63" t="str">
        <x:v>City of Calgary</x:v>
      </x:c>
      <x:c r="H179" s="63" t="str">
        <x:v>Government Or Public Institution Signal</x:v>
      </x:c>
      <x:c r="I179" s="63" t="str">
        <x:v>inferred</x:v>
      </x:c>
      <x:c r="J179" s="63" t="str">
        <x:v>Calgary</x:v>
      </x:c>
      <x:c r="K179" s="63" t="str">
        <x:v>Under Construction</x:v>
      </x:c>
      <x:c r="L179" s="143" t="n">
        <x:v>7400000</x:v>
      </x:c>
      <x:c r="M179" s="179" t="n">
        <x:v>2026</x:v>
      </x:c>
      <x:c r="N179" s="179" t="n">
        <x:v>2026</x:v>
      </x:c>
      <x:c r="O179" s="63" t="str">
        <x:v>outside_window</x:v>
      </x:c>
      <x:c r="P179" s="63" t="str"/>
      <x:c r="Q179" s="143" t="n">
        <x:v>7400000</x:v>
      </x:c>
      <x:c r="R179" s="143" t="n">
        <x:v>0</x:v>
      </x:c>
      <x:c r="S179" s="154" t="n">
        <x:v>-114.0578342462832</x:v>
      </x:c>
      <x:c r="T179" s="154" t="n">
        <x:v>50.855760358250954</x:v>
      </x:c>
      <x:c r="U179" s="63" t="str">
        <x:v>reported</x:v>
      </x:c>
      <x:c r="V179" s="63" t="str">
        <x:v>ALBERTA_MAJOR_PROJECTS</x:v>
      </x:c>
      <x:c r="W179" s="63" t="str">
        <x:v>observed</x:v>
      </x:c>
      <x:c r="X179" s="155" t="n">
        <x:v>46265</x:v>
      </x:c>
      <x:c r="Y179" s="63" t="str">
        <x:v>https://www.majorprojects.alberta.ca/</x:v>
      </x:c>
    </x:row>
    <x:row r="180">
      <x:c r="A180" s="63" t="str">
        <x:v>ABMP_12036</x:v>
      </x:c>
      <x:c r="B180" s="63" t="str">
        <x:v>Red Deer Wastewater Treatment Plant Lab and Administration Building Expansion</x:v>
      </x:c>
      <x:c r="C180" s="63" t="str">
        <x:v>Municipal Water And Resilience</x:v>
      </x:c>
      <x:c r="D180" s="63" t="str">
        <x:v>inferred</x:v>
      </x:c>
      <x:c r="E180" s="63" t="str">
        <x:v>Water/Wastewater</x:v>
      </x:c>
      <x:c r="F180" s="63" t="str">
        <x:v>Infrastructure</x:v>
      </x:c>
      <x:c r="G180" s="63" t="str">
        <x:v>City of Red Deer</x:v>
      </x:c>
      <x:c r="H180" s="63" t="str">
        <x:v>Government Or Public Institution Signal</x:v>
      </x:c>
      <x:c r="I180" s="63" t="str">
        <x:v>inferred</x:v>
      </x:c>
      <x:c r="J180" s="63" t="str">
        <x:v>Red Deer</x:v>
      </x:c>
      <x:c r="K180" s="63" t="str">
        <x:v>Under Construction</x:v>
      </x:c>
      <x:c r="L180" s="143"/>
      <x:c r="M180" s="179" t="n">
        <x:v>2026</x:v>
      </x:c>
      <x:c r="N180" s="179" t="n">
        <x:v>2027</x:v>
      </x:c>
      <x:c r="O180" s="63" t="str">
        <x:v>overlaps</x:v>
      </x:c>
      <x:c r="P180" s="63" t="str">
        <x:v>2027</x:v>
      </x:c>
      <x:c r="Q180" s="143"/>
      <x:c r="R180" s="143"/>
      <x:c r="S180" s="154" t="n">
        <x:v>-113.792385</x:v>
      </x:c>
      <x:c r="T180" s="154" t="n">
        <x:v>52.311434</x:v>
      </x:c>
      <x:c r="U180" s="63" t="str">
        <x:v>reported</x:v>
      </x:c>
      <x:c r="V180" s="63" t="str">
        <x:v>ALBERTA_MAJOR_PROJECTS</x:v>
      </x:c>
      <x:c r="W180" s="63" t="str">
        <x:v>observed</x:v>
      </x:c>
      <x:c r="X180" s="155" t="n">
        <x:v>46265</x:v>
      </x:c>
      <x:c r="Y180" s="63" t="str">
        <x:v>https://www.majorprojects.alberta.ca/</x:v>
      </x:c>
    </x:row>
    <x:row r="181">
      <x:c r="A181" s="63" t="str">
        <x:v>ABMP_11894</x:v>
      </x:c>
      <x:c r="B181" s="63" t="str">
        <x:v>Riverview Pump Station and Force Main System</x:v>
      </x:c>
      <x:c r="C181" s="63" t="str">
        <x:v>Municipal Water And Resilience</x:v>
      </x:c>
      <x:c r="D181" s="63" t="str">
        <x:v>inferred</x:v>
      </x:c>
      <x:c r="E181" s="63" t="str">
        <x:v>Water/Wastewater</x:v>
      </x:c>
      <x:c r="F181" s="63" t="str">
        <x:v>Infrastructure</x:v>
      </x:c>
      <x:c r="G181" s="63" t="str">
        <x:v>City of Edmonton</x:v>
      </x:c>
      <x:c r="H181" s="63" t="str">
        <x:v>Government Or Public Institution Signal</x:v>
      </x:c>
      <x:c r="I181" s="63" t="str">
        <x:v>inferred</x:v>
      </x:c>
      <x:c r="J181" s="63" t="str">
        <x:v>Edmonton</x:v>
      </x:c>
      <x:c r="K181" s="63" t="str">
        <x:v>Under Construction</x:v>
      </x:c>
      <x:c r="L181" s="143" t="n">
        <x:v>26000000</x:v>
      </x:c>
      <x:c r="M181" s="179" t="n">
        <x:v>2025</x:v>
      </x:c>
      <x:c r="N181" s="179" t="n">
        <x:v>2027</x:v>
      </x:c>
      <x:c r="O181" s="63" t="str">
        <x:v>overlaps</x:v>
      </x:c>
      <x:c r="P181" s="63" t="str">
        <x:v>2027</x:v>
      </x:c>
      <x:c r="Q181" s="143" t="n">
        <x:v>8666666.666666666</x:v>
      </x:c>
      <x:c r="R181" s="143" t="n">
        <x:v>8666666.666666666</x:v>
      </x:c>
      <x:c r="S181" s="154" t="n">
        <x:v>-113.641362</x:v>
      </x:c>
      <x:c r="T181" s="154" t="n">
        <x:v>53.453647</x:v>
      </x:c>
      <x:c r="U181" s="63" t="str">
        <x:v>reported</x:v>
      </x:c>
      <x:c r="V181" s="63" t="str">
        <x:v>ALBERTA_MAJOR_PROJECTS</x:v>
      </x:c>
      <x:c r="W181" s="63" t="str">
        <x:v>observed</x:v>
      </x:c>
      <x:c r="X181" s="155" t="n">
        <x:v>46265</x:v>
      </x:c>
      <x:c r="Y181" s="63" t="str">
        <x:v>https://www.majorprojects.alberta.ca/</x:v>
      </x:c>
    </x:row>
    <x:row r="182">
      <x:c r="A182" s="63" t="str">
        <x:v>ABMP_4373</x:v>
      </x:c>
      <x:c r="B182" s="63" t="str">
        <x:v>Snake Lake Reservoir Expansion</x:v>
      </x:c>
      <x:c r="C182" s="63" t="str">
        <x:v>Municipal Water And Resilience</x:v>
      </x:c>
      <x:c r="D182" s="63" t="str">
        <x:v>inferred</x:v>
      </x:c>
      <x:c r="E182" s="63" t="str">
        <x:v>Other Infrastructure</x:v>
      </x:c>
      <x:c r="F182" s="63" t="str">
        <x:v>Infrastructure</x:v>
      </x:c>
      <x:c r="G182" s="63" t="str">
        <x:v>Eastern Irrigation District</x:v>
      </x:c>
      <x:c r="H182" s="63" t="str">
        <x:v>Unresolved</x:v>
      </x:c>
      <x:c r="I182" s="63" t="str">
        <x:v>inferred</x:v>
      </x:c>
      <x:c r="J182" s="63" t="str">
        <x:v>Newell County</x:v>
      </x:c>
      <x:c r="K182" s="63" t="str">
        <x:v>Proposed</x:v>
      </x:c>
      <x:c r="L182" s="143" t="n">
        <x:v>170000000</x:v>
      </x:c>
      <x:c r="M182" s="179"/>
      <x:c r="N182" s="179"/>
      <x:c r="O182" s="63" t="str">
        <x:v>indeterminate_incomplete_schedule</x:v>
      </x:c>
      <x:c r="P182" s="63" t="str"/>
      <x:c r="Q182" s="143"/>
      <x:c r="R182" s="143"/>
      <x:c r="S182" s="154" t="n">
        <x:v>-112.315228</x:v>
      </x:c>
      <x:c r="T182" s="154" t="n">
        <x:v>50.662762</x:v>
      </x:c>
      <x:c r="U182" s="63" t="str">
        <x:v>reported</x:v>
      </x:c>
      <x:c r="V182" s="63" t="str">
        <x:v>ALBERTA_MAJOR_PROJECTS</x:v>
      </x:c>
      <x:c r="W182" s="63" t="str">
        <x:v>observed</x:v>
      </x:c>
      <x:c r="X182" s="155" t="n">
        <x:v>46265</x:v>
      </x:c>
      <x:c r="Y182" s="63" t="str">
        <x:v>https://www.majorprojects.alberta.ca/</x:v>
      </x:c>
    </x:row>
    <x:row r="183">
      <x:c r="A183" s="63" t="str">
        <x:v>ABMP_11937</x:v>
      </x:c>
      <x:c r="B183" s="63" t="str">
        <x:v>Sturgeon Lake Cree Nation Emergency Water Treatment Plant Upgrades</x:v>
      </x:c>
      <x:c r="C183" s="63" t="str">
        <x:v>Municipal Water And Resilience</x:v>
      </x:c>
      <x:c r="D183" s="63" t="str">
        <x:v>inferred</x:v>
      </x:c>
      <x:c r="E183" s="63" t="str">
        <x:v>Water/Wastewater</x:v>
      </x:c>
      <x:c r="F183" s="63" t="str">
        <x:v>Infrastructure</x:v>
      </x:c>
      <x:c r="G183" s="63" t="str">
        <x:v>Sturgeon Lake Cree Nation</x:v>
      </x:c>
      <x:c r="H183" s="63" t="str">
        <x:v>Unresolved</x:v>
      </x:c>
      <x:c r="I183" s="63" t="str">
        <x:v>inferred</x:v>
      </x:c>
      <x:c r="J183" s="63" t="str">
        <x:v>Sturgeon Lake 154</x:v>
      </x:c>
      <x:c r="K183" s="63" t="str">
        <x:v>Under Construction</x:v>
      </x:c>
      <x:c r="L183" s="143" t="n">
        <x:v>17100000</x:v>
      </x:c>
      <x:c r="M183" s="179" t="n">
        <x:v>2026</x:v>
      </x:c>
      <x:c r="N183" s="179" t="n">
        <x:v>2028</x:v>
      </x:c>
      <x:c r="O183" s="63" t="str">
        <x:v>overlaps</x:v>
      </x:c>
      <x:c r="P183" s="63" t="str">
        <x:v>2027|2028</x:v>
      </x:c>
      <x:c r="Q183" s="143" t="n">
        <x:v>5700000</x:v>
      </x:c>
      <x:c r="R183" s="143" t="n">
        <x:v>11400000</x:v>
      </x:c>
      <x:c r="S183" s="154" t="n">
        <x:v>-117.495883</x:v>
      </x:c>
      <x:c r="T183" s="154" t="n">
        <x:v>55.064751</x:v>
      </x:c>
      <x:c r="U183" s="63" t="str">
        <x:v>approximate</x:v>
      </x:c>
      <x:c r="V183" s="63" t="str">
        <x:v>ALBERTA_MAJOR_PROJECTS</x:v>
      </x:c>
      <x:c r="W183" s="63" t="str">
        <x:v>observed</x:v>
      </x:c>
      <x:c r="X183" s="155" t="n">
        <x:v>46265</x:v>
      </x:c>
      <x:c r="Y183" s="63" t="str">
        <x:v>https://www.majorprojects.alberta.ca/</x:v>
      </x:c>
    </x:row>
    <x:row r="184">
      <x:c r="A184" s="63" t="str">
        <x:v>ABMP_10537</x:v>
      </x:c>
      <x:c r="B184" s="63" t="str">
        <x:v>Sundre Wastewater Treatment Plant Enhancements</x:v>
      </x:c>
      <x:c r="C184" s="63" t="str">
        <x:v>Municipal Water And Resilience</x:v>
      </x:c>
      <x:c r="D184" s="63" t="str">
        <x:v>inferred</x:v>
      </x:c>
      <x:c r="E184" s="63" t="str">
        <x:v>Water/Wastewater</x:v>
      </x:c>
      <x:c r="F184" s="63" t="str">
        <x:v>Infrastructure</x:v>
      </x:c>
      <x:c r="G184" s="63" t="str">
        <x:v>Town of Sundre</x:v>
      </x:c>
      <x:c r="H184" s="63" t="str">
        <x:v>Government Or Public Institution Signal</x:v>
      </x:c>
      <x:c r="I184" s="63" t="str">
        <x:v>inferred</x:v>
      </x:c>
      <x:c r="J184" s="63" t="str">
        <x:v>Mountain View County</x:v>
      </x:c>
      <x:c r="K184" s="63" t="str">
        <x:v>Under Construction</x:v>
      </x:c>
      <x:c r="L184" s="143" t="n">
        <x:v>11500000</x:v>
      </x:c>
      <x:c r="M184" s="179" t="n">
        <x:v>2025</x:v>
      </x:c>
      <x:c r="N184" s="179" t="n">
        <x:v>2026</x:v>
      </x:c>
      <x:c r="O184" s="63" t="str">
        <x:v>outside_window</x:v>
      </x:c>
      <x:c r="P184" s="63" t="str"/>
      <x:c r="Q184" s="143" t="n">
        <x:v>5750000</x:v>
      </x:c>
      <x:c r="R184" s="143" t="n">
        <x:v>0</x:v>
      </x:c>
      <x:c r="S184" s="154" t="n">
        <x:v>-114.631522</x:v>
      </x:c>
      <x:c r="T184" s="154" t="n">
        <x:v>51.820784</x:v>
      </x:c>
      <x:c r="U184" s="63" t="str">
        <x:v>approximate</x:v>
      </x:c>
      <x:c r="V184" s="63" t="str">
        <x:v>ALBERTA_MAJOR_PROJECTS</x:v>
      </x:c>
      <x:c r="W184" s="63" t="str">
        <x:v>observed</x:v>
      </x:c>
      <x:c r="X184" s="155" t="n">
        <x:v>46265</x:v>
      </x:c>
      <x:c r="Y184" s="63" t="str">
        <x:v>https://www.majorprojects.alberta.ca/</x:v>
      </x:c>
    </x:row>
    <x:row r="185">
      <x:c r="A185" s="63" t="str">
        <x:v>ABMP_4099</x:v>
      </x:c>
      <x:c r="B185" s="63" t="str">
        <x:v>Sunnyside Flood Berm</x:v>
      </x:c>
      <x:c r="C185" s="63" t="str">
        <x:v>Municipal Water And Resilience</x:v>
      </x:c>
      <x:c r="D185" s="63" t="str">
        <x:v>inferred</x:v>
      </x:c>
      <x:c r="E185" s="63" t="str">
        <x:v>Flood Mitigation/Reservoir</x:v>
      </x:c>
      <x:c r="F185" s="63" t="str">
        <x:v>Infrastructure</x:v>
      </x:c>
      <x:c r="G185" s="63" t="str">
        <x:v>City of Calgary</x:v>
      </x:c>
      <x:c r="H185" s="63" t="str">
        <x:v>Government Or Public Institution Signal</x:v>
      </x:c>
      <x:c r="I185" s="63" t="str">
        <x:v>inferred</x:v>
      </x:c>
      <x:c r="J185" s="63" t="str">
        <x:v>Calgary</x:v>
      </x:c>
      <x:c r="K185" s="63" t="str">
        <x:v>Under Construction</x:v>
      </x:c>
      <x:c r="L185" s="143" t="n">
        <x:v>50000000</x:v>
      </x:c>
      <x:c r="M185" s="179" t="n">
        <x:v>2024</x:v>
      </x:c>
      <x:c r="N185" s="179" t="n">
        <x:v>2026</x:v>
      </x:c>
      <x:c r="O185" s="63" t="str">
        <x:v>outside_window</x:v>
      </x:c>
      <x:c r="P185" s="63" t="str"/>
      <x:c r="Q185" s="143" t="n">
        <x:v>16666666.666666666</x:v>
      </x:c>
      <x:c r="R185" s="143" t="n">
        <x:v>0</x:v>
      </x:c>
      <x:c r="S185" s="154"/>
      <x:c r="T185" s="154"/>
      <x:c r="U185" s="63" t="str">
        <x:v>reported</x:v>
      </x:c>
      <x:c r="V185" s="63" t="str">
        <x:v>ALBERTA_MAJOR_PROJECTS</x:v>
      </x:c>
      <x:c r="W185" s="63" t="str">
        <x:v>observed</x:v>
      </x:c>
      <x:c r="X185" s="155" t="n">
        <x:v>46265</x:v>
      </x:c>
      <x:c r="Y185" s="63" t="str">
        <x:v>https://www.majorprojects.alberta.ca/</x:v>
      </x:c>
    </x:row>
    <x:row r="186">
      <x:c r="A186" s="63" t="str">
        <x:v>ABMP_12193</x:v>
      </x:c>
      <x:c r="B186" s="63" t="str">
        <x:v>Sylvan Lake Regional Wastewater System</x:v>
      </x:c>
      <x:c r="C186" s="63" t="str">
        <x:v>Municipal Water And Resilience</x:v>
      </x:c>
      <x:c r="D186" s="63" t="str">
        <x:v>inferred</x:v>
      </x:c>
      <x:c r="E186" s="63" t="str">
        <x:v>Water/Wastewater</x:v>
      </x:c>
      <x:c r="F186" s="63" t="str">
        <x:v>Infrastructure</x:v>
      </x:c>
      <x:c r="G186" s="63" t="str">
        <x:v>Sylvan Lake Regional Wastewater Commission</x:v>
      </x:c>
      <x:c r="H186" s="63" t="str">
        <x:v>Unresolved</x:v>
      </x:c>
      <x:c r="I186" s="63" t="str">
        <x:v>inferred</x:v>
      </x:c>
      <x:c r="J186" s="63" t="str">
        <x:v>Sylvan Lake</x:v>
      </x:c>
      <x:c r="K186" s="63" t="str">
        <x:v>Proposed</x:v>
      </x:c>
      <x:c r="L186" s="143" t="n">
        <x:v>20400000</x:v>
      </x:c>
      <x:c r="M186" s="179"/>
      <x:c r="N186" s="179" t="n">
        <x:v>2027</x:v>
      </x:c>
      <x:c r="O186" s="63" t="str">
        <x:v>indeterminate_incomplete_schedule</x:v>
      </x:c>
      <x:c r="P186" s="63" t="str"/>
      <x:c r="Q186" s="143"/>
      <x:c r="R186" s="143"/>
      <x:c r="S186" s="154" t="n">
        <x:v>-114.05696868896484</x:v>
      </x:c>
      <x:c r="T186" s="154" t="n">
        <x:v>52.31603477280898</x:v>
      </x:c>
      <x:c r="U186" s="63" t="str">
        <x:v>approximate</x:v>
      </x:c>
      <x:c r="V186" s="63" t="str">
        <x:v>ALBERTA_MAJOR_PROJECTS</x:v>
      </x:c>
      <x:c r="W186" s="63" t="str">
        <x:v>observed</x:v>
      </x:c>
      <x:c r="X186" s="155" t="n">
        <x:v>46265</x:v>
      </x:c>
      <x:c r="Y186" s="63" t="str">
        <x:v>https://www.majorprojects.alberta.ca/</x:v>
      </x:c>
    </x:row>
    <x:row r="187">
      <x:c r="A187" s="63" t="str">
        <x:v>ABMP_4204</x:v>
      </x:c>
      <x:c r="B187" s="63" t="str">
        <x:v>The Central Peace Regional Water Project</x:v>
      </x:c>
      <x:c r="C187" s="63" t="str">
        <x:v>Municipal Water And Resilience</x:v>
      </x:c>
      <x:c r="D187" s="63" t="str">
        <x:v>inferred</x:v>
      </x:c>
      <x:c r="E187" s="63" t="str">
        <x:v>Water/Wastewater</x:v>
      </x:c>
      <x:c r="F187" s="63" t="str">
        <x:v>Infrastructure</x:v>
      </x:c>
      <x:c r="G187" s="63" t="str">
        <x:v>Saddle Hills County</x:v>
      </x:c>
      <x:c r="H187" s="63" t="str">
        <x:v>Unresolved</x:v>
      </x:c>
      <x:c r="I187" s="63" t="str">
        <x:v>inferred</x:v>
      </x:c>
      <x:c r="J187" s="63" t="str">
        <x:v>Rycroft|Saddle Hills County|Spirit River|Spirit River No. 133</x:v>
      </x:c>
      <x:c r="K187" s="63" t="str">
        <x:v>Under Construction</x:v>
      </x:c>
      <x:c r="L187" s="143" t="n">
        <x:v>105900000</x:v>
      </x:c>
      <x:c r="M187" s="179" t="n">
        <x:v>2025</x:v>
      </x:c>
      <x:c r="N187" s="179"/>
      <x:c r="O187" s="63" t="str">
        <x:v>indeterminate_incomplete_schedule</x:v>
      </x:c>
      <x:c r="P187" s="63" t="str"/>
      <x:c r="Q187" s="143"/>
      <x:c r="R187" s="143"/>
      <x:c r="S187" s="154"/>
      <x:c r="T187" s="154"/>
      <x:c r="U187" s="63" t="str">
        <x:v>approximate</x:v>
      </x:c>
      <x:c r="V187" s="63" t="str">
        <x:v>ALBERTA_MAJOR_PROJECTS</x:v>
      </x:c>
      <x:c r="W187" s="63" t="str">
        <x:v>observed</x:v>
      </x:c>
      <x:c r="X187" s="155" t="n">
        <x:v>46265</x:v>
      </x:c>
      <x:c r="Y187" s="63" t="str">
        <x:v>https://www.majorprojects.alberta.ca/</x:v>
      </x:c>
    </x:row>
    <x:row r="188">
      <x:c r="A188" s="63" t="str">
        <x:v>ABMP_11922</x:v>
      </x:c>
      <x:c r="B188" s="63" t="str">
        <x:v>Timberlea Reservoir &amp; Pumphouse</x:v>
      </x:c>
      <x:c r="C188" s="63" t="str">
        <x:v>Municipal Water And Resilience</x:v>
      </x:c>
      <x:c r="D188" s="63" t="str">
        <x:v>inferred</x:v>
      </x:c>
      <x:c r="E188" s="63" t="str">
        <x:v>Water/Wastewater</x:v>
      </x:c>
      <x:c r="F188" s="63" t="str">
        <x:v>Infrastructure</x:v>
      </x:c>
      <x:c r="G188" s="63" t="str">
        <x:v>Regional Municipality of Wood Buffalo</x:v>
      </x:c>
      <x:c r="H188" s="63" t="str">
        <x:v>Government Or Public Institution Signal</x:v>
      </x:c>
      <x:c r="I188" s="63" t="str">
        <x:v>inferred</x:v>
      </x:c>
      <x:c r="J188" s="63" t="str">
        <x:v>Wood Buffalo</x:v>
      </x:c>
      <x:c r="K188" s="63" t="str">
        <x:v>Under Construction</x:v>
      </x:c>
      <x:c r="L188" s="143" t="n">
        <x:v>24000000</x:v>
      </x:c>
      <x:c r="M188" s="179" t="n">
        <x:v>2026</x:v>
      </x:c>
      <x:c r="N188" s="179"/>
      <x:c r="O188" s="63" t="str">
        <x:v>indeterminate_incomplete_schedule</x:v>
      </x:c>
      <x:c r="P188" s="63" t="str"/>
      <x:c r="Q188" s="143"/>
      <x:c r="R188" s="143"/>
      <x:c r="S188" s="154" t="n">
        <x:v>-111.45999</x:v>
      </x:c>
      <x:c r="T188" s="154" t="n">
        <x:v>56.754006</x:v>
      </x:c>
      <x:c r="U188" s="63" t="str">
        <x:v>reported</x:v>
      </x:c>
      <x:c r="V188" s="63" t="str">
        <x:v>ALBERTA_MAJOR_PROJECTS</x:v>
      </x:c>
      <x:c r="W188" s="63" t="str">
        <x:v>observed</x:v>
      </x:c>
      <x:c r="X188" s="155" t="n">
        <x:v>46265</x:v>
      </x:c>
      <x:c r="Y188" s="63" t="str">
        <x:v>https://www.majorprojects.alberta.ca/</x:v>
      </x:c>
    </x:row>
    <x:row r="189">
      <x:c r="A189" s="63" t="str">
        <x:v>ABMP_11787</x:v>
      </x:c>
      <x:c r="B189" s="63" t="str">
        <x:v>Wastewater Infrastructure for Lac Ste. Anne County (LSAC)</x:v>
      </x:c>
      <x:c r="C189" s="63" t="str">
        <x:v>Municipal Water And Resilience</x:v>
      </x:c>
      <x:c r="D189" s="63" t="str">
        <x:v>inferred</x:v>
      </x:c>
      <x:c r="E189" s="63" t="str">
        <x:v>Water/Wastewater</x:v>
      </x:c>
      <x:c r="F189" s="63" t="str">
        <x:v>Infrastructure</x:v>
      </x:c>
      <x:c r="G189" s="63" t="str">
        <x:v>Lac Ste. Anne County</x:v>
      </x:c>
      <x:c r="H189" s="63" t="str">
        <x:v>Unresolved</x:v>
      </x:c>
      <x:c r="I189" s="63" t="str">
        <x:v>inferred</x:v>
      </x:c>
      <x:c r="J189" s="63" t="str">
        <x:v>Lac Ste. Anne County</x:v>
      </x:c>
      <x:c r="K189" s="63" t="str">
        <x:v>Proposed</x:v>
      </x:c>
      <x:c r="L189" s="143" t="n">
        <x:v>16500000</x:v>
      </x:c>
      <x:c r="M189" s="179" t="n">
        <x:v>2026</x:v>
      </x:c>
      <x:c r="N189" s="179" t="n">
        <x:v>2027</x:v>
      </x:c>
      <x:c r="O189" s="63" t="str">
        <x:v>overlaps</x:v>
      </x:c>
      <x:c r="P189" s="63" t="str">
        <x:v>2027</x:v>
      </x:c>
      <x:c r="Q189" s="143" t="n">
        <x:v>8250000</x:v>
      </x:c>
      <x:c r="R189" s="143" t="n">
        <x:v>8250000</x:v>
      </x:c>
      <x:c r="S189" s="154" t="n">
        <x:v>-114.562043</x:v>
      </x:c>
      <x:c r="T189" s="154" t="n">
        <x:v>53.667712</x:v>
      </x:c>
      <x:c r="U189" s="63" t="str">
        <x:v>approximate</x:v>
      </x:c>
      <x:c r="V189" s="63" t="str">
        <x:v>ALBERTA_MAJOR_PROJECTS</x:v>
      </x:c>
      <x:c r="W189" s="63" t="str">
        <x:v>observed</x:v>
      </x:c>
      <x:c r="X189" s="155" t="n">
        <x:v>46265</x:v>
      </x:c>
      <x:c r="Y189" s="63" t="str">
        <x:v>https://www.majorprojects.alberta.ca/</x:v>
      </x:c>
    </x:row>
    <x:row r="190">
      <x:c r="A190" s="63" t="str">
        <x:v>ABMP_11921</x:v>
      </x:c>
      <x:c r="B190" s="63" t="str">
        <x:v>Wood Buffalo Lift Station Replacement</x:v>
      </x:c>
      <x:c r="C190" s="63" t="str">
        <x:v>Municipal Water And Resilience</x:v>
      </x:c>
      <x:c r="D190" s="63" t="str">
        <x:v>inferred</x:v>
      </x:c>
      <x:c r="E190" s="63" t="str">
        <x:v>Water/Wastewater</x:v>
      </x:c>
      <x:c r="F190" s="63" t="str">
        <x:v>Infrastructure</x:v>
      </x:c>
      <x:c r="G190" s="63" t="str">
        <x:v>Regional Municipality of Wood Buffalo</x:v>
      </x:c>
      <x:c r="H190" s="63" t="str">
        <x:v>Government Or Public Institution Signal</x:v>
      </x:c>
      <x:c r="I190" s="63" t="str">
        <x:v>inferred</x:v>
      </x:c>
      <x:c r="J190" s="63" t="str">
        <x:v>Wood Buffalo</x:v>
      </x:c>
      <x:c r="K190" s="63" t="str">
        <x:v>Under Construction</x:v>
      </x:c>
      <x:c r="L190" s="143" t="n">
        <x:v>8000000</x:v>
      </x:c>
      <x:c r="M190" s="179" t="n">
        <x:v>2026</x:v>
      </x:c>
      <x:c r="N190" s="179" t="n">
        <x:v>2027</x:v>
      </x:c>
      <x:c r="O190" s="63" t="str">
        <x:v>overlaps</x:v>
      </x:c>
      <x:c r="P190" s="63" t="str">
        <x:v>2027</x:v>
      </x:c>
      <x:c r="Q190" s="143" t="n">
        <x:v>4000000</x:v>
      </x:c>
      <x:c r="R190" s="143" t="n">
        <x:v>4000000</x:v>
      </x:c>
      <x:c r="S190" s="154" t="n">
        <x:v>-111.459576</x:v>
      </x:c>
      <x:c r="T190" s="154" t="n">
        <x:v>56.725196</x:v>
      </x:c>
      <x:c r="U190" s="63" t="str">
        <x:v>reported</x:v>
      </x:c>
      <x:c r="V190" s="63" t="str">
        <x:v>ALBERTA_MAJOR_PROJECTS</x:v>
      </x:c>
      <x:c r="W190" s="63" t="str">
        <x:v>observed</x:v>
      </x:c>
      <x:c r="X190" s="155" t="n">
        <x:v>46265</x:v>
      </x:c>
      <x:c r="Y190" s="63" t="str">
        <x:v>https://www.majorprojects.alberta.ca/</x:v>
      </x:c>
    </x:row>
    <x:row r="191">
      <x:c r="A191" s="63" t="str">
        <x:v>ABMP_11104</x:v>
      </x:c>
      <x:c r="B191" s="63" t="str">
        <x:v>Aira Solar Project</x:v>
      </x:c>
      <x:c r="C191" s="63" t="str">
        <x:v>Power Sector Infrastructure</x:v>
      </x:c>
      <x:c r="D191" s="63" t="str">
        <x:v>inferred</x:v>
      </x:c>
      <x:c r="E191" s="63" t="str">
        <x:v>Solar</x:v>
      </x:c>
      <x:c r="F191" s="63" t="str">
        <x:v>Power</x:v>
      </x:c>
      <x:c r="G191" s="63" t="str">
        <x:v>Horizon New Energy</x:v>
      </x:c>
      <x:c r="H191" s="63" t="str">
        <x:v>Unresolved</x:v>
      </x:c>
      <x:c r="I191" s="63" t="str">
        <x:v>inferred</x:v>
      </x:c>
      <x:c r="J191" s="63" t="str">
        <x:v>Forty Mile County No. 8</x:v>
      </x:c>
      <x:c r="K191" s="63" t="str">
        <x:v>Proposed</x:v>
      </x:c>
      <x:c r="L191" s="143"/>
      <x:c r="M191" s="179"/>
      <x:c r="N191" s="179" t="n">
        <x:v>2027</x:v>
      </x:c>
      <x:c r="O191" s="63" t="str">
        <x:v>indeterminate_incomplete_schedule</x:v>
      </x:c>
      <x:c r="P191" s="63" t="str"/>
      <x:c r="Q191" s="143"/>
      <x:c r="R191" s="143"/>
      <x:c r="S191" s="154" t="n">
        <x:v>-110.933991</x:v>
      </x:c>
      <x:c r="T191" s="154" t="n">
        <x:v>49.59354</x:v>
      </x:c>
      <x:c r="U191" s="63" t="str">
        <x:v>reported</x:v>
      </x:c>
      <x:c r="V191" s="63" t="str">
        <x:v>ALBERTA_MAJOR_PROJECTS</x:v>
      </x:c>
      <x:c r="W191" s="63" t="str">
        <x:v>observed</x:v>
      </x:c>
      <x:c r="X191" s="155" t="n">
        <x:v>46265</x:v>
      </x:c>
      <x:c r="Y191" s="63" t="str">
        <x:v>https://www.majorprojects.alberta.ca/</x:v>
      </x:c>
    </x:row>
    <x:row r="192">
      <x:c r="A192" s="63" t="str">
        <x:v>ABMP_4155</x:v>
      </x:c>
      <x:c r="B192" s="63" t="str">
        <x:v>Airport City Solar</x:v>
      </x:c>
      <x:c r="C192" s="63" t="str">
        <x:v>Power Sector Infrastructure</x:v>
      </x:c>
      <x:c r="D192" s="63" t="str">
        <x:v>inferred</x:v>
      </x:c>
      <x:c r="E192" s="63" t="str">
        <x:v>Solar</x:v>
      </x:c>
      <x:c r="F192" s="63" t="str">
        <x:v>Power</x:v>
      </x:c>
      <x:c r="G192" s="63" t="str">
        <x:v>Alpin Sun</x:v>
      </x:c>
      <x:c r="H192" s="63" t="str">
        <x:v>Unresolved</x:v>
      </x:c>
      <x:c r="I192" s="63" t="str">
        <x:v>inferred</x:v>
      </x:c>
      <x:c r="J192" s="63" t="str">
        <x:v>Leduc County</x:v>
      </x:c>
      <x:c r="K192" s="63" t="str">
        <x:v>Proposed</x:v>
      </x:c>
      <x:c r="L192" s="143" t="n">
        <x:v>169000000</x:v>
      </x:c>
      <x:c r="M192" s="179"/>
      <x:c r="N192" s="179"/>
      <x:c r="O192" s="63" t="str">
        <x:v>indeterminate_incomplete_schedule</x:v>
      </x:c>
      <x:c r="P192" s="63" t="str"/>
      <x:c r="Q192" s="143"/>
      <x:c r="R192" s="143"/>
      <x:c r="S192" s="154" t="n">
        <x:v>-113.59365463256836</x:v>
      </x:c>
      <x:c r="T192" s="154" t="n">
        <x:v>53.291078624931906</x:v>
      </x:c>
      <x:c r="U192" s="63" t="str">
        <x:v>reported</x:v>
      </x:c>
      <x:c r="V192" s="63" t="str">
        <x:v>ALBERTA_MAJOR_PROJECTS</x:v>
      </x:c>
      <x:c r="W192" s="63" t="str">
        <x:v>observed</x:v>
      </x:c>
      <x:c r="X192" s="155" t="n">
        <x:v>46265</x:v>
      </x:c>
      <x:c r="Y192" s="63" t="str">
        <x:v>https://www.majorprojects.alberta.ca/</x:v>
      </x:c>
    </x:row>
    <x:row r="193">
      <x:c r="A193" s="63" t="str">
        <x:v>ABMP_11119</x:v>
      </x:c>
      <x:c r="B193" s="63" t="str">
        <x:v>Alderson Solar Power Project</x:v>
      </x:c>
      <x:c r="C193" s="63" t="str">
        <x:v>Power Sector Infrastructure</x:v>
      </x:c>
      <x:c r="D193" s="63" t="str">
        <x:v>inferred</x:v>
      </x:c>
      <x:c r="E193" s="63" t="str">
        <x:v>Solar</x:v>
      </x:c>
      <x:c r="F193" s="63" t="str">
        <x:v>Power</x:v>
      </x:c>
      <x:c r="G193" s="63" t="str">
        <x:v>hep Energy</x:v>
      </x:c>
      <x:c r="H193" s="63" t="str">
        <x:v>Unresolved</x:v>
      </x:c>
      <x:c r="I193" s="63" t="str">
        <x:v>inferred</x:v>
      </x:c>
      <x:c r="J193" s="63" t="str">
        <x:v>Cypress County</x:v>
      </x:c>
      <x:c r="K193" s="63" t="str">
        <x:v>Proposed</x:v>
      </x:c>
      <x:c r="L193" s="143"/>
      <x:c r="M193" s="179"/>
      <x:c r="N193" s="179" t="n">
        <x:v>2027</x:v>
      </x:c>
      <x:c r="O193" s="63" t="str">
        <x:v>indeterminate_incomplete_schedule</x:v>
      </x:c>
      <x:c r="P193" s="63" t="str"/>
      <x:c r="Q193" s="143"/>
      <x:c r="R193" s="143"/>
      <x:c r="S193" s="154" t="n">
        <x:v>-111.360655</x:v>
      </x:c>
      <x:c r="T193" s="154" t="n">
        <x:v>50.35223</x:v>
      </x:c>
      <x:c r="U193" s="63" t="str">
        <x:v>reported</x:v>
      </x:c>
      <x:c r="V193" s="63" t="str">
        <x:v>ALBERTA_MAJOR_PROJECTS</x:v>
      </x:c>
      <x:c r="W193" s="63" t="str">
        <x:v>observed</x:v>
      </x:c>
      <x:c r="X193" s="155" t="n">
        <x:v>46265</x:v>
      </x:c>
      <x:c r="Y193" s="63" t="str">
        <x:v>https://www.majorprojects.alberta.ca/</x:v>
      </x:c>
    </x:row>
    <x:row r="194">
      <x:c r="A194" s="63" t="str">
        <x:v>ABMP_11721</x:v>
      </x:c>
      <x:c r="B194" s="63" t="str">
        <x:v>Anderson Solar Project (ATCO Anderson 801S DER Solar)</x:v>
      </x:c>
      <x:c r="C194" s="63" t="str">
        <x:v>Power Sector Infrastructure</x:v>
      </x:c>
      <x:c r="D194" s="63" t="str">
        <x:v>inferred</x:v>
      </x:c>
      <x:c r="E194" s="63" t="str">
        <x:v>Solar</x:v>
      </x:c>
      <x:c r="F194" s="63" t="str">
        <x:v>Power</x:v>
      </x:c>
      <x:c r="G194" s="63" t="str">
        <x:v>Pace Canada LP</x:v>
      </x:c>
      <x:c r="H194" s="63" t="str">
        <x:v>Unresolved</x:v>
      </x:c>
      <x:c r="I194" s="63" t="str">
        <x:v>inferred</x:v>
      </x:c>
      <x:c r="J194" s="63" t="str">
        <x:v>Special Area No. 2</x:v>
      </x:c>
      <x:c r="K194" s="63" t="str">
        <x:v>Proposed</x:v>
      </x:c>
      <x:c r="L194" s="143"/>
      <x:c r="M194" s="179"/>
      <x:c r="N194" s="179" t="n">
        <x:v>2027</x:v>
      </x:c>
      <x:c r="O194" s="63" t="str">
        <x:v>indeterminate_incomplete_schedule</x:v>
      </x:c>
      <x:c r="P194" s="63" t="str"/>
      <x:c r="Q194" s="143"/>
      <x:c r="R194" s="143"/>
      <x:c r="S194" s="154" t="n">
        <x:v>-111.662893</x:v>
      </x:c>
      <x:c r="T194" s="154" t="n">
        <x:v>51.507108</x:v>
      </x:c>
      <x:c r="U194" s="63" t="str">
        <x:v>approximate</x:v>
      </x:c>
      <x:c r="V194" s="63" t="str">
        <x:v>ALBERTA_MAJOR_PROJECTS</x:v>
      </x:c>
      <x:c r="W194" s="63" t="str">
        <x:v>observed</x:v>
      </x:c>
      <x:c r="X194" s="155" t="n">
        <x:v>46265</x:v>
      </x:c>
      <x:c r="Y194" s="63" t="str">
        <x:v>https://www.majorprojects.alberta.ca/</x:v>
      </x:c>
    </x:row>
    <x:row r="195">
      <x:c r="A195" s="63" t="str">
        <x:v>ABMP_11121</x:v>
      </x:c>
      <x:c r="B195" s="63" t="str">
        <x:v>Bassano 435S DER Solar System</x:v>
      </x:c>
      <x:c r="C195" s="63" t="str">
        <x:v>Power Sector Infrastructure</x:v>
      </x:c>
      <x:c r="D195" s="63" t="str">
        <x:v>inferred</x:v>
      </x:c>
      <x:c r="E195" s="63" t="str">
        <x:v>Solar</x:v>
      </x:c>
      <x:c r="F195" s="63" t="str">
        <x:v>Power</x:v>
      </x:c>
      <x:c r="G195" s="63" t="str">
        <x:v>Skyline Clean Energy Fund</x:v>
      </x:c>
      <x:c r="H195" s="63" t="str">
        <x:v>Unresolved</x:v>
      </x:c>
      <x:c r="I195" s="63" t="str">
        <x:v>inferred</x:v>
      </x:c>
      <x:c r="J195" s="63" t="str">
        <x:v>Newell County</x:v>
      </x:c>
      <x:c r="K195" s="63" t="str">
        <x:v>Proposed</x:v>
      </x:c>
      <x:c r="L195" s="143"/>
      <x:c r="M195" s="179"/>
      <x:c r="N195" s="179" t="n">
        <x:v>2027</x:v>
      </x:c>
      <x:c r="O195" s="63" t="str">
        <x:v>indeterminate_incomplete_schedule</x:v>
      </x:c>
      <x:c r="P195" s="63" t="str"/>
      <x:c r="Q195" s="143"/>
      <x:c r="R195" s="143"/>
      <x:c r="S195" s="154" t="n">
        <x:v>-112.311306</x:v>
      </x:c>
      <x:c r="T195" s="154" t="n">
        <x:v>50.674019</x:v>
      </x:c>
      <x:c r="U195" s="63" t="str">
        <x:v>reported</x:v>
      </x:c>
      <x:c r="V195" s="63" t="str">
        <x:v>ALBERTA_MAJOR_PROJECTS</x:v>
      </x:c>
      <x:c r="W195" s="63" t="str">
        <x:v>observed</x:v>
      </x:c>
      <x:c r="X195" s="155" t="n">
        <x:v>46265</x:v>
      </x:c>
      <x:c r="Y195" s="63" t="str">
        <x:v>https://www.majorprojects.alberta.ca/</x:v>
      </x:c>
    </x:row>
    <x:row r="196">
      <x:c r="A196" s="63" t="str">
        <x:v>ABMP_10680</x:v>
      </x:c>
      <x:c r="B196" s="63" t="str">
        <x:v>Blatchford Sewer Heat Exchange</x:v>
      </x:c>
      <x:c r="C196" s="63" t="str">
        <x:v>Power Sector Infrastructure</x:v>
      </x:c>
      <x:c r="D196" s="63" t="str">
        <x:v>inferred</x:v>
      </x:c>
      <x:c r="E196" s="63" t="str">
        <x:v>Other Power</x:v>
      </x:c>
      <x:c r="F196" s="63" t="str">
        <x:v>Power</x:v>
      </x:c>
      <x:c r="G196" s="63" t="str">
        <x:v>City of Edmonton</x:v>
      </x:c>
      <x:c r="H196" s="63" t="str">
        <x:v>Government Or Public Institution Signal</x:v>
      </x:c>
      <x:c r="I196" s="63" t="str">
        <x:v>inferred</x:v>
      </x:c>
      <x:c r="J196" s="63" t="str">
        <x:v>Edmonton</x:v>
      </x:c>
      <x:c r="K196" s="63" t="str">
        <x:v>Proposed</x:v>
      </x:c>
      <x:c r="L196" s="143" t="n">
        <x:v>45000000</x:v>
      </x:c>
      <x:c r="M196" s="179"/>
      <x:c r="N196" s="179"/>
      <x:c r="O196" s="63" t="str">
        <x:v>indeterminate_incomplete_schedule</x:v>
      </x:c>
      <x:c r="P196" s="63" t="str"/>
      <x:c r="Q196" s="143"/>
      <x:c r="R196" s="143"/>
      <x:c r="S196" s="154" t="n">
        <x:v>-113.520607</x:v>
      </x:c>
      <x:c r="T196" s="154" t="n">
        <x:v>53.571616</x:v>
      </x:c>
      <x:c r="U196" s="63" t="str">
        <x:v>reported</x:v>
      </x:c>
      <x:c r="V196" s="63" t="str">
        <x:v>ALBERTA_MAJOR_PROJECTS</x:v>
      </x:c>
      <x:c r="W196" s="63" t="str">
        <x:v>observed</x:v>
      </x:c>
      <x:c r="X196" s="155" t="n">
        <x:v>46265</x:v>
      </x:c>
      <x:c r="Y196" s="63" t="str">
        <x:v>https://www.majorprojects.alberta.ca/</x:v>
      </x:c>
    </x:row>
    <x:row r="197">
      <x:c r="A197" s="63" t="str">
        <x:v>ABMP_11590</x:v>
      </x:c>
      <x:c r="B197" s="63" t="str">
        <x:v>Blue Bridge (Arenosum) Solar Park</x:v>
      </x:c>
      <x:c r="C197" s="63" t="str">
        <x:v>Power Sector Infrastructure</x:v>
      </x:c>
      <x:c r="D197" s="63" t="str">
        <x:v>inferred</x:v>
      </x:c>
      <x:c r="E197" s="63" t="str">
        <x:v>Solar</x:v>
      </x:c>
      <x:c r="F197" s="63" t="str">
        <x:v>Power</x:v>
      </x:c>
      <x:c r="G197" s="63" t="str">
        <x:v>EDP Renewables</x:v>
      </x:c>
      <x:c r="H197" s="63" t="str">
        <x:v>Unresolved</x:v>
      </x:c>
      <x:c r="I197" s="63" t="str">
        <x:v>inferred</x:v>
      </x:c>
      <x:c r="J197" s="63" t="str">
        <x:v>Cypress County</x:v>
      </x:c>
      <x:c r="K197" s="63" t="str">
        <x:v>Proposed</x:v>
      </x:c>
      <x:c r="L197" s="143" t="n">
        <x:v>300000000</x:v>
      </x:c>
      <x:c r="M197" s="179"/>
      <x:c r="N197" s="179" t="n">
        <x:v>2028</x:v>
      </x:c>
      <x:c r="O197" s="63" t="str">
        <x:v>indeterminate_incomplete_schedule</x:v>
      </x:c>
      <x:c r="P197" s="63" t="str"/>
      <x:c r="Q197" s="143"/>
      <x:c r="R197" s="143"/>
      <x:c r="S197" s="154" t="n">
        <x:v>-110.052358</x:v>
      </x:c>
      <x:c r="T197" s="154" t="n">
        <x:v>50.691099</x:v>
      </x:c>
      <x:c r="U197" s="63" t="str">
        <x:v>reported</x:v>
      </x:c>
      <x:c r="V197" s="63" t="str">
        <x:v>ALBERTA_MAJOR_PROJECTS</x:v>
      </x:c>
      <x:c r="W197" s="63" t="str">
        <x:v>observed</x:v>
      </x:c>
      <x:c r="X197" s="155" t="n">
        <x:v>46265</x:v>
      </x:c>
      <x:c r="Y197" s="63" t="str">
        <x:v>https://www.majorprojects.alberta.ca/</x:v>
      </x:c>
    </x:row>
    <x:row r="198">
      <x:c r="A198" s="63" t="str">
        <x:v>ABMP_11861</x:v>
      </x:c>
      <x:c r="B198" s="63" t="str">
        <x:v>Bright Meadows Solar Farm</x:v>
      </x:c>
      <x:c r="C198" s="63" t="str">
        <x:v>Power Sector Infrastructure</x:v>
      </x:c>
      <x:c r="D198" s="63" t="str">
        <x:v>inferred</x:v>
      </x:c>
      <x:c r="E198" s="63" t="str">
        <x:v>Solar</x:v>
      </x:c>
      <x:c r="F198" s="63" t="str">
        <x:v>Power</x:v>
      </x:c>
      <x:c r="G198" s="63" t="str">
        <x:v>Revolve Renewable Power</x:v>
      </x:c>
      <x:c r="H198" s="63" t="str">
        <x:v>Unresolved</x:v>
      </x:c>
      <x:c r="I198" s="63" t="str">
        <x:v>inferred</x:v>
      </x:c>
      <x:c r="J198" s="63" t="str">
        <x:v>Wetaskiwin County No. 10</x:v>
      </x:c>
      <x:c r="K198" s="63" t="str">
        <x:v>Under Construction</x:v>
      </x:c>
      <x:c r="L198" s="143"/>
      <x:c r="M198" s="179" t="n">
        <x:v>2026</x:v>
      </x:c>
      <x:c r="N198" s="179" t="n">
        <x:v>2026</x:v>
      </x:c>
      <x:c r="O198" s="63" t="str">
        <x:v>outside_window</x:v>
      </x:c>
      <x:c r="P198" s="63" t="str"/>
      <x:c r="Q198" s="143"/>
      <x:c r="R198" s="143"/>
      <x:c r="S198" s="154" t="n">
        <x:v>-113.877738</x:v>
      </x:c>
      <x:c r="T198" s="154" t="n">
        <x:v>52.99157</x:v>
      </x:c>
      <x:c r="U198" s="63" t="str">
        <x:v>reported</x:v>
      </x:c>
      <x:c r="V198" s="63" t="str">
        <x:v>ALBERTA_MAJOR_PROJECTS</x:v>
      </x:c>
      <x:c r="W198" s="63" t="str">
        <x:v>observed</x:v>
      </x:c>
      <x:c r="X198" s="155" t="n">
        <x:v>46265</x:v>
      </x:c>
      <x:c r="Y198" s="63" t="str">
        <x:v>https://www.majorprojects.alberta.ca/</x:v>
      </x:c>
    </x:row>
    <x:row r="199">
      <x:c r="A199" s="63" t="str">
        <x:v>ABMP_11744</x:v>
      </x:c>
      <x:c r="B199" s="63" t="str">
        <x:v>Buffalo Trail South Wind Project</x:v>
      </x:c>
      <x:c r="C199" s="63" t="str">
        <x:v>Power Sector Infrastructure</x:v>
      </x:c>
      <x:c r="D199" s="63" t="str">
        <x:v>inferred</x:v>
      </x:c>
      <x:c r="E199" s="63" t="str">
        <x:v>Wind</x:v>
      </x:c>
      <x:c r="F199" s="63" t="str">
        <x:v>Power</x:v>
      </x:c>
      <x:c r="G199" s="63" t="str">
        <x:v>ENGIE Development Canada LP</x:v>
      </x:c>
      <x:c r="H199" s="63" t="str">
        <x:v>Unresolved</x:v>
      </x:c>
      <x:c r="I199" s="63" t="str">
        <x:v>inferred</x:v>
      </x:c>
      <x:c r="J199" s="63" t="str">
        <x:v>Cypress County</x:v>
      </x:c>
      <x:c r="K199" s="63" t="str">
        <x:v>Proposed</x:v>
      </x:c>
      <x:c r="L199" s="143"/>
      <x:c r="M199" s="179"/>
      <x:c r="N199" s="179" t="n">
        <x:v>2028</x:v>
      </x:c>
      <x:c r="O199" s="63" t="str">
        <x:v>indeterminate_incomplete_schedule</x:v>
      </x:c>
      <x:c r="P199" s="63" t="str"/>
      <x:c r="Q199" s="143"/>
      <x:c r="R199" s="143"/>
      <x:c r="S199" s="154" t="n">
        <x:v>-110.351486</x:v>
      </x:c>
      <x:c r="T199" s="154" t="n">
        <x:v>49.755124</x:v>
      </x:c>
      <x:c r="U199" s="63" t="str">
        <x:v>approximate</x:v>
      </x:c>
      <x:c r="V199" s="63" t="str">
        <x:v>ALBERTA_MAJOR_PROJECTS</x:v>
      </x:c>
      <x:c r="W199" s="63" t="str">
        <x:v>observed</x:v>
      </x:c>
      <x:c r="X199" s="155" t="n">
        <x:v>46265</x:v>
      </x:c>
      <x:c r="Y199" s="63" t="str">
        <x:v>https://www.majorprojects.alberta.ca/</x:v>
      </x:c>
    </x:row>
    <x:row r="200">
      <x:c r="A200" s="63" t="str">
        <x:v>ABMP_11735</x:v>
      </x:c>
      <x:c r="B200" s="63" t="str">
        <x:v>Camrose Solar Project</x:v>
      </x:c>
      <x:c r="C200" s="63" t="str">
        <x:v>Power Sector Infrastructure</x:v>
      </x:c>
      <x:c r="D200" s="63" t="str">
        <x:v>inferred</x:v>
      </x:c>
      <x:c r="E200" s="63" t="str">
        <x:v>Solar</x:v>
      </x:c>
      <x:c r="F200" s="63" t="str">
        <x:v>Power</x:v>
      </x:c>
      <x:c r="G200" s="63" t="str">
        <x:v>Acestes Power ULC and SD Solar Partnership Inc.</x:v>
      </x:c>
      <x:c r="H200" s="63" t="str">
        <x:v>Unresolved</x:v>
      </x:c>
      <x:c r="I200" s="63" t="str">
        <x:v>inferred</x:v>
      </x:c>
      <x:c r="J200" s="63" t="str">
        <x:v>Camrose</x:v>
      </x:c>
      <x:c r="K200" s="63" t="str">
        <x:v>Proposed</x:v>
      </x:c>
      <x:c r="L200" s="143"/>
      <x:c r="M200" s="179"/>
      <x:c r="N200" s="179" t="n">
        <x:v>2026</x:v>
      </x:c>
      <x:c r="O200" s="63" t="str">
        <x:v>outside_window</x:v>
      </x:c>
      <x:c r="P200" s="63" t="str"/>
      <x:c r="Q200" s="143"/>
      <x:c r="R200" s="143"/>
      <x:c r="S200" s="154" t="n">
        <x:v>-112.775</x:v>
      </x:c>
      <x:c r="T200" s="154" t="n">
        <x:v>53.016</x:v>
      </x:c>
      <x:c r="U200" s="63" t="str">
        <x:v>approximate</x:v>
      </x:c>
      <x:c r="V200" s="63" t="str">
        <x:v>ALBERTA_MAJOR_PROJECTS</x:v>
      </x:c>
      <x:c r="W200" s="63" t="str">
        <x:v>observed</x:v>
      </x:c>
      <x:c r="X200" s="155" t="n">
        <x:v>46265</x:v>
      </x:c>
      <x:c r="Y200" s="63" t="str">
        <x:v>https://www.majorprojects.alberta.ca/</x:v>
      </x:c>
    </x:row>
    <x:row r="201">
      <x:c r="A201" s="63" t="str">
        <x:v>ABMP_4361</x:v>
      </x:c>
      <x:c r="B201" s="63" t="str">
        <x:v>Caroline Solar Project (Sundre 575S DER Solar)</x:v>
      </x:c>
      <x:c r="C201" s="63" t="str">
        <x:v>Power Sector Infrastructure</x:v>
      </x:c>
      <x:c r="D201" s="63" t="str">
        <x:v>inferred</x:v>
      </x:c>
      <x:c r="E201" s="63" t="str">
        <x:v>Solar</x:v>
      </x:c>
      <x:c r="F201" s="63" t="str">
        <x:v>Power</x:v>
      </x:c>
      <x:c r="G201" s="63" t="str">
        <x:v>PACE Bang Energy LP</x:v>
      </x:c>
      <x:c r="H201" s="63" t="str">
        <x:v>Unresolved</x:v>
      </x:c>
      <x:c r="I201" s="63" t="str">
        <x:v>inferred</x:v>
      </x:c>
      <x:c r="J201" s="63" t="str">
        <x:v>Caroline</x:v>
      </x:c>
      <x:c r="K201" s="63" t="str">
        <x:v>Proposed</x:v>
      </x:c>
      <x:c r="L201" s="143"/>
      <x:c r="M201" s="179"/>
      <x:c r="N201" s="179" t="n">
        <x:v>2027</x:v>
      </x:c>
      <x:c r="O201" s="63" t="str">
        <x:v>indeterminate_incomplete_schedule</x:v>
      </x:c>
      <x:c r="P201" s="63" t="str"/>
      <x:c r="Q201" s="143"/>
      <x:c r="R201" s="143"/>
      <x:c r="S201" s="154" t="n">
        <x:v>-114.743485</x:v>
      </x:c>
      <x:c r="T201" s="154" t="n">
        <x:v>52.09969</x:v>
      </x:c>
      <x:c r="U201" s="63" t="str">
        <x:v>approximate</x:v>
      </x:c>
      <x:c r="V201" s="63" t="str">
        <x:v>ALBERTA_MAJOR_PROJECTS</x:v>
      </x:c>
      <x:c r="W201" s="63" t="str">
        <x:v>observed</x:v>
      </x:c>
      <x:c r="X201" s="155" t="n">
        <x:v>46265</x:v>
      </x:c>
      <x:c r="Y201" s="63" t="str">
        <x:v>https://www.majorprojects.alberta.ca/</x:v>
      </x:c>
    </x:row>
    <x:row r="202">
      <x:c r="A202" s="63" t="str">
        <x:v>ABMP_11727</x:v>
      </x:c>
      <x:c r="B202" s="63" t="str">
        <x:v>Coaldale McCain Solar &amp; Wind Projects</x:v>
      </x:c>
      <x:c r="C202" s="63" t="str">
        <x:v>Power Sector Infrastructure</x:v>
      </x:c>
      <x:c r="D202" s="63" t="str">
        <x:v>inferred</x:v>
      </x:c>
      <x:c r="E202" s="63" t="str">
        <x:v>Other Renewable</x:v>
      </x:c>
      <x:c r="F202" s="63" t="str">
        <x:v>Power</x:v>
      </x:c>
      <x:c r="G202" s="63" t="str">
        <x:v>Elemental Energy &amp; McCain Foods</x:v>
      </x:c>
      <x:c r="H202" s="63" t="str">
        <x:v>Unresolved</x:v>
      </x:c>
      <x:c r="I202" s="63" t="str">
        <x:v>inferred</x:v>
      </x:c>
      <x:c r="J202" s="63" t="str">
        <x:v>Lethbridge County</x:v>
      </x:c>
      <x:c r="K202" s="63" t="str">
        <x:v>Proposed</x:v>
      </x:c>
      <x:c r="L202" s="143"/>
      <x:c r="M202" s="179"/>
      <x:c r="N202" s="179"/>
      <x:c r="O202" s="63" t="str">
        <x:v>indeterminate_incomplete_schedule</x:v>
      </x:c>
      <x:c r="P202" s="63" t="str"/>
      <x:c r="Q202" s="143"/>
      <x:c r="R202" s="143"/>
      <x:c r="S202" s="154" t="n">
        <x:v>-112.454456</x:v>
      </x:c>
      <x:c r="T202" s="154" t="n">
        <x:v>49.760443</x:v>
      </x:c>
      <x:c r="U202" s="63" t="str">
        <x:v>reported</x:v>
      </x:c>
      <x:c r="V202" s="63" t="str">
        <x:v>ALBERTA_MAJOR_PROJECTS</x:v>
      </x:c>
      <x:c r="W202" s="63" t="str">
        <x:v>observed</x:v>
      </x:c>
      <x:c r="X202" s="155" t="n">
        <x:v>46265</x:v>
      </x:c>
      <x:c r="Y202" s="63" t="str">
        <x:v>https://www.majorprojects.alberta.ca/</x:v>
      </x:c>
    </x:row>
    <x:row r="203">
      <x:c r="A203" s="63" t="str">
        <x:v>ABMP_11579</x:v>
      </x:c>
      <x:c r="B203" s="63" t="str">
        <x:v>Cold Lake Energy Centre (Lindbergh Cogeneration) Expansion</x:v>
      </x:c>
      <x:c r="C203" s="63" t="str">
        <x:v>Power Sector Infrastructure</x:v>
      </x:c>
      <x:c r="D203" s="63" t="str">
        <x:v>inferred</x:v>
      </x:c>
      <x:c r="E203" s="63" t="str">
        <x:v>Natural Gas</x:v>
      </x:c>
      <x:c r="F203" s="63" t="str">
        <x:v>Power</x:v>
      </x:c>
      <x:c r="G203" s="63" t="str">
        <x:v>Strathcona Resources Ltd.</x:v>
      </x:c>
      <x:c r="H203" s="63" t="str">
        <x:v>Unresolved</x:v>
      </x:c>
      <x:c r="I203" s="63" t="str">
        <x:v>inferred</x:v>
      </x:c>
      <x:c r="J203" s="63" t="str">
        <x:v>St. Paul County No. 19</x:v>
      </x:c>
      <x:c r="K203" s="63" t="str">
        <x:v>Proposed</x:v>
      </x:c>
      <x:c r="L203" s="143"/>
      <x:c r="M203" s="179"/>
      <x:c r="N203" s="179" t="n">
        <x:v>2027</x:v>
      </x:c>
      <x:c r="O203" s="63" t="str">
        <x:v>indeterminate_incomplete_schedule</x:v>
      </x:c>
      <x:c r="P203" s="63" t="str"/>
      <x:c r="Q203" s="143"/>
      <x:c r="R203" s="143"/>
      <x:c r="S203" s="154" t="n">
        <x:v>-110.605567</x:v>
      </x:c>
      <x:c r="T203" s="154" t="n">
        <x:v>54.016229</x:v>
      </x:c>
      <x:c r="U203" s="63" t="str">
        <x:v>reported</x:v>
      </x:c>
      <x:c r="V203" s="63" t="str">
        <x:v>ALBERTA_MAJOR_PROJECTS</x:v>
      </x:c>
      <x:c r="W203" s="63" t="str">
        <x:v>observed</x:v>
      </x:c>
      <x:c r="X203" s="155" t="n">
        <x:v>46265</x:v>
      </x:c>
      <x:c r="Y203" s="63" t="str">
        <x:v>https://www.majorprojects.alberta.ca/</x:v>
      </x:c>
    </x:row>
    <x:row r="204">
      <x:c r="A204" s="63" t="str">
        <x:v>ABMP_11733</x:v>
      </x:c>
      <x:c r="B204" s="63" t="str">
        <x:v>Coronation Solar Project</x:v>
      </x:c>
      <x:c r="C204" s="63" t="str">
        <x:v>Power Sector Infrastructure</x:v>
      </x:c>
      <x:c r="D204" s="63" t="str">
        <x:v>inferred</x:v>
      </x:c>
      <x:c r="E204" s="63" t="str">
        <x:v>Solar</x:v>
      </x:c>
      <x:c r="F204" s="63" t="str">
        <x:v>Power</x:v>
      </x:c>
      <x:c r="G204" s="63" t="str">
        <x:v>Obton Solar</x:v>
      </x:c>
      <x:c r="H204" s="63" t="str">
        <x:v>Unresolved</x:v>
      </x:c>
      <x:c r="I204" s="63" t="str">
        <x:v>inferred</x:v>
      </x:c>
      <x:c r="J204" s="63" t="str">
        <x:v>Paintearth County No. 18</x:v>
      </x:c>
      <x:c r="K204" s="63" t="str">
        <x:v>Proposed</x:v>
      </x:c>
      <x:c r="L204" s="143"/>
      <x:c r="M204" s="179"/>
      <x:c r="N204" s="179" t="n">
        <x:v>2029</x:v>
      </x:c>
      <x:c r="O204" s="63" t="str">
        <x:v>indeterminate_incomplete_schedule</x:v>
      </x:c>
      <x:c r="P204" s="63" t="str"/>
      <x:c r="Q204" s="143"/>
      <x:c r="R204" s="143"/>
      <x:c r="S204" s="154" t="n">
        <x:v>-111.4394</x:v>
      </x:c>
      <x:c r="T204" s="154" t="n">
        <x:v>52.0519</x:v>
      </x:c>
      <x:c r="U204" s="63" t="str">
        <x:v>approximate</x:v>
      </x:c>
      <x:c r="V204" s="63" t="str">
        <x:v>ALBERTA_MAJOR_PROJECTS</x:v>
      </x:c>
      <x:c r="W204" s="63" t="str">
        <x:v>observed</x:v>
      </x:c>
      <x:c r="X204" s="155" t="n">
        <x:v>46265</x:v>
      </x:c>
      <x:c r="Y204" s="63" t="str">
        <x:v>https://www.majorprojects.alberta.ca/</x:v>
      </x:c>
    </x:row>
    <x:row r="205">
      <x:c r="A205" s="63" t="str">
        <x:v>ABMP_11612</x:v>
      </x:c>
      <x:c r="B205" s="63" t="str">
        <x:v>Defence of Canada Fighter Infrastructure Power Grid Modernization Project</x:v>
      </x:c>
      <x:c r="C205" s="63" t="str">
        <x:v>Power Sector Infrastructure</x:v>
      </x:c>
      <x:c r="D205" s="63" t="str">
        <x:v>inferred</x:v>
      </x:c>
      <x:c r="E205" s="63" t="str">
        <x:v>Power Distribution</x:v>
      </x:c>
      <x:c r="F205" s="63" t="str">
        <x:v>Power</x:v>
      </x:c>
      <x:c r="G205" s="63" t="str">
        <x:v>Defence Construction Canada</x:v>
      </x:c>
      <x:c r="H205" s="63" t="str">
        <x:v>Government Or Public Institution Signal</x:v>
      </x:c>
      <x:c r="I205" s="63" t="str">
        <x:v>inferred</x:v>
      </x:c>
      <x:c r="J205" s="63" t="str">
        <x:v>Cold Lake</x:v>
      </x:c>
      <x:c r="K205" s="63" t="str">
        <x:v>Proposed</x:v>
      </x:c>
      <x:c r="L205" s="143" t="n">
        <x:v>101200000</x:v>
      </x:c>
      <x:c r="M205" s="179"/>
      <x:c r="N205" s="179" t="n">
        <x:v>2029</x:v>
      </x:c>
      <x:c r="O205" s="63" t="str">
        <x:v>indeterminate_incomplete_schedule</x:v>
      </x:c>
      <x:c r="P205" s="63" t="str"/>
      <x:c r="Q205" s="143"/>
      <x:c r="R205" s="143"/>
      <x:c r="S205" s="154" t="n">
        <x:v>-110.279279</x:v>
      </x:c>
      <x:c r="T205" s="154" t="n">
        <x:v>54.401675</x:v>
      </x:c>
      <x:c r="U205" s="63" t="str">
        <x:v>reported</x:v>
      </x:c>
      <x:c r="V205" s="63" t="str">
        <x:v>ALBERTA_MAJOR_PROJECTS</x:v>
      </x:c>
      <x:c r="W205" s="63" t="str">
        <x:v>observed</x:v>
      </x:c>
      <x:c r="X205" s="155" t="n">
        <x:v>46265</x:v>
      </x:c>
      <x:c r="Y205" s="63" t="str">
        <x:v>https://www.majorprojects.alberta.ca/</x:v>
      </x:c>
    </x:row>
    <x:row r="206">
      <x:c r="A206" s="63" t="str">
        <x:v>ABMP_10925</x:v>
      </x:c>
      <x:c r="B206" s="63" t="str">
        <x:v>Dolcy Solar and Battery Project</x:v>
      </x:c>
      <x:c r="C206" s="63" t="str">
        <x:v>Power Sector Infrastructure</x:v>
      </x:c>
      <x:c r="D206" s="63" t="str">
        <x:v>inferred</x:v>
      </x:c>
      <x:c r="E206" s="63" t="str">
        <x:v>Solar</x:v>
      </x:c>
      <x:c r="F206" s="63" t="str">
        <x:v>Power</x:v>
      </x:c>
      <x:c r="G206" s="63" t="str">
        <x:v>Westbridge Renewable Energy Corporation</x:v>
      </x:c>
      <x:c r="H206" s="63" t="str">
        <x:v>Unresolved</x:v>
      </x:c>
      <x:c r="I206" s="63" t="str">
        <x:v>inferred</x:v>
      </x:c>
      <x:c r="J206" s="63" t="str">
        <x:v>Wainwright No. 61</x:v>
      </x:c>
      <x:c r="K206" s="63" t="str">
        <x:v>Proposed</x:v>
      </x:c>
      <x:c r="L206" s="143"/>
      <x:c r="M206" s="179"/>
      <x:c r="N206" s="179" t="n">
        <x:v>2028</x:v>
      </x:c>
      <x:c r="O206" s="63" t="str">
        <x:v>indeterminate_incomplete_schedule</x:v>
      </x:c>
      <x:c r="P206" s="63" t="str"/>
      <x:c r="Q206" s="143"/>
      <x:c r="R206" s="143"/>
      <x:c r="S206" s="154" t="n">
        <x:v>-110.472889</x:v>
      </x:c>
      <x:c r="T206" s="154" t="n">
        <x:v>52.685568</x:v>
      </x:c>
      <x:c r="U206" s="63" t="str">
        <x:v>approximate</x:v>
      </x:c>
      <x:c r="V206" s="63" t="str">
        <x:v>ALBERTA_MAJOR_PROJECTS</x:v>
      </x:c>
      <x:c r="W206" s="63" t="str">
        <x:v>observed</x:v>
      </x:c>
      <x:c r="X206" s="155" t="n">
        <x:v>46265</x:v>
      </x:c>
      <x:c r="Y206" s="63" t="str">
        <x:v>https://www.majorprojects.alberta.ca/</x:v>
      </x:c>
    </x:row>
    <x:row r="207">
      <x:c r="A207" s="63" t="str">
        <x:v>ABMP_4456</x:v>
      </x:c>
      <x:c r="B207" s="63" t="str">
        <x:v>Dunmore Solar Project</x:v>
      </x:c>
      <x:c r="C207" s="63" t="str">
        <x:v>Power Sector Infrastructure</x:v>
      </x:c>
      <x:c r="D207" s="63" t="str">
        <x:v>inferred</x:v>
      </x:c>
      <x:c r="E207" s="63" t="str">
        <x:v>Solar</x:v>
      </x:c>
      <x:c r="F207" s="63" t="str">
        <x:v>Power</x:v>
      </x:c>
      <x:c r="G207" s="63" t="str">
        <x:v>Dunmore Solar Inc.</x:v>
      </x:c>
      <x:c r="H207" s="63" t="str">
        <x:v>Unresolved</x:v>
      </x:c>
      <x:c r="I207" s="63" t="str">
        <x:v>inferred</x:v>
      </x:c>
      <x:c r="J207" s="63" t="str">
        <x:v>Cypress County</x:v>
      </x:c>
      <x:c r="K207" s="63" t="str">
        <x:v>Proposed</x:v>
      </x:c>
      <x:c r="L207" s="143"/>
      <x:c r="M207" s="179"/>
      <x:c r="N207" s="179" t="n">
        <x:v>2028</x:v>
      </x:c>
      <x:c r="O207" s="63" t="str">
        <x:v>indeterminate_incomplete_schedule</x:v>
      </x:c>
      <x:c r="P207" s="63" t="str"/>
      <x:c r="Q207" s="143"/>
      <x:c r="R207" s="143"/>
      <x:c r="S207" s="154" t="n">
        <x:v>-110.441592</x:v>
      </x:c>
      <x:c r="T207" s="154" t="n">
        <x:v>50.040931</x:v>
      </x:c>
      <x:c r="U207" s="63" t="str">
        <x:v>reported</x:v>
      </x:c>
      <x:c r="V207" s="63" t="str">
        <x:v>ALBERTA_MAJOR_PROJECTS</x:v>
      </x:c>
      <x:c r="W207" s="63" t="str">
        <x:v>observed</x:v>
      </x:c>
      <x:c r="X207" s="155" t="n">
        <x:v>46265</x:v>
      </x:c>
      <x:c r="Y207" s="63" t="str">
        <x:v>https://www.majorprojects.alberta.ca/</x:v>
      </x:c>
    </x:row>
    <x:row r="208">
      <x:c r="A208" s="63" t="str">
        <x:v>ABMP_10706</x:v>
      </x:c>
      <x:c r="B208" s="63" t="str">
        <x:v>Eastervale Solar Project</x:v>
      </x:c>
      <x:c r="C208" s="63" t="str">
        <x:v>Power Sector Infrastructure</x:v>
      </x:c>
      <x:c r="D208" s="63" t="str">
        <x:v>inferred</x:v>
      </x:c>
      <x:c r="E208" s="63" t="str">
        <x:v>Solar</x:v>
      </x:c>
      <x:c r="F208" s="63" t="str">
        <x:v>Power</x:v>
      </x:c>
      <x:c r="G208" s="63" t="str">
        <x:v>Westbridge Renewable Energy Corporation</x:v>
      </x:c>
      <x:c r="H208" s="63" t="str">
        <x:v>Unresolved</x:v>
      </x:c>
      <x:c r="I208" s="63" t="str">
        <x:v>inferred</x:v>
      </x:c>
      <x:c r="J208" s="63" t="str">
        <x:v>Provost No. 52</x:v>
      </x:c>
      <x:c r="K208" s="63" t="str">
        <x:v>Proposed</x:v>
      </x:c>
      <x:c r="L208" s="143" t="n">
        <x:v>415000000</x:v>
      </x:c>
      <x:c r="M208" s="179"/>
      <x:c r="N208" s="179" t="n">
        <x:v>2027</x:v>
      </x:c>
      <x:c r="O208" s="63" t="str">
        <x:v>indeterminate_incomplete_schedule</x:v>
      </x:c>
      <x:c r="P208" s="63" t="str"/>
      <x:c r="Q208" s="143"/>
      <x:c r="R208" s="143"/>
      <x:c r="S208" s="154" t="n">
        <x:v>-110.262108</x:v>
      </x:c>
      <x:c r="T208" s="154" t="n">
        <x:v>52.343738</x:v>
      </x:c>
      <x:c r="U208" s="63" t="str">
        <x:v>approximate</x:v>
      </x:c>
      <x:c r="V208" s="63" t="str">
        <x:v>ALBERTA_MAJOR_PROJECTS</x:v>
      </x:c>
      <x:c r="W208" s="63" t="str">
        <x:v>observed</x:v>
      </x:c>
      <x:c r="X208" s="155" t="n">
        <x:v>46265</x:v>
      </x:c>
      <x:c r="Y208" s="63" t="str">
        <x:v>https://www.majorprojects.alberta.ca/</x:v>
      </x:c>
    </x:row>
    <x:row r="209">
      <x:c r="A209" s="63" t="str">
        <x:v>ABMP_11722</x:v>
      </x:c>
      <x:c r="B209" s="63" t="str">
        <x:v>Edmonton 3 H2 Plant Cogen</x:v>
      </x:c>
      <x:c r="C209" s="63" t="str">
        <x:v>Power Sector Infrastructure</x:v>
      </x:c>
      <x:c r="D209" s="63" t="str">
        <x:v>inferred</x:v>
      </x:c>
      <x:c r="E209" s="63" t="str">
        <x:v>Natural Gas</x:v>
      </x:c>
      <x:c r="F209" s="63" t="str">
        <x:v>Power</x:v>
      </x:c>
      <x:c r="G209" s="63" t="str">
        <x:v>EPCOR Distribution &amp;. Transmission Inc.</x:v>
      </x:c>
      <x:c r="H209" s="63" t="str">
        <x:v>Municipal Or Public Utility Signal</x:v>
      </x:c>
      <x:c r="I209" s="63" t="str">
        <x:v>inferred</x:v>
      </x:c>
      <x:c r="J209" s="63" t="str">
        <x:v>Edmonton</x:v>
      </x:c>
      <x:c r="K209" s="63" t="str">
        <x:v>Under Construction</x:v>
      </x:c>
      <x:c r="L209" s="143"/>
      <x:c r="M209" s="179" t="n">
        <x:v>2024</x:v>
      </x:c>
      <x:c r="N209" s="179" t="n">
        <x:v>2027</x:v>
      </x:c>
      <x:c r="O209" s="63" t="str">
        <x:v>overlaps</x:v>
      </x:c>
      <x:c r="P209" s="63" t="str">
        <x:v>2027</x:v>
      </x:c>
      <x:c r="Q209" s="143"/>
      <x:c r="R209" s="143"/>
      <x:c r="S209" s="154" t="n">
        <x:v>-113.305242</x:v>
      </x:c>
      <x:c r="T209" s="154" t="n">
        <x:v>53.590271</x:v>
      </x:c>
      <x:c r="U209" s="63" t="str">
        <x:v>approximate</x:v>
      </x:c>
      <x:c r="V209" s="63" t="str">
        <x:v>ALBERTA_MAJOR_PROJECTS</x:v>
      </x:c>
      <x:c r="W209" s="63" t="str">
        <x:v>observed</x:v>
      </x:c>
      <x:c r="X209" s="155" t="n">
        <x:v>46265</x:v>
      </x:c>
      <x:c r="Y209" s="63" t="str">
        <x:v>https://www.majorprojects.alberta.ca/</x:v>
      </x:c>
    </x:row>
    <x:row r="210">
      <x:c r="A210" s="63" t="str">
        <x:v>ABMP_11916</x:v>
      </x:c>
      <x:c r="B210" s="63" t="str">
        <x:v>Edmonton Government Centre - Power Distribution System Upgrade (Phase 2C)</x:v>
      </x:c>
      <x:c r="C210" s="63" t="str">
        <x:v>Power Sector Infrastructure</x:v>
      </x:c>
      <x:c r="D210" s="63" t="str">
        <x:v>inferred</x:v>
      </x:c>
      <x:c r="E210" s="63" t="str">
        <x:v>Power Distribution</x:v>
      </x:c>
      <x:c r="F210" s="63" t="str">
        <x:v>Power</x:v>
      </x:c>
      <x:c r="G210" s="63" t="str">
        <x:v>Alberta Infrastructure</x:v>
      </x:c>
      <x:c r="H210" s="63" t="str">
        <x:v>Government Or Public Institution Signal</x:v>
      </x:c>
      <x:c r="I210" s="63" t="str">
        <x:v>inferred</x:v>
      </x:c>
      <x:c r="J210" s="63" t="str">
        <x:v>Edmonton</x:v>
      </x:c>
      <x:c r="K210" s="63" t="str">
        <x:v>Proposed</x:v>
      </x:c>
      <x:c r="L210" s="143"/>
      <x:c r="M210" s="179"/>
      <x:c r="N210" s="179"/>
      <x:c r="O210" s="63" t="str">
        <x:v>indeterminate_incomplete_schedule</x:v>
      </x:c>
      <x:c r="P210" s="63" t="str"/>
      <x:c r="Q210" s="143"/>
      <x:c r="R210" s="143"/>
      <x:c r="S210" s="154" t="n">
        <x:v>-113.504951</x:v>
      </x:c>
      <x:c r="T210" s="154" t="n">
        <x:v>53.533592</x:v>
      </x:c>
      <x:c r="U210" s="63" t="str">
        <x:v>reported</x:v>
      </x:c>
      <x:c r="V210" s="63" t="str">
        <x:v>ALBERTA_MAJOR_PROJECTS</x:v>
      </x:c>
      <x:c r="W210" s="63" t="str">
        <x:v>observed</x:v>
      </x:c>
      <x:c r="X210" s="155" t="n">
        <x:v>46265</x:v>
      </x:c>
      <x:c r="Y210" s="63" t="str">
        <x:v>https://www.majorprojects.alberta.ca/</x:v>
      </x:c>
    </x:row>
    <x:row r="211">
      <x:c r="A211" s="63" t="str">
        <x:v>ABMP_10769</x:v>
      </x:c>
      <x:c r="B211" s="63" t="str">
        <x:v>Enmax Substation No. 1</x:v>
      </x:c>
      <x:c r="C211" s="63" t="str">
        <x:v>Power Sector Infrastructure</x:v>
      </x:c>
      <x:c r="D211" s="63" t="str">
        <x:v>inferred</x:v>
      </x:c>
      <x:c r="E211" s="63" t="str">
        <x:v>Other Power</x:v>
      </x:c>
      <x:c r="F211" s="63" t="str">
        <x:v>Power</x:v>
      </x:c>
      <x:c r="G211" s="63" t="str">
        <x:v>ENMAX Energy Corp.</x:v>
      </x:c>
      <x:c r="H211" s="63" t="str">
        <x:v>Municipal Or Public Utility Signal</x:v>
      </x:c>
      <x:c r="I211" s="63" t="str">
        <x:v>inferred</x:v>
      </x:c>
      <x:c r="J211" s="63" t="str">
        <x:v>Calgary</x:v>
      </x:c>
      <x:c r="K211" s="63" t="str">
        <x:v>Under Construction</x:v>
      </x:c>
      <x:c r="L211" s="143" t="n">
        <x:v>207000000</x:v>
      </x:c>
      <x:c r="M211" s="179" t="n">
        <x:v>2022</x:v>
      </x:c>
      <x:c r="N211" s="179" t="n">
        <x:v>2026</x:v>
      </x:c>
      <x:c r="O211" s="63" t="str">
        <x:v>outside_window</x:v>
      </x:c>
      <x:c r="P211" s="63" t="str"/>
      <x:c r="Q211" s="143" t="n">
        <x:v>41400000</x:v>
      </x:c>
      <x:c r="R211" s="143" t="n">
        <x:v>0</x:v>
      </x:c>
      <x:c r="S211" s="154" t="n">
        <x:v>-114.079507</x:v>
      </x:c>
      <x:c r="T211" s="154" t="n">
        <x:v>51.045318</x:v>
      </x:c>
      <x:c r="U211" s="63" t="str">
        <x:v>reported</x:v>
      </x:c>
      <x:c r="V211" s="63" t="str">
        <x:v>ALBERTA_MAJOR_PROJECTS</x:v>
      </x:c>
      <x:c r="W211" s="63" t="str">
        <x:v>observed</x:v>
      </x:c>
      <x:c r="X211" s="155" t="n">
        <x:v>46265</x:v>
      </x:c>
      <x:c r="Y211" s="63" t="str">
        <x:v>https://www.majorprojects.alberta.ca/</x:v>
      </x:c>
    </x:row>
    <x:row r="212">
      <x:c r="A212" s="63" t="str">
        <x:v>ABMP_11542</x:v>
      </x:c>
      <x:c r="B212" s="63" t="str">
        <x:v>Estuary Solar Project</x:v>
      </x:c>
      <x:c r="C212" s="63" t="str">
        <x:v>Power Sector Infrastructure</x:v>
      </x:c>
      <x:c r="D212" s="63" t="str">
        <x:v>inferred</x:v>
      </x:c>
      <x:c r="E212" s="63" t="str">
        <x:v>Solar</x:v>
      </x:c>
      <x:c r="F212" s="63" t="str">
        <x:v>Power</x:v>
      </x:c>
      <x:c r="G212" s="63" t="str">
        <x:v>Greencells Indygen Alberta Ltd.</x:v>
      </x:c>
      <x:c r="H212" s="63" t="str">
        <x:v>Unresolved</x:v>
      </x:c>
      <x:c r="I212" s="63" t="str">
        <x:v>inferred</x:v>
      </x:c>
      <x:c r="J212" s="63" t="str">
        <x:v>Cypress County</x:v>
      </x:c>
      <x:c r="K212" s="63" t="str">
        <x:v>Proposed</x:v>
      </x:c>
      <x:c r="L212" s="143"/>
      <x:c r="M212" s="179"/>
      <x:c r="N212" s="179" t="n">
        <x:v>2028</x:v>
      </x:c>
      <x:c r="O212" s="63" t="str">
        <x:v>indeterminate_incomplete_schedule</x:v>
      </x:c>
      <x:c r="P212" s="63" t="str"/>
      <x:c r="Q212" s="143"/>
      <x:c r="R212" s="143"/>
      <x:c r="S212" s="154" t="n">
        <x:v>-110.018528</x:v>
      </x:c>
      <x:c r="T212" s="154" t="n">
        <x:v>50.722506</x:v>
      </x:c>
      <x:c r="U212" s="63" t="str">
        <x:v>reported</x:v>
      </x:c>
      <x:c r="V212" s="63" t="str">
        <x:v>ALBERTA_MAJOR_PROJECTS</x:v>
      </x:c>
      <x:c r="W212" s="63" t="str">
        <x:v>observed</x:v>
      </x:c>
      <x:c r="X212" s="155" t="n">
        <x:v>46265</x:v>
      </x:c>
      <x:c r="Y212" s="63" t="str">
        <x:v>https://www.majorprojects.alberta.ca/</x:v>
      </x:c>
    </x:row>
    <x:row r="213">
      <x:c r="A213" s="63" t="str">
        <x:v>ABMP_11536</x:v>
      </x:c>
      <x:c r="B213" s="63" t="str">
        <x:v>Flipi Gas-Fired Generation Project</x:v>
      </x:c>
      <x:c r="C213" s="63" t="str">
        <x:v>Power Sector Infrastructure</x:v>
      </x:c>
      <x:c r="D213" s="63" t="str">
        <x:v>inferred</x:v>
      </x:c>
      <x:c r="E213" s="63" t="str">
        <x:v>Natural Gas</x:v>
      </x:c>
      <x:c r="F213" s="63" t="str">
        <x:v>Power</x:v>
      </x:c>
      <x:c r="G213" s="63" t="str">
        <x:v>TransAlta</x:v>
      </x:c>
      <x:c r="H213" s="63" t="str">
        <x:v>Unresolved</x:v>
      </x:c>
      <x:c r="I213" s="63" t="str">
        <x:v>inferred</x:v>
      </x:c>
      <x:c r="J213" s="63" t="str">
        <x:v>Ponoka County</x:v>
      </x:c>
      <x:c r="K213" s="63" t="str">
        <x:v>Proposed</x:v>
      </x:c>
      <x:c r="L213" s="143"/>
      <x:c r="M213" s="179" t="n">
        <x:v>2027</x:v>
      </x:c>
      <x:c r="N213" s="179" t="n">
        <x:v>2030</x:v>
      </x:c>
      <x:c r="O213" s="63" t="str">
        <x:v>overlaps</x:v>
      </x:c>
      <x:c r="P213" s="63" t="str">
        <x:v>2027|2028|2029|2030</x:v>
      </x:c>
      <x:c r="Q213" s="143"/>
      <x:c r="R213" s="143"/>
      <x:c r="S213" s="154" t="n">
        <x:v>-114.539938</x:v>
      </x:c>
      <x:c r="T213" s="154" t="n">
        <x:v>52.624779</x:v>
      </x:c>
      <x:c r="U213" s="63" t="str">
        <x:v>approximate</x:v>
      </x:c>
      <x:c r="V213" s="63" t="str">
        <x:v>ALBERTA_MAJOR_PROJECTS</x:v>
      </x:c>
      <x:c r="W213" s="63" t="str">
        <x:v>observed</x:v>
      </x:c>
      <x:c r="X213" s="155" t="n">
        <x:v>46265</x:v>
      </x:c>
      <x:c r="Y213" s="63" t="str">
        <x:v>https://www.majorprojects.alberta.ca/</x:v>
      </x:c>
    </x:row>
    <x:row r="214">
      <x:c r="A214" s="63" t="str">
        <x:v>ABMP_7523</x:v>
      </x:c>
      <x:c r="B214" s="63" t="str">
        <x:v>Fortis Buford 538S DER Solar (Creekside Solar Project)</x:v>
      </x:c>
      <x:c r="C214" s="63" t="str">
        <x:v>Power Sector Infrastructure</x:v>
      </x:c>
      <x:c r="D214" s="63" t="str">
        <x:v>inferred</x:v>
      </x:c>
      <x:c r="E214" s="63" t="str">
        <x:v>Solar</x:v>
      </x:c>
      <x:c r="F214" s="63" t="str">
        <x:v>Power</x:v>
      </x:c>
      <x:c r="G214" s="63" t="str">
        <x:v>Voltarix Group</x:v>
      </x:c>
      <x:c r="H214" s="63" t="str">
        <x:v>Unresolved</x:v>
      </x:c>
      <x:c r="I214" s="63" t="str">
        <x:v>inferred</x:v>
      </x:c>
      <x:c r="J214" s="63" t="str">
        <x:v>Leduc County</x:v>
      </x:c>
      <x:c r="K214" s="63" t="str">
        <x:v>Proposed</x:v>
      </x:c>
      <x:c r="L214" s="143"/>
      <x:c r="M214" s="179"/>
      <x:c r="N214" s="179" t="n">
        <x:v>2026</x:v>
      </x:c>
      <x:c r="O214" s="63" t="str">
        <x:v>outside_window</x:v>
      </x:c>
      <x:c r="P214" s="63" t="str"/>
      <x:c r="Q214" s="143"/>
      <x:c r="R214" s="143"/>
      <x:c r="S214" s="154" t="n">
        <x:v>-113.938694</x:v>
      </x:c>
      <x:c r="T214" s="154" t="n">
        <x:v>53.238669</x:v>
      </x:c>
      <x:c r="U214" s="63" t="str">
        <x:v>reported</x:v>
      </x:c>
      <x:c r="V214" s="63" t="str">
        <x:v>ALBERTA_MAJOR_PROJECTS</x:v>
      </x:c>
      <x:c r="W214" s="63" t="str">
        <x:v>observed</x:v>
      </x:c>
      <x:c r="X214" s="155" t="n">
        <x:v>46265</x:v>
      </x:c>
      <x:c r="Y214" s="63" t="str">
        <x:v>https://www.majorprojects.alberta.ca/</x:v>
      </x:c>
    </x:row>
    <x:row r="215">
      <x:c r="A215" s="63" t="str">
        <x:v>ABMP_7522</x:v>
      </x:c>
      <x:c r="B215" s="63" t="str">
        <x:v>Fortis Moon Lake DER Solar</x:v>
      </x:c>
      <x:c r="C215" s="63" t="str">
        <x:v>Power Sector Infrastructure</x:v>
      </x:c>
      <x:c r="D215" s="63" t="str">
        <x:v>inferred</x:v>
      </x:c>
      <x:c r="E215" s="63" t="str">
        <x:v>Solar</x:v>
      </x:c>
      <x:c r="F215" s="63" t="str">
        <x:v>Power</x:v>
      </x:c>
      <x:c r="G215" s="63" t="str">
        <x:v>Voltarix Group</x:v>
      </x:c>
      <x:c r="H215" s="63" t="str">
        <x:v>Unresolved</x:v>
      </x:c>
      <x:c r="I215" s="63" t="str">
        <x:v>inferred</x:v>
      </x:c>
      <x:c r="J215" s="63" t="str">
        <x:v>Parkland County</x:v>
      </x:c>
      <x:c r="K215" s="63" t="str">
        <x:v>Proposed</x:v>
      </x:c>
      <x:c r="L215" s="143"/>
      <x:c r="M215" s="179"/>
      <x:c r="N215" s="179" t="n">
        <x:v>2026</x:v>
      </x:c>
      <x:c r="O215" s="63" t="str">
        <x:v>outside_window</x:v>
      </x:c>
      <x:c r="P215" s="63" t="str"/>
      <x:c r="Q215" s="143"/>
      <x:c r="R215" s="143"/>
      <x:c r="S215" s="154" t="n">
        <x:v>-114.990517</x:v>
      </x:c>
      <x:c r="T215" s="154" t="n">
        <x:v>53.422494</x:v>
      </x:c>
      <x:c r="U215" s="63" t="str">
        <x:v>reported</x:v>
      </x:c>
      <x:c r="V215" s="63" t="str">
        <x:v>ALBERTA_MAJOR_PROJECTS</x:v>
      </x:c>
      <x:c r="W215" s="63" t="str">
        <x:v>observed</x:v>
      </x:c>
      <x:c r="X215" s="155" t="n">
        <x:v>46265</x:v>
      </x:c>
      <x:c r="Y215" s="63" t="str">
        <x:v>https://www.majorprojects.alberta.ca/</x:v>
      </x:c>
    </x:row>
    <x:row r="216">
      <x:c r="A216" s="63" t="str">
        <x:v>ABMP_11123</x:v>
      </x:c>
      <x:c r="B216" s="63" t="str">
        <x:v>FortisAlberta Metiskow 648S DER Solar</x:v>
      </x:c>
      <x:c r="C216" s="63" t="str">
        <x:v>Power Sector Infrastructure</x:v>
      </x:c>
      <x:c r="D216" s="63" t="str">
        <x:v>inferred</x:v>
      </x:c>
      <x:c r="E216" s="63" t="str">
        <x:v>Solar</x:v>
      </x:c>
      <x:c r="F216" s="63" t="str">
        <x:v>Power</x:v>
      </x:c>
      <x:c r="G216" s="63" t="str">
        <x:v>Eridani Ltd.</x:v>
      </x:c>
      <x:c r="H216" s="63" t="str">
        <x:v>Unresolved</x:v>
      </x:c>
      <x:c r="I216" s="63" t="str">
        <x:v>inferred</x:v>
      </x:c>
      <x:c r="J216" s="63" t="str">
        <x:v>Cypress County</x:v>
      </x:c>
      <x:c r="K216" s="63" t="str">
        <x:v>Proposed</x:v>
      </x:c>
      <x:c r="L216" s="143"/>
      <x:c r="M216" s="179"/>
      <x:c r="N216" s="179"/>
      <x:c r="O216" s="63" t="str">
        <x:v>indeterminate_incomplete_schedule</x:v>
      </x:c>
      <x:c r="P216" s="63" t="str"/>
      <x:c r="Q216" s="143"/>
      <x:c r="R216" s="143"/>
      <x:c r="S216" s="154" t="n">
        <x:v>-111.364746</x:v>
      </x:c>
      <x:c r="T216" s="154" t="n">
        <x:v>50.58234</x:v>
      </x:c>
      <x:c r="U216" s="63" t="str">
        <x:v>approximate</x:v>
      </x:c>
      <x:c r="V216" s="63" t="str">
        <x:v>ALBERTA_MAJOR_PROJECTS</x:v>
      </x:c>
      <x:c r="W216" s="63" t="str">
        <x:v>observed</x:v>
      </x:c>
      <x:c r="X216" s="155" t="n">
        <x:v>46265</x:v>
      </x:c>
      <x:c r="Y216" s="63" t="str">
        <x:v>https://www.majorprojects.alberta.ca/</x:v>
      </x:c>
    </x:row>
    <x:row r="217">
      <x:c r="A217" s="63" t="str">
        <x:v>ABMP_12045</x:v>
      </x:c>
      <x:c r="B217" s="63" t="str">
        <x:v>Fox Meadows Wind &amp; Battery Project</x:v>
      </x:c>
      <x:c r="C217" s="63" t="str">
        <x:v>Power Sector Infrastructure</x:v>
      </x:c>
      <x:c r="D217" s="63" t="str">
        <x:v>inferred</x:v>
      </x:c>
      <x:c r="E217" s="63" t="str">
        <x:v>Wind</x:v>
      </x:c>
      <x:c r="F217" s="63" t="str">
        <x:v>Power</x:v>
      </x:c>
      <x:c r="G217" s="63" t="str">
        <x:v>ABO Wind Canada Ltd.</x:v>
      </x:c>
      <x:c r="H217" s="63" t="str">
        <x:v>Unresolved</x:v>
      </x:c>
      <x:c r="I217" s="63" t="str">
        <x:v>inferred</x:v>
      </x:c>
      <x:c r="J217" s="63" t="str">
        <x:v>Provost No. 52</x:v>
      </x:c>
      <x:c r="K217" s="63" t="str">
        <x:v>Proposed</x:v>
      </x:c>
      <x:c r="L217" s="143"/>
      <x:c r="M217" s="179"/>
      <x:c r="N217" s="179" t="n">
        <x:v>2028</x:v>
      </x:c>
      <x:c r="O217" s="63" t="str">
        <x:v>indeterminate_incomplete_schedule</x:v>
      </x:c>
      <x:c r="P217" s="63" t="str"/>
      <x:c r="Q217" s="143"/>
      <x:c r="R217" s="143"/>
      <x:c r="S217" s="154" t="n">
        <x:v>-110.467453</x:v>
      </x:c>
      <x:c r="T217" s="154" t="n">
        <x:v>52.446728</x:v>
      </x:c>
      <x:c r="U217" s="63" t="str">
        <x:v>approximate</x:v>
      </x:c>
      <x:c r="V217" s="63" t="str">
        <x:v>ALBERTA_MAJOR_PROJECTS</x:v>
      </x:c>
      <x:c r="W217" s="63" t="str">
        <x:v>observed</x:v>
      </x:c>
      <x:c r="X217" s="155" t="n">
        <x:v>46265</x:v>
      </x:c>
      <x:c r="Y217" s="63" t="str">
        <x:v>https://www.majorprojects.alberta.ca/</x:v>
      </x:c>
    </x:row>
    <x:row r="218">
      <x:c r="A218" s="63" t="str">
        <x:v>ABMP_10705</x:v>
      </x:c>
      <x:c r="B218" s="63" t="str">
        <x:v>Georgetown Solar Project</x:v>
      </x:c>
      <x:c r="C218" s="63" t="str">
        <x:v>Power Sector Infrastructure</x:v>
      </x:c>
      <x:c r="D218" s="63" t="str">
        <x:v>inferred</x:v>
      </x:c>
      <x:c r="E218" s="63" t="str">
        <x:v>Solar</x:v>
      </x:c>
      <x:c r="F218" s="63" t="str">
        <x:v>Power</x:v>
      </x:c>
      <x:c r="G218" s="63" t="str">
        <x:v>MYTILINEOS Energy &amp; Metals</x:v>
      </x:c>
      <x:c r="H218" s="63" t="str">
        <x:v>Unresolved</x:v>
      </x:c>
      <x:c r="I218" s="63" t="str">
        <x:v>inferred</x:v>
      </x:c>
      <x:c r="J218" s="63" t="str">
        <x:v>Vulcan County</x:v>
      </x:c>
      <x:c r="K218" s="63" t="str">
        <x:v>Proposed</x:v>
      </x:c>
      <x:c r="L218" s="143"/>
      <x:c r="M218" s="179"/>
      <x:c r="N218" s="179" t="n">
        <x:v>2027</x:v>
      </x:c>
      <x:c r="O218" s="63" t="str">
        <x:v>indeterminate_incomplete_schedule</x:v>
      </x:c>
      <x:c r="P218" s="63" t="str"/>
      <x:c r="Q218" s="143"/>
      <x:c r="R218" s="143"/>
      <x:c r="S218" s="154" t="n">
        <x:v>-113.421335</x:v>
      </x:c>
      <x:c r="T218" s="154" t="n">
        <x:v>50.775387</x:v>
      </x:c>
      <x:c r="U218" s="63" t="str">
        <x:v>reported</x:v>
      </x:c>
      <x:c r="V218" s="63" t="str">
        <x:v>ALBERTA_MAJOR_PROJECTS</x:v>
      </x:c>
      <x:c r="W218" s="63" t="str">
        <x:v>observed</x:v>
      </x:c>
      <x:c r="X218" s="155" t="n">
        <x:v>46265</x:v>
      </x:c>
      <x:c r="Y218" s="63" t="str">
        <x:v>https://www.majorprojects.alberta.ca/</x:v>
      </x:c>
    </x:row>
    <x:row r="219">
      <x:c r="A219" s="63" t="str">
        <x:v>ABMP_11725</x:v>
      </x:c>
      <x:c r="B219" s="63" t="str">
        <x:v>Gilby Thermal Power Plant</x:v>
      </x:c>
      <x:c r="C219" s="63" t="str">
        <x:v>Power Sector Infrastructure</x:v>
      </x:c>
      <x:c r="D219" s="63" t="str">
        <x:v>inferred</x:v>
      </x:c>
      <x:c r="E219" s="63" t="str">
        <x:v>Solar</x:v>
      </x:c>
      <x:c r="F219" s="63" t="str">
        <x:v>Power</x:v>
      </x:c>
      <x:c r="G219" s="63" t="str">
        <x:v>Journey Energy</x:v>
      </x:c>
      <x:c r="H219" s="63" t="str">
        <x:v>Unresolved</x:v>
      </x:c>
      <x:c r="I219" s="63" t="str">
        <x:v>inferred</x:v>
      </x:c>
      <x:c r="J219" s="63" t="str">
        <x:v>Mountain View County</x:v>
      </x:c>
      <x:c r="K219" s="63" t="str">
        <x:v>Proposed</x:v>
      </x:c>
      <x:c r="L219" s="143"/>
      <x:c r="M219" s="179"/>
      <x:c r="N219" s="179"/>
      <x:c r="O219" s="63" t="str">
        <x:v>indeterminate_incomplete_schedule</x:v>
      </x:c>
      <x:c r="P219" s="63" t="str"/>
      <x:c r="Q219" s="143"/>
      <x:c r="R219" s="143"/>
      <x:c r="S219" s="154" t="n">
        <x:v>-114.303818</x:v>
      </x:c>
      <x:c r="T219" s="154" t="n">
        <x:v>51.715047</x:v>
      </x:c>
      <x:c r="U219" s="63" t="str">
        <x:v>approximate</x:v>
      </x:c>
      <x:c r="V219" s="63" t="str">
        <x:v>ALBERTA_MAJOR_PROJECTS</x:v>
      </x:c>
      <x:c r="W219" s="63" t="str">
        <x:v>observed</x:v>
      </x:c>
      <x:c r="X219" s="155" t="n">
        <x:v>46265</x:v>
      </x:c>
      <x:c r="Y219" s="63" t="str">
        <x:v>https://www.majorprojects.alberta.ca/</x:v>
      </x:c>
    </x:row>
    <x:row r="220">
      <x:c r="A220" s="63" t="str">
        <x:v>ABMP_3916</x:v>
      </x:c>
      <x:c r="B220" s="63" t="str">
        <x:v>Greenview Geothermal Power Plant (Alberta No. 1)</x:v>
      </x:c>
      <x:c r="C220" s="63" t="str">
        <x:v>Power Sector Infrastructure</x:v>
      </x:c>
      <x:c r="D220" s="63" t="str">
        <x:v>inferred</x:v>
      </x:c>
      <x:c r="E220" s="63" t="str">
        <x:v>Other Power</x:v>
      </x:c>
      <x:c r="F220" s="63" t="str">
        <x:v>Power</x:v>
      </x:c>
      <x:c r="G220" s="63" t="str">
        <x:v>Climate Transition Development Corporation</x:v>
      </x:c>
      <x:c r="H220" s="63" t="str">
        <x:v>Unresolved</x:v>
      </x:c>
      <x:c r="I220" s="63" t="str">
        <x:v>inferred</x:v>
      </x:c>
      <x:c r="J220" s="63" t="str">
        <x:v>Greenview No. 16</x:v>
      </x:c>
      <x:c r="K220" s="63" t="str">
        <x:v>Proposed</x:v>
      </x:c>
      <x:c r="L220" s="143" t="n">
        <x:v>106000000</x:v>
      </x:c>
      <x:c r="M220" s="179"/>
      <x:c r="N220" s="179"/>
      <x:c r="O220" s="63" t="str">
        <x:v>indeterminate_incomplete_schedule</x:v>
      </x:c>
      <x:c r="P220" s="63" t="str"/>
      <x:c r="Q220" s="143"/>
      <x:c r="R220" s="143"/>
      <x:c r="S220" s="154" t="n">
        <x:v>-117.64984130859374</x:v>
      </x:c>
      <x:c r="T220" s="154" t="n">
        <x:v>54.841826896550494</x:v>
      </x:c>
      <x:c r="U220" s="63" t="str">
        <x:v>reported</x:v>
      </x:c>
      <x:c r="V220" s="63" t="str">
        <x:v>ALBERTA_MAJOR_PROJECTS</x:v>
      </x:c>
      <x:c r="W220" s="63" t="str">
        <x:v>observed</x:v>
      </x:c>
      <x:c r="X220" s="155" t="n">
        <x:v>46265</x:v>
      </x:c>
      <x:c r="Y220" s="63" t="str">
        <x:v>https://www.majorprojects.alberta.ca/</x:v>
      </x:c>
    </x:row>
    <x:row r="221">
      <x:c r="A221" s="63" t="str">
        <x:v>ABMP_11042</x:v>
      </x:c>
      <x:c r="B221" s="63" t="str">
        <x:v>Heartland Waste-to-Power Project</x:v>
      </x:c>
      <x:c r="C221" s="63" t="str">
        <x:v>Power Sector Infrastructure</x:v>
      </x:c>
      <x:c r="D221" s="63" t="str">
        <x:v>inferred</x:v>
      </x:c>
      <x:c r="E221" s="63" t="str">
        <x:v>Other Power</x:v>
      </x:c>
      <x:c r="F221" s="63" t="str">
        <x:v>Power</x:v>
      </x:c>
      <x:c r="G221" s="63" t="str">
        <x:v>Gibson Energy &amp; Varme Energy JV</x:v>
      </x:c>
      <x:c r="H221" s="63" t="str">
        <x:v>Unresolved</x:v>
      </x:c>
      <x:c r="I221" s="63" t="str">
        <x:v>inferred</x:v>
      </x:c>
      <x:c r="J221" s="63" t="str">
        <x:v>Strathcona County</x:v>
      </x:c>
      <x:c r="K221" s="63" t="str">
        <x:v>Proposed</x:v>
      </x:c>
      <x:c r="L221" s="143" t="n">
        <x:v>300000000</x:v>
      </x:c>
      <x:c r="M221" s="179" t="n">
        <x:v>2027</x:v>
      </x:c>
      <x:c r="N221" s="179" t="n">
        <x:v>2028</x:v>
      </x:c>
      <x:c r="O221" s="63" t="str">
        <x:v>overlaps</x:v>
      </x:c>
      <x:c r="P221" s="63" t="str">
        <x:v>2027|2028</x:v>
      </x:c>
      <x:c r="Q221" s="143" t="n">
        <x:v>150000000</x:v>
      </x:c>
      <x:c r="R221" s="143" t="n">
        <x:v>300000000</x:v>
      </x:c>
      <x:c r="S221" s="154" t="n">
        <x:v>-113.040261</x:v>
      </x:c>
      <x:c r="T221" s="154" t="n">
        <x:v>53.775933</x:v>
      </x:c>
      <x:c r="U221" s="63" t="str">
        <x:v>approximate</x:v>
      </x:c>
      <x:c r="V221" s="63" t="str">
        <x:v>ALBERTA_MAJOR_PROJECTS</x:v>
      </x:c>
      <x:c r="W221" s="63" t="str">
        <x:v>observed</x:v>
      </x:c>
      <x:c r="X221" s="155" t="n">
        <x:v>46265</x:v>
      </x:c>
      <x:c r="Y221" s="63" t="str">
        <x:v>https://www.majorprojects.alberta.ca/</x:v>
      </x:c>
    </x:row>
    <x:row r="222">
      <x:c r="A222" s="63" t="str">
        <x:v>ABMP_10836</x:v>
      </x:c>
      <x:c r="B222" s="63" t="str">
        <x:v>Homestead Solar Project</x:v>
      </x:c>
      <x:c r="C222" s="63" t="str">
        <x:v>Power Sector Infrastructure</x:v>
      </x:c>
      <x:c r="D222" s="63" t="str">
        <x:v>inferred</x:v>
      </x:c>
      <x:c r="E222" s="63" t="str">
        <x:v>Solar</x:v>
      </x:c>
      <x:c r="F222" s="63" t="str">
        <x:v>Power</x:v>
      </x:c>
      <x:c r="G222" s="63" t="str">
        <x:v>Kiwetinohk Energy Corp</x:v>
      </x:c>
      <x:c r="H222" s="63" t="str">
        <x:v>Unresolved</x:v>
      </x:c>
      <x:c r="I222" s="63" t="str">
        <x:v>inferred</x:v>
      </x:c>
      <x:c r="J222" s="63" t="str">
        <x:v>Willow Creek No. 26</x:v>
      </x:c>
      <x:c r="K222" s="63" t="str">
        <x:v>Proposed</x:v>
      </x:c>
      <x:c r="L222" s="143"/>
      <x:c r="M222" s="179"/>
      <x:c r="N222" s="179" t="n">
        <x:v>2027</x:v>
      </x:c>
      <x:c r="O222" s="63" t="str">
        <x:v>indeterminate_incomplete_schedule</x:v>
      </x:c>
      <x:c r="P222" s="63" t="str"/>
      <x:c r="Q222" s="143"/>
      <x:c r="R222" s="143"/>
      <x:c r="S222" s="154" t="n">
        <x:v>-113.446455</x:v>
      </x:c>
      <x:c r="T222" s="154" t="n">
        <x:v>49.981414</x:v>
      </x:c>
      <x:c r="U222" s="63" t="str">
        <x:v>approximate</x:v>
      </x:c>
      <x:c r="V222" s="63" t="str">
        <x:v>ALBERTA_MAJOR_PROJECTS</x:v>
      </x:c>
      <x:c r="W222" s="63" t="str">
        <x:v>observed</x:v>
      </x:c>
      <x:c r="X222" s="155" t="n">
        <x:v>46265</x:v>
      </x:c>
      <x:c r="Y222" s="63" t="str">
        <x:v>https://www.majorprojects.alberta.ca/</x:v>
      </x:c>
    </x:row>
    <x:row r="223">
      <x:c r="A223" s="63" t="str">
        <x:v>ABMP_11729</x:v>
      </x:c>
      <x:c r="B223" s="63" t="str">
        <x:v>Hussar 431S Battery Project</x:v>
      </x:c>
      <x:c r="C223" s="63" t="str">
        <x:v>Power Sector Infrastructure</x:v>
      </x:c>
      <x:c r="D223" s="63" t="str">
        <x:v>inferred</x:v>
      </x:c>
      <x:c r="E223" s="63" t="str">
        <x:v>Other Power</x:v>
      </x:c>
      <x:c r="F223" s="63" t="str">
        <x:v>Power</x:v>
      </x:c>
      <x:c r="G223" s="63" t="str">
        <x:v>Rockpoint Gas Storage</x:v>
      </x:c>
      <x:c r="H223" s="63" t="str">
        <x:v>Unresolved</x:v>
      </x:c>
      <x:c r="I223" s="63" t="str">
        <x:v>inferred</x:v>
      </x:c>
      <x:c r="J223" s="63" t="str">
        <x:v>Wheatland County</x:v>
      </x:c>
      <x:c r="K223" s="63" t="str">
        <x:v>Proposed</x:v>
      </x:c>
      <x:c r="L223" s="143"/>
      <x:c r="M223" s="179"/>
      <x:c r="N223" s="179" t="n">
        <x:v>2027</x:v>
      </x:c>
      <x:c r="O223" s="63" t="str">
        <x:v>indeterminate_incomplete_schedule</x:v>
      </x:c>
      <x:c r="P223" s="63" t="str"/>
      <x:c r="Q223" s="143"/>
      <x:c r="R223" s="143"/>
      <x:c r="S223" s="154" t="n">
        <x:v>-112.5306</x:v>
      </x:c>
      <x:c r="T223" s="154" t="n">
        <x:v>51.2125</x:v>
      </x:c>
      <x:c r="U223" s="63" t="str">
        <x:v>approximate</x:v>
      </x:c>
      <x:c r="V223" s="63" t="str">
        <x:v>ALBERTA_MAJOR_PROJECTS</x:v>
      </x:c>
      <x:c r="W223" s="63" t="str">
        <x:v>observed</x:v>
      </x:c>
      <x:c r="X223" s="155" t="n">
        <x:v>46265</x:v>
      </x:c>
      <x:c r="Y223" s="63" t="str">
        <x:v>https://www.majorprojects.alberta.ca/</x:v>
      </x:c>
    </x:row>
    <x:row r="224">
      <x:c r="A224" s="63" t="str">
        <x:v>ABMP_11741</x:v>
      </x:c>
      <x:c r="B224" s="63" t="str">
        <x:v>Huxley Thermal Power Plant</x:v>
      </x:c>
      <x:c r="C224" s="63" t="str">
        <x:v>Power Sector Infrastructure</x:v>
      </x:c>
      <x:c r="D224" s="63" t="str">
        <x:v>inferred</x:v>
      </x:c>
      <x:c r="E224" s="63" t="str">
        <x:v>Solar</x:v>
      </x:c>
      <x:c r="F224" s="63" t="str">
        <x:v>Power</x:v>
      </x:c>
      <x:c r="G224" s="63" t="str">
        <x:v>Corse Power Company LP</x:v>
      </x:c>
      <x:c r="H224" s="63" t="str">
        <x:v>Unresolved</x:v>
      </x:c>
      <x:c r="I224" s="63" t="str">
        <x:v>inferred</x:v>
      </x:c>
      <x:c r="J224" s="63" t="str">
        <x:v>Kneehill County</x:v>
      </x:c>
      <x:c r="K224" s="63" t="str">
        <x:v>Proposed</x:v>
      </x:c>
      <x:c r="L224" s="143"/>
      <x:c r="M224" s="179"/>
      <x:c r="N224" s="179" t="n">
        <x:v>2027</x:v>
      </x:c>
      <x:c r="O224" s="63" t="str">
        <x:v>indeterminate_incomplete_schedule</x:v>
      </x:c>
      <x:c r="P224" s="63" t="str"/>
      <x:c r="Q224" s="143"/>
      <x:c r="R224" s="143"/>
      <x:c r="S224" s="154" t="n">
        <x:v>-113.240794</x:v>
      </x:c>
      <x:c r="T224" s="154" t="n">
        <x:v>51.941202</x:v>
      </x:c>
      <x:c r="U224" s="63" t="str">
        <x:v>approximate</x:v>
      </x:c>
      <x:c r="V224" s="63" t="str">
        <x:v>ALBERTA_MAJOR_PROJECTS</x:v>
      </x:c>
      <x:c r="W224" s="63" t="str">
        <x:v>observed</x:v>
      </x:c>
      <x:c r="X224" s="155" t="n">
        <x:v>46265</x:v>
      </x:c>
      <x:c r="Y224" s="63" t="str">
        <x:v>https://www.majorprojects.alberta.ca/</x:v>
      </x:c>
    </x:row>
    <x:row r="225">
      <x:c r="A225" s="63" t="str">
        <x:v>ABMP_11223</x:v>
      </x:c>
      <x:c r="B225" s="63" t="str">
        <x:v>Innisfail Waste to Energy Project</x:v>
      </x:c>
      <x:c r="C225" s="63" t="str">
        <x:v>Power Sector Infrastructure</x:v>
      </x:c>
      <x:c r="D225" s="63" t="str">
        <x:v>inferred</x:v>
      </x:c>
      <x:c r="E225" s="63" t="str">
        <x:v>Other Power</x:v>
      </x:c>
      <x:c r="F225" s="63" t="str">
        <x:v>Power</x:v>
      </x:c>
      <x:c r="G225" s="63" t="str">
        <x:v>Varme Energy</x:v>
      </x:c>
      <x:c r="H225" s="63" t="str">
        <x:v>Unresolved</x:v>
      </x:c>
      <x:c r="I225" s="63" t="str">
        <x:v>inferred</x:v>
      </x:c>
      <x:c r="J225" s="63" t="str">
        <x:v>Innisfail</x:v>
      </x:c>
      <x:c r="K225" s="63" t="str">
        <x:v>Proposed</x:v>
      </x:c>
      <x:c r="L225" s="143" t="n">
        <x:v>200000000</x:v>
      </x:c>
      <x:c r="M225" s="179"/>
      <x:c r="N225" s="179" t="n">
        <x:v>2028</x:v>
      </x:c>
      <x:c r="O225" s="63" t="str">
        <x:v>indeterminate_incomplete_schedule</x:v>
      </x:c>
      <x:c r="P225" s="63" t="str"/>
      <x:c r="Q225" s="143"/>
      <x:c r="R225" s="143"/>
      <x:c r="S225" s="154" t="n">
        <x:v>-113.975676</x:v>
      </x:c>
      <x:c r="T225" s="154" t="n">
        <x:v>52.014058</x:v>
      </x:c>
      <x:c r="U225" s="63" t="str">
        <x:v>reported</x:v>
      </x:c>
      <x:c r="V225" s="63" t="str">
        <x:v>ALBERTA_MAJOR_PROJECTS</x:v>
      </x:c>
      <x:c r="W225" s="63" t="str">
        <x:v>observed</x:v>
      </x:c>
      <x:c r="X225" s="155" t="n">
        <x:v>46265</x:v>
      </x:c>
      <x:c r="Y225" s="63" t="str">
        <x:v>https://www.majorprojects.alberta.ca/</x:v>
      </x:c>
    </x:row>
    <x:row r="226">
      <x:c r="A226" s="63" t="str">
        <x:v>ABMP_11730</x:v>
      </x:c>
      <x:c r="B226" s="63" t="str">
        <x:v>Jarrow 252S DER Solar Battery</x:v>
      </x:c>
      <x:c r="C226" s="63" t="str">
        <x:v>Power Sector Infrastructure</x:v>
      </x:c>
      <x:c r="D226" s="63" t="str">
        <x:v>inferred</x:v>
      </x:c>
      <x:c r="E226" s="63" t="str">
        <x:v>Solar</x:v>
      </x:c>
      <x:c r="F226" s="63" t="str">
        <x:v>Power</x:v>
      </x:c>
      <x:c r="G226" s="63" t="str">
        <x:v>Pace Canada LP</x:v>
      </x:c>
      <x:c r="H226" s="63" t="str">
        <x:v>Unresolved</x:v>
      </x:c>
      <x:c r="I226" s="63" t="str">
        <x:v>inferred</x:v>
      </x:c>
      <x:c r="J226" s="63" t="str">
        <x:v>Beaver County</x:v>
      </x:c>
      <x:c r="K226" s="63" t="str">
        <x:v>Proposed</x:v>
      </x:c>
      <x:c r="L226" s="143"/>
      <x:c r="M226" s="179"/>
      <x:c r="N226" s="179" t="n">
        <x:v>2027</x:v>
      </x:c>
      <x:c r="O226" s="63" t="str">
        <x:v>indeterminate_incomplete_schedule</x:v>
      </x:c>
      <x:c r="P226" s="63" t="str"/>
      <x:c r="Q226" s="143"/>
      <x:c r="R226" s="143"/>
      <x:c r="S226" s="154" t="n">
        <x:v>-111.4333</x:v>
      </x:c>
      <x:c r="T226" s="154" t="n">
        <x:v>52.9678</x:v>
      </x:c>
      <x:c r="U226" s="63" t="str">
        <x:v>approximate</x:v>
      </x:c>
      <x:c r="V226" s="63" t="str">
        <x:v>ALBERTA_MAJOR_PROJECTS</x:v>
      </x:c>
      <x:c r="W226" s="63" t="str">
        <x:v>observed</x:v>
      </x:c>
      <x:c r="X226" s="155" t="n">
        <x:v>46265</x:v>
      </x:c>
      <x:c r="Y226" s="63" t="str">
        <x:v>https://www.majorprojects.alberta.ca/</x:v>
      </x:c>
    </x:row>
    <x:row r="227">
      <x:c r="A227" s="63" t="str">
        <x:v>ABMP_10604</x:v>
      </x:c>
      <x:c r="B227" s="63" t="str">
        <x:v>Jurassic Solar and Battery Storage</x:v>
      </x:c>
      <x:c r="C227" s="63" t="str">
        <x:v>Power Sector Infrastructure</x:v>
      </x:c>
      <x:c r="D227" s="63" t="str">
        <x:v>inferred</x:v>
      </x:c>
      <x:c r="E227" s="63" t="str">
        <x:v>Solar</x:v>
      </x:c>
      <x:c r="F227" s="63" t="str">
        <x:v>Power</x:v>
      </x:c>
      <x:c r="G227" s="63" t="str">
        <x:v>Northland Power</x:v>
      </x:c>
      <x:c r="H227" s="63" t="str">
        <x:v>Unresolved</x:v>
      </x:c>
      <x:c r="I227" s="63" t="str">
        <x:v>inferred</x:v>
      </x:c>
      <x:c r="J227" s="63" t="str">
        <x:v>Cypress County</x:v>
      </x:c>
      <x:c r="K227" s="63" t="str">
        <x:v>Under Construction</x:v>
      </x:c>
      <x:c r="L227" s="143" t="n">
        <x:v>500000000</x:v>
      </x:c>
      <x:c r="M227" s="179" t="n">
        <x:v>2025</x:v>
      </x:c>
      <x:c r="N227" s="179" t="n">
        <x:v>2028</x:v>
      </x:c>
      <x:c r="O227" s="63" t="str">
        <x:v>overlaps</x:v>
      </x:c>
      <x:c r="P227" s="63" t="str">
        <x:v>2027|2028</x:v>
      </x:c>
      <x:c r="Q227" s="143" t="n">
        <x:v>125000000</x:v>
      </x:c>
      <x:c r="R227" s="143" t="n">
        <x:v>250000000</x:v>
      </x:c>
      <x:c r="S227" s="154" t="n">
        <x:v>-111.116249</x:v>
      </x:c>
      <x:c r="T227" s="154" t="n">
        <x:v>50.663204</x:v>
      </x:c>
      <x:c r="U227" s="63" t="str">
        <x:v>reported</x:v>
      </x:c>
      <x:c r="V227" s="63" t="str">
        <x:v>ALBERTA_MAJOR_PROJECTS</x:v>
      </x:c>
      <x:c r="W227" s="63" t="str">
        <x:v>observed</x:v>
      </x:c>
      <x:c r="X227" s="155" t="n">
        <x:v>46265</x:v>
      </x:c>
      <x:c r="Y227" s="63" t="str">
        <x:v>https://www.majorprojects.alberta.ca/</x:v>
      </x:c>
    </x:row>
    <x:row r="228">
      <x:c r="A228" s="63" t="str">
        <x:v>ABMP_12191</x:v>
      </x:c>
      <x:c r="B228" s="63" t="str">
        <x:v>Kapisimotet Solar Capacity Project</x:v>
      </x:c>
      <x:c r="C228" s="63" t="str">
        <x:v>Power Sector Infrastructure</x:v>
      </x:c>
      <x:c r="D228" s="63" t="str">
        <x:v>inferred</x:v>
      </x:c>
      <x:c r="E228" s="63" t="str">
        <x:v>Solar</x:v>
      </x:c>
      <x:c r="F228" s="63" t="str">
        <x:v>Power</x:v>
      </x:c>
      <x:c r="G228" s="63" t="str">
        <x:v>Neyaskweyahk Group of Companies Inc.</x:v>
      </x:c>
      <x:c r="H228" s="63" t="str">
        <x:v>Unresolved</x:v>
      </x:c>
      <x:c r="I228" s="63" t="str">
        <x:v>inferred</x:v>
      </x:c>
      <x:c r="J228" s="63" t="str">
        <x:v>Ermineskin 138</x:v>
      </x:c>
      <x:c r="K228" s="63" t="str">
        <x:v>Proposed</x:v>
      </x:c>
      <x:c r="L228" s="143"/>
      <x:c r="M228" s="179"/>
      <x:c r="N228" s="179"/>
      <x:c r="O228" s="63" t="str">
        <x:v>indeterminate_incomplete_schedule</x:v>
      </x:c>
      <x:c r="P228" s="63" t="str"/>
      <x:c r="Q228" s="143"/>
      <x:c r="R228" s="143"/>
      <x:c r="S228" s="154" t="n">
        <x:v>-113.4457402648368</x:v>
      </x:c>
      <x:c r="T228" s="154" t="n">
        <x:v>52.842039852437345</x:v>
      </x:c>
      <x:c r="U228" s="63" t="str">
        <x:v>approximate</x:v>
      </x:c>
      <x:c r="V228" s="63" t="str">
        <x:v>ALBERTA_MAJOR_PROJECTS</x:v>
      </x:c>
      <x:c r="W228" s="63" t="str">
        <x:v>observed</x:v>
      </x:c>
      <x:c r="X228" s="155" t="n">
        <x:v>46265</x:v>
      </x:c>
      <x:c r="Y228" s="63" t="str">
        <x:v>https://www.majorprojects.alberta.ca/</x:v>
      </x:c>
    </x:row>
    <x:row r="229">
      <x:c r="A229" s="63" t="str">
        <x:v>ABMP_11743</x:v>
      </x:c>
      <x:c r="B229" s="63" t="str">
        <x:v>Killam (Old Bear) Solar Farm</x:v>
      </x:c>
      <x:c r="C229" s="63" t="str">
        <x:v>Power Sector Infrastructure</x:v>
      </x:c>
      <x:c r="D229" s="63" t="str">
        <x:v>inferred</x:v>
      </x:c>
      <x:c r="E229" s="63" t="str">
        <x:v>Solar</x:v>
      </x:c>
      <x:c r="F229" s="63" t="str">
        <x:v>Power</x:v>
      </x:c>
      <x:c r="G229" s="63" t="str">
        <x:v>PACE Canada Development LP</x:v>
      </x:c>
      <x:c r="H229" s="63" t="str">
        <x:v>Unresolved</x:v>
      </x:c>
      <x:c r="I229" s="63" t="str">
        <x:v>inferred</x:v>
      </x:c>
      <x:c r="J229" s="63" t="str">
        <x:v>Killam</x:v>
      </x:c>
      <x:c r="K229" s="63" t="str">
        <x:v>Proposed</x:v>
      </x:c>
      <x:c r="L229" s="143"/>
      <x:c r="M229" s="179"/>
      <x:c r="N229" s="179" t="n">
        <x:v>2028</x:v>
      </x:c>
      <x:c r="O229" s="63" t="str">
        <x:v>indeterminate_incomplete_schedule</x:v>
      </x:c>
      <x:c r="P229" s="63" t="str"/>
      <x:c r="Q229" s="143"/>
      <x:c r="R229" s="143"/>
      <x:c r="S229" s="154" t="n">
        <x:v>-111.861119</x:v>
      </x:c>
      <x:c r="T229" s="154" t="n">
        <x:v>52.794495</x:v>
      </x:c>
      <x:c r="U229" s="63" t="str">
        <x:v>approximate</x:v>
      </x:c>
      <x:c r="V229" s="63" t="str">
        <x:v>ALBERTA_MAJOR_PROJECTS</x:v>
      </x:c>
      <x:c r="W229" s="63" t="str">
        <x:v>observed</x:v>
      </x:c>
      <x:c r="X229" s="155" t="n">
        <x:v>46265</x:v>
      </x:c>
      <x:c r="Y229" s="63" t="str">
        <x:v>https://www.majorprojects.alberta.ca/</x:v>
      </x:c>
    </x:row>
    <x:row r="230">
      <x:c r="A230" s="63" t="str">
        <x:v>ABMP_11738</x:v>
      </x:c>
      <x:c r="B230" s="63" t="str">
        <x:v>Kneehill Solar Project Battery (Three Hills 770S DER Battery)</x:v>
      </x:c>
      <x:c r="C230" s="63" t="str">
        <x:v>Power Sector Infrastructure</x:v>
      </x:c>
      <x:c r="D230" s="63" t="str">
        <x:v>inferred</x:v>
      </x:c>
      <x:c r="E230" s="63" t="str">
        <x:v>Other Power</x:v>
      </x:c>
      <x:c r="F230" s="63" t="str">
        <x:v>Power</x:v>
      </x:c>
      <x:c r="G230" s="63" t="str">
        <x:v>Capstone Infrastructure</x:v>
      </x:c>
      <x:c r="H230" s="63" t="str">
        <x:v>Unresolved</x:v>
      </x:c>
      <x:c r="I230" s="63" t="str">
        <x:v>inferred</x:v>
      </x:c>
      <x:c r="J230" s="63" t="str">
        <x:v>Kneehill County</x:v>
      </x:c>
      <x:c r="K230" s="63" t="str">
        <x:v>Proposed</x:v>
      </x:c>
      <x:c r="L230" s="143"/>
      <x:c r="M230" s="179"/>
      <x:c r="N230" s="179" t="n">
        <x:v>2027</x:v>
      </x:c>
      <x:c r="O230" s="63" t="str">
        <x:v>indeterminate_incomplete_schedule</x:v>
      </x:c>
      <x:c r="P230" s="63" t="str"/>
      <x:c r="Q230" s="143"/>
      <x:c r="R230" s="143"/>
      <x:c r="S230" s="154" t="n">
        <x:v>-113.215914</x:v>
      </x:c>
      <x:c r="T230" s="154" t="n">
        <x:v>51.731659</x:v>
      </x:c>
      <x:c r="U230" s="63" t="str">
        <x:v>approximate</x:v>
      </x:c>
      <x:c r="V230" s="63" t="str">
        <x:v>ALBERTA_MAJOR_PROJECTS</x:v>
      </x:c>
      <x:c r="W230" s="63" t="str">
        <x:v>observed</x:v>
      </x:c>
      <x:c r="X230" s="155" t="n">
        <x:v>46265</x:v>
      </x:c>
      <x:c r="Y230" s="63" t="str">
        <x:v>https://www.majorprojects.alberta.ca/</x:v>
      </x:c>
    </x:row>
    <x:row r="231">
      <x:c r="A231" s="63" t="str">
        <x:v>ABMP_11592</x:v>
      </x:c>
      <x:c r="B231" s="63" t="str">
        <x:v>Little Smoky 1 (LS1) Solar Project</x:v>
      </x:c>
      <x:c r="C231" s="63" t="str">
        <x:v>Power Sector Infrastructure</x:v>
      </x:c>
      <x:c r="D231" s="63" t="str">
        <x:v>inferred</x:v>
      </x:c>
      <x:c r="E231" s="63" t="str">
        <x:v>Solar</x:v>
      </x:c>
      <x:c r="F231" s="63" t="str">
        <x:v>Power</x:v>
      </x:c>
      <x:c r="G231" s="63" t="str">
        <x:v>Northern Renewables</x:v>
      </x:c>
      <x:c r="H231" s="63" t="str">
        <x:v>Unresolved</x:v>
      </x:c>
      <x:c r="I231" s="63" t="str">
        <x:v>inferred</x:v>
      </x:c>
      <x:c r="J231" s="63" t="str">
        <x:v>Greenview No. 16</x:v>
      </x:c>
      <x:c r="K231" s="63" t="str">
        <x:v>Proposed</x:v>
      </x:c>
      <x:c r="L231" s="143"/>
      <x:c r="M231" s="179"/>
      <x:c r="N231" s="179" t="n">
        <x:v>2028</x:v>
      </x:c>
      <x:c r="O231" s="63" t="str">
        <x:v>indeterminate_incomplete_schedule</x:v>
      </x:c>
      <x:c r="P231" s="63" t="str"/>
      <x:c r="Q231" s="143"/>
      <x:c r="R231" s="143"/>
      <x:c r="S231" s="154" t="n">
        <x:v>-117.170812</x:v>
      </x:c>
      <x:c r="T231" s="154" t="n">
        <x:v>54.852152</x:v>
      </x:c>
      <x:c r="U231" s="63" t="str">
        <x:v>reported</x:v>
      </x:c>
      <x:c r="V231" s="63" t="str">
        <x:v>ALBERTA_MAJOR_PROJECTS</x:v>
      </x:c>
      <x:c r="W231" s="63" t="str">
        <x:v>observed</x:v>
      </x:c>
      <x:c r="X231" s="155" t="n">
        <x:v>46265</x:v>
      </x:c>
      <x:c r="Y231" s="63" t="str">
        <x:v>https://www.majorprojects.alberta.ca/</x:v>
      </x:c>
    </x:row>
    <x:row r="232">
      <x:c r="A232" s="63" t="str">
        <x:v>ABMP_10713</x:v>
      </x:c>
      <x:c r="B232" s="63" t="str">
        <x:v>Luna 2 Solar+ Project</x:v>
      </x:c>
      <x:c r="C232" s="63" t="str">
        <x:v>Power Sector Infrastructure</x:v>
      </x:c>
      <x:c r="D232" s="63" t="str">
        <x:v>inferred</x:v>
      </x:c>
      <x:c r="E232" s="63" t="str">
        <x:v>Solar</x:v>
      </x:c>
      <x:c r="F232" s="63" t="str">
        <x:v>Power</x:v>
      </x:c>
      <x:c r="G232" s="63" t="str">
        <x:v>Northland Power Luna II GP Inc.</x:v>
      </x:c>
      <x:c r="H232" s="63" t="str">
        <x:v>Unresolved</x:v>
      </x:c>
      <x:c r="I232" s="63" t="str">
        <x:v>inferred</x:v>
      </x:c>
      <x:c r="J232" s="63" t="str">
        <x:v>Newell County</x:v>
      </x:c>
      <x:c r="K232" s="63" t="str">
        <x:v>Proposed</x:v>
      </x:c>
      <x:c r="L232" s="143"/>
      <x:c r="M232" s="179"/>
      <x:c r="N232" s="179" t="n">
        <x:v>2029</x:v>
      </x:c>
      <x:c r="O232" s="63" t="str">
        <x:v>indeterminate_incomplete_schedule</x:v>
      </x:c>
      <x:c r="P232" s="63" t="str"/>
      <x:c r="Q232" s="143"/>
      <x:c r="R232" s="143"/>
      <x:c r="S232" s="154" t="n">
        <x:v>-112.24607</x:v>
      </x:c>
      <x:c r="T232" s="154" t="n">
        <x:v>50.582389</x:v>
      </x:c>
      <x:c r="U232" s="63" t="str">
        <x:v>approximate</x:v>
      </x:c>
      <x:c r="V232" s="63" t="str">
        <x:v>ALBERTA_MAJOR_PROJECTS</x:v>
      </x:c>
      <x:c r="W232" s="63" t="str">
        <x:v>observed</x:v>
      </x:c>
      <x:c r="X232" s="155" t="n">
        <x:v>46265</x:v>
      </x:c>
      <x:c r="Y232" s="63" t="str">
        <x:v>https://www.majorprojects.alberta.ca/</x:v>
      </x:c>
    </x:row>
    <x:row r="233">
      <x:c r="A233" s="63" t="str">
        <x:v>ABMP_11636</x:v>
      </x:c>
      <x:c r="B233" s="63" t="str">
        <x:v>MHS-11 Substation Medicine Hat</x:v>
      </x:c>
      <x:c r="C233" s="63" t="str">
        <x:v>Power Sector Infrastructure</x:v>
      </x:c>
      <x:c r="D233" s="63" t="str">
        <x:v>inferred</x:v>
      </x:c>
      <x:c r="E233" s="63" t="str">
        <x:v>Other Power</x:v>
      </x:c>
      <x:c r="F233" s="63" t="str">
        <x:v>Power</x:v>
      </x:c>
      <x:c r="G233" s="63" t="str">
        <x:v>City of Medicine Hat</x:v>
      </x:c>
      <x:c r="H233" s="63" t="str">
        <x:v>Government Or Public Institution Signal</x:v>
      </x:c>
      <x:c r="I233" s="63" t="str">
        <x:v>inferred</x:v>
      </x:c>
      <x:c r="J233" s="63" t="str">
        <x:v>Cypress County</x:v>
      </x:c>
      <x:c r="K233" s="63" t="str">
        <x:v>Proposed</x:v>
      </x:c>
      <x:c r="L233" s="143" t="n">
        <x:v>22000000</x:v>
      </x:c>
      <x:c r="M233" s="179"/>
      <x:c r="N233" s="179"/>
      <x:c r="O233" s="63" t="str">
        <x:v>indeterminate_incomplete_schedule</x:v>
      </x:c>
      <x:c r="P233" s="63" t="str"/>
      <x:c r="Q233" s="143"/>
      <x:c r="R233" s="143"/>
      <x:c r="S233" s="154" t="n">
        <x:v>-110.754504</x:v>
      </x:c>
      <x:c r="T233" s="154" t="n">
        <x:v>49.99765</x:v>
      </x:c>
      <x:c r="U233" s="63" t="str">
        <x:v>reported</x:v>
      </x:c>
      <x:c r="V233" s="63" t="str">
        <x:v>ALBERTA_MAJOR_PROJECTS</x:v>
      </x:c>
      <x:c r="W233" s="63" t="str">
        <x:v>observed</x:v>
      </x:c>
      <x:c r="X233" s="155" t="n">
        <x:v>46265</x:v>
      </x:c>
      <x:c r="Y233" s="63" t="str">
        <x:v>https://www.majorprojects.alberta.ca/</x:v>
      </x:c>
    </x:row>
    <x:row r="234">
      <x:c r="A234" s="63" t="str">
        <x:v>ABMP_12046</x:v>
      </x:c>
      <x:c r="B234" s="63" t="str">
        <x:v>Mannix Solar and Battery Project</x:v>
      </x:c>
      <x:c r="C234" s="63" t="str">
        <x:v>Power Sector Infrastructure</x:v>
      </x:c>
      <x:c r="D234" s="63" t="str">
        <x:v>inferred</x:v>
      </x:c>
      <x:c r="E234" s="63" t="str">
        <x:v>Solar</x:v>
      </x:c>
      <x:c r="F234" s="63" t="str">
        <x:v>Power</x:v>
      </x:c>
      <x:c r="G234" s="63" t="str">
        <x:v>PACE Canada Development LP</x:v>
      </x:c>
      <x:c r="H234" s="63" t="str">
        <x:v>Unresolved</x:v>
      </x:c>
      <x:c r="I234" s="63" t="str">
        <x:v>inferred</x:v>
      </x:c>
      <x:c r="J234" s="63" t="str">
        <x:v>Paintearth County No. 18</x:v>
      </x:c>
      <x:c r="K234" s="63" t="str">
        <x:v>Proposed</x:v>
      </x:c>
      <x:c r="L234" s="143"/>
      <x:c r="M234" s="179"/>
      <x:c r="N234" s="179" t="n">
        <x:v>2028</x:v>
      </x:c>
      <x:c r="O234" s="63" t="str">
        <x:v>indeterminate_incomplete_schedule</x:v>
      </x:c>
      <x:c r="P234" s="63" t="str"/>
      <x:c r="Q234" s="143"/>
      <x:c r="R234" s="143"/>
      <x:c r="S234" s="154" t="n">
        <x:v>-112.154827</x:v>
      </x:c>
      <x:c r="T234" s="154" t="n">
        <x:v>52.437344</x:v>
      </x:c>
      <x:c r="U234" s="63" t="str">
        <x:v>approximate</x:v>
      </x:c>
      <x:c r="V234" s="63" t="str">
        <x:v>ALBERTA_MAJOR_PROJECTS</x:v>
      </x:c>
      <x:c r="W234" s="63" t="str">
        <x:v>observed</x:v>
      </x:c>
      <x:c r="X234" s="155" t="n">
        <x:v>46265</x:v>
      </x:c>
      <x:c r="Y234" s="63" t="str">
        <x:v>https://www.majorprojects.alberta.ca/</x:v>
      </x:c>
    </x:row>
    <x:row r="235">
      <x:c r="A235" s="63" t="str">
        <x:v>ABMP_10922</x:v>
      </x:c>
      <x:c r="B235" s="63" t="str">
        <x:v>Marguerite Lake Compressed Air Energy Storage</x:v>
      </x:c>
      <x:c r="C235" s="63" t="str">
        <x:v>Power Sector Infrastructure</x:v>
      </x:c>
      <x:c r="D235" s="63" t="str">
        <x:v>inferred</x:v>
      </x:c>
      <x:c r="E235" s="63" t="str">
        <x:v>Other Power</x:v>
      </x:c>
      <x:c r="F235" s="63" t="str">
        <x:v>Power</x:v>
      </x:c>
      <x:c r="G235" s="63" t="str">
        <x:v>Federation Group</x:v>
      </x:c>
      <x:c r="H235" s="63" t="str">
        <x:v>Unresolved</x:v>
      </x:c>
      <x:c r="I235" s="63" t="str">
        <x:v>inferred</x:v>
      </x:c>
      <x:c r="J235" s="63" t="str">
        <x:v>Bonnyville No. 87</x:v>
      </x:c>
      <x:c r="K235" s="63" t="str">
        <x:v>Proposed</x:v>
      </x:c>
      <x:c r="L235" s="143" t="n">
        <x:v>500000000</x:v>
      </x:c>
      <x:c r="M235" s="179"/>
      <x:c r="N235" s="179" t="n">
        <x:v>2028</x:v>
      </x:c>
      <x:c r="O235" s="63" t="str">
        <x:v>indeterminate_incomplete_schedule</x:v>
      </x:c>
      <x:c r="P235" s="63" t="str"/>
      <x:c r="Q235" s="143"/>
      <x:c r="R235" s="143"/>
      <x:c r="S235" s="154" t="n">
        <x:v>-110.80399</x:v>
      </x:c>
      <x:c r="T235" s="154" t="n">
        <x:v>54.585707</x:v>
      </x:c>
      <x:c r="U235" s="63" t="str">
        <x:v>reported</x:v>
      </x:c>
      <x:c r="V235" s="63" t="str">
        <x:v>ALBERTA_MAJOR_PROJECTS</x:v>
      </x:c>
      <x:c r="W235" s="63" t="str">
        <x:v>observed</x:v>
      </x:c>
      <x:c r="X235" s="155" t="n">
        <x:v>46265</x:v>
      </x:c>
      <x:c r="Y235" s="63" t="str">
        <x:v>https://www.majorprojects.alberta.ca/</x:v>
      </x:c>
    </x:row>
    <x:row r="236">
      <x:c r="A236" s="63" t="str">
        <x:v>ABMP_11740</x:v>
      </x:c>
      <x:c r="B236" s="63" t="str">
        <x:v>Nighthawk Solar</x:v>
      </x:c>
      <x:c r="C236" s="63" t="str">
        <x:v>Power Sector Infrastructure</x:v>
      </x:c>
      <x:c r="D236" s="63" t="str">
        <x:v>inferred</x:v>
      </x:c>
      <x:c r="E236" s="63" t="str">
        <x:v>Solar</x:v>
      </x:c>
      <x:c r="F236" s="63" t="str">
        <x:v>Power</x:v>
      </x:c>
      <x:c r="G236" s="63" t="str">
        <x:v>Low Carbon - NU Energy Corp</x:v>
      </x:c>
      <x:c r="H236" s="63" t="str">
        <x:v>Unresolved</x:v>
      </x:c>
      <x:c r="I236" s="63" t="str">
        <x:v>inferred</x:v>
      </x:c>
      <x:c r="J236" s="63" t="str">
        <x:v>Lethbridge County</x:v>
      </x:c>
      <x:c r="K236" s="63" t="str">
        <x:v>Proposed</x:v>
      </x:c>
      <x:c r="L236" s="143"/>
      <x:c r="M236" s="179"/>
      <x:c r="N236" s="179" t="n">
        <x:v>2027</x:v>
      </x:c>
      <x:c r="O236" s="63" t="str">
        <x:v>indeterminate_incomplete_schedule</x:v>
      </x:c>
      <x:c r="P236" s="63" t="str"/>
      <x:c r="Q236" s="143"/>
      <x:c r="R236" s="143"/>
      <x:c r="S236" s="154" t="n">
        <x:v>-112.802982</x:v>
      </x:c>
      <x:c r="T236" s="154" t="n">
        <x:v>49.593919</x:v>
      </x:c>
      <x:c r="U236" s="63" t="str">
        <x:v>approximate</x:v>
      </x:c>
      <x:c r="V236" s="63" t="str">
        <x:v>ALBERTA_MAJOR_PROJECTS</x:v>
      </x:c>
      <x:c r="W236" s="63" t="str">
        <x:v>observed</x:v>
      </x:c>
      <x:c r="X236" s="155" t="n">
        <x:v>46265</x:v>
      </x:c>
      <x:c r="Y236" s="63" t="str">
        <x:v>https://www.majorprojects.alberta.ca/</x:v>
      </x:c>
    </x:row>
    <x:row r="237">
      <x:c r="A237" s="63" t="str">
        <x:v>ABMP_11126</x:v>
      </x:c>
      <x:c r="B237" s="63" t="str">
        <x:v>Nova Solar Project</x:v>
      </x:c>
      <x:c r="C237" s="63" t="str">
        <x:v>Power Sector Infrastructure</x:v>
      </x:c>
      <x:c r="D237" s="63" t="str">
        <x:v>inferred</x:v>
      </x:c>
      <x:c r="E237" s="63" t="str">
        <x:v>Solar</x:v>
      </x:c>
      <x:c r="F237" s="63" t="str">
        <x:v>Power</x:v>
      </x:c>
      <x:c r="G237" s="63" t="str">
        <x:v>Renewable Energy Systems Canada Inc.</x:v>
      </x:c>
      <x:c r="H237" s="63" t="str">
        <x:v>Unresolved</x:v>
      </x:c>
      <x:c r="I237" s="63" t="str">
        <x:v>inferred</x:v>
      </x:c>
      <x:c r="J237" s="63" t="str">
        <x:v>Wheatland County</x:v>
      </x:c>
      <x:c r="K237" s="63" t="str">
        <x:v>Proposed</x:v>
      </x:c>
      <x:c r="L237" s="143"/>
      <x:c r="M237" s="179"/>
      <x:c r="N237" s="179" t="n">
        <x:v>2027</x:v>
      </x:c>
      <x:c r="O237" s="63" t="str">
        <x:v>indeterminate_incomplete_schedule</x:v>
      </x:c>
      <x:c r="P237" s="63" t="str"/>
      <x:c r="Q237" s="143"/>
      <x:c r="R237" s="143"/>
      <x:c r="S237" s="154" t="n">
        <x:v>-113.525047</x:v>
      </x:c>
      <x:c r="T237" s="154" t="n">
        <x:v>50.840356</x:v>
      </x:c>
      <x:c r="U237" s="63" t="str">
        <x:v>reported</x:v>
      </x:c>
      <x:c r="V237" s="63" t="str">
        <x:v>ALBERTA_MAJOR_PROJECTS</x:v>
      </x:c>
      <x:c r="W237" s="63" t="str">
        <x:v>observed</x:v>
      </x:c>
      <x:c r="X237" s="155" t="n">
        <x:v>46265</x:v>
      </x:c>
      <x:c r="Y237" s="63" t="str">
        <x:v>https://www.majorprojects.alberta.ca/</x:v>
      </x:c>
    </x:row>
    <x:row r="238">
      <x:c r="A238" s="63" t="str">
        <x:v>ABMP_11479</x:v>
      </x:c>
      <x:c r="B238" s="63" t="str">
        <x:v>Owl River Solar Project (Phase 1 - 3)</x:v>
      </x:c>
      <x:c r="C238" s="63" t="str">
        <x:v>Power Sector Infrastructure</x:v>
      </x:c>
      <x:c r="D238" s="63" t="str">
        <x:v>inferred</x:v>
      </x:c>
      <x:c r="E238" s="63" t="str">
        <x:v>Solar</x:v>
      </x:c>
      <x:c r="F238" s="63" t="str">
        <x:v>Power</x:v>
      </x:c>
      <x:c r="G238" s="63" t="str">
        <x:v>The Owl River M�tis Community and Culture Pathway Development Corp.</x:v>
      </x:c>
      <x:c r="H238" s="63" t="str">
        <x:v>Unresolved</x:v>
      </x:c>
      <x:c r="I238" s="63" t="str">
        <x:v>inferred</x:v>
      </x:c>
      <x:c r="J238" s="63" t="str">
        <x:v>Lac la Biche County</x:v>
      </x:c>
      <x:c r="K238" s="63" t="str">
        <x:v>Proposed</x:v>
      </x:c>
      <x:c r="L238" s="143" t="n">
        <x:v>110000000</x:v>
      </x:c>
      <x:c r="M238" s="179" t="n">
        <x:v>2026</x:v>
      </x:c>
      <x:c r="N238" s="179"/>
      <x:c r="O238" s="63" t="str">
        <x:v>indeterminate_incomplete_schedule</x:v>
      </x:c>
      <x:c r="P238" s="63" t="str"/>
      <x:c r="Q238" s="143"/>
      <x:c r="R238" s="143"/>
      <x:c r="S238" s="154" t="n">
        <x:v>-111.888295</x:v>
      </x:c>
      <x:c r="T238" s="154" t="n">
        <x:v>54.900309</x:v>
      </x:c>
      <x:c r="U238" s="63" t="str">
        <x:v>approximate</x:v>
      </x:c>
      <x:c r="V238" s="63" t="str">
        <x:v>ALBERTA_MAJOR_PROJECTS</x:v>
      </x:c>
      <x:c r="W238" s="63" t="str">
        <x:v>observed</x:v>
      </x:c>
      <x:c r="X238" s="155" t="n">
        <x:v>46265</x:v>
      </x:c>
      <x:c r="Y238" s="63" t="str">
        <x:v>https://www.majorprojects.alberta.ca/</x:v>
      </x:c>
    </x:row>
    <x:row r="239">
      <x:c r="A239" s="63" t="str">
        <x:v>ABMP_11591</x:v>
      </x:c>
      <x:c r="B239" s="63" t="str">
        <x:v>Oyen Wind Power Project</x:v>
      </x:c>
      <x:c r="C239" s="63" t="str">
        <x:v>Power Sector Infrastructure</x:v>
      </x:c>
      <x:c r="D239" s="63" t="str">
        <x:v>inferred</x:v>
      </x:c>
      <x:c r="E239" s="63" t="str">
        <x:v>Wind</x:v>
      </x:c>
      <x:c r="F239" s="63" t="str">
        <x:v>Power</x:v>
      </x:c>
      <x:c r="G239" s="63" t="str">
        <x:v>Renewable Energy Systems Canada Inc.</x:v>
      </x:c>
      <x:c r="H239" s="63" t="str">
        <x:v>Unresolved</x:v>
      </x:c>
      <x:c r="I239" s="63" t="str">
        <x:v>inferred</x:v>
      </x:c>
      <x:c r="J239" s="63" t="str">
        <x:v>Special Area No. 3</x:v>
      </x:c>
      <x:c r="K239" s="63" t="str">
        <x:v>Proposed</x:v>
      </x:c>
      <x:c r="L239" s="143"/>
      <x:c r="M239" s="179"/>
      <x:c r="N239" s="179" t="n">
        <x:v>2027</x:v>
      </x:c>
      <x:c r="O239" s="63" t="str">
        <x:v>indeterminate_incomplete_schedule</x:v>
      </x:c>
      <x:c r="P239" s="63" t="str"/>
      <x:c r="Q239" s="143"/>
      <x:c r="R239" s="143"/>
      <x:c r="S239" s="154" t="n">
        <x:v>-110.46394</x:v>
      </x:c>
      <x:c r="T239" s="154" t="n">
        <x:v>51.29145</x:v>
      </x:c>
      <x:c r="U239" s="63" t="str">
        <x:v>approximate</x:v>
      </x:c>
      <x:c r="V239" s="63" t="str">
        <x:v>ALBERTA_MAJOR_PROJECTS</x:v>
      </x:c>
      <x:c r="W239" s="63" t="str">
        <x:v>observed</x:v>
      </x:c>
      <x:c r="X239" s="155" t="n">
        <x:v>46265</x:v>
      </x:c>
      <x:c r="Y239" s="63" t="str">
        <x:v>https://www.majorprojects.alberta.ca/</x:v>
      </x:c>
    </x:row>
    <x:row r="240">
      <x:c r="A240" s="63" t="str">
        <x:v>ABMP_649</x:v>
      </x:c>
      <x:c r="B240" s="63" t="str">
        <x:v>Peace Butte Wind Farm</x:v>
      </x:c>
      <x:c r="C240" s="63" t="str">
        <x:v>Power Sector Infrastructure</x:v>
      </x:c>
      <x:c r="D240" s="63" t="str">
        <x:v>inferred</x:v>
      </x:c>
      <x:c r="E240" s="63" t="str">
        <x:v>Wind</x:v>
      </x:c>
      <x:c r="F240" s="63" t="str">
        <x:v>Power</x:v>
      </x:c>
      <x:c r="G240" s="63" t="str">
        <x:v>Pteragen Canada Inc.</x:v>
      </x:c>
      <x:c r="H240" s="63" t="str">
        <x:v>Unresolved</x:v>
      </x:c>
      <x:c r="I240" s="63" t="str">
        <x:v>inferred</x:v>
      </x:c>
      <x:c r="J240" s="63" t="str">
        <x:v>Cypress County</x:v>
      </x:c>
      <x:c r="K240" s="63" t="str">
        <x:v>Under Construction</x:v>
      </x:c>
      <x:c r="L240" s="143"/>
      <x:c r="M240" s="179" t="n">
        <x:v>2025</x:v>
      </x:c>
      <x:c r="N240" s="179" t="n">
        <x:v>2026</x:v>
      </x:c>
      <x:c r="O240" s="63" t="str">
        <x:v>outside_window</x:v>
      </x:c>
      <x:c r="P240" s="63" t="str"/>
      <x:c r="Q240" s="143"/>
      <x:c r="R240" s="143"/>
      <x:c r="S240" s="154" t="n">
        <x:v>-110.745277</x:v>
      </x:c>
      <x:c r="T240" s="154" t="n">
        <x:v>49.810278</x:v>
      </x:c>
      <x:c r="U240" s="63" t="str">
        <x:v>approximate</x:v>
      </x:c>
      <x:c r="V240" s="63" t="str">
        <x:v>ALBERTA_MAJOR_PROJECTS</x:v>
      </x:c>
      <x:c r="W240" s="63" t="str">
        <x:v>observed</x:v>
      </x:c>
      <x:c r="X240" s="155" t="n">
        <x:v>46265</x:v>
      </x:c>
      <x:c r="Y240" s="63" t="str">
        <x:v>https://www.majorprojects.alberta.ca/</x:v>
      </x:c>
    </x:row>
    <x:row r="241">
      <x:c r="A241" s="63" t="str">
        <x:v>ABMP_11842</x:v>
      </x:c>
      <x:c r="B241" s="63" t="str">
        <x:v>Peace Regional Waste Management Company Waste to Energy Facility</x:v>
      </x:c>
      <x:c r="C241" s="63" t="str">
        <x:v>Power Sector Infrastructure</x:v>
      </x:c>
      <x:c r="D241" s="63" t="str">
        <x:v>inferred</x:v>
      </x:c>
      <x:c r="E241" s="63" t="str">
        <x:v>Other Power</x:v>
      </x:c>
      <x:c r="F241" s="63" t="str">
        <x:v>Power</x:v>
      </x:c>
      <x:c r="G241" s="63" t="str">
        <x:v>Peace Regional Waste Management Company</x:v>
      </x:c>
      <x:c r="H241" s="63" t="str">
        <x:v>Unresolved</x:v>
      </x:c>
      <x:c r="I241" s="63" t="str">
        <x:v>inferred</x:v>
      </x:c>
      <x:c r="J241" s="63" t="str">
        <x:v>Northern Sunrise County</x:v>
      </x:c>
      <x:c r="K241" s="63" t="str">
        <x:v>Proposed</x:v>
      </x:c>
      <x:c r="L241" s="143" t="n">
        <x:v>23000000</x:v>
      </x:c>
      <x:c r="M241" s="179"/>
      <x:c r="N241" s="179" t="n">
        <x:v>2027</x:v>
      </x:c>
      <x:c r="O241" s="63" t="str">
        <x:v>indeterminate_incomplete_schedule</x:v>
      </x:c>
      <x:c r="P241" s="63" t="str"/>
      <x:c r="Q241" s="143"/>
      <x:c r="R241" s="143"/>
      <x:c r="S241" s="154" t="n">
        <x:v>-117.048945</x:v>
      </x:c>
      <x:c r="T241" s="154" t="n">
        <x:v>56.249116</x:v>
      </x:c>
      <x:c r="U241" s="63" t="str">
        <x:v>reported</x:v>
      </x:c>
      <x:c r="V241" s="63" t="str">
        <x:v>ALBERTA_MAJOR_PROJECTS</x:v>
      </x:c>
      <x:c r="W241" s="63" t="str">
        <x:v>observed</x:v>
      </x:c>
      <x:c r="X241" s="155" t="n">
        <x:v>46265</x:v>
      </x:c>
      <x:c r="Y241" s="63" t="str">
        <x:v>https://www.majorprojects.alberta.ca/</x:v>
      </x:c>
    </x:row>
    <x:row r="242">
      <x:c r="A242" s="63" t="str">
        <x:v>ABMP_11630</x:v>
      </x:c>
      <x:c r="B242" s="63" t="str">
        <x:v>Peace River Nuclear Power Project</x:v>
      </x:c>
      <x:c r="C242" s="63" t="str">
        <x:v>Power Sector Infrastructure</x:v>
      </x:c>
      <x:c r="D242" s="63" t="str">
        <x:v>inferred</x:v>
      </x:c>
      <x:c r="E242" s="63" t="str">
        <x:v>Other Power</x:v>
      </x:c>
      <x:c r="F242" s="63" t="str">
        <x:v>Power</x:v>
      </x:c>
      <x:c r="G242" s="63" t="str">
        <x:v>Energy Alberta</x:v>
      </x:c>
      <x:c r="H242" s="63" t="str">
        <x:v>Unresolved</x:v>
      </x:c>
      <x:c r="I242" s="63" t="str">
        <x:v>inferred</x:v>
      </x:c>
      <x:c r="J242" s="63" t="str">
        <x:v>Northern Lights County</x:v>
      </x:c>
      <x:c r="K242" s="63" t="str">
        <x:v>Proposed</x:v>
      </x:c>
      <x:c r="L242" s="143" t="n">
        <x:v>50000000000</x:v>
      </x:c>
      <x:c r="M242" s="179" t="n">
        <x:v>2028</x:v>
      </x:c>
      <x:c r="N242" s="179"/>
      <x:c r="O242" s="63" t="str">
        <x:v>indeterminate_incomplete_schedule</x:v>
      </x:c>
      <x:c r="P242" s="63" t="str"/>
      <x:c r="Q242" s="143"/>
      <x:c r="R242" s="143"/>
      <x:c r="S242" s="154" t="n">
        <x:v>-117.195625</x:v>
      </x:c>
      <x:c r="T242" s="154" t="n">
        <x:v>56.474512</x:v>
      </x:c>
      <x:c r="U242" s="63" t="str">
        <x:v>approximate</x:v>
      </x:c>
      <x:c r="V242" s="63" t="str">
        <x:v>ALBERTA_MAJOR_PROJECTS</x:v>
      </x:c>
      <x:c r="W242" s="63" t="str">
        <x:v>observed</x:v>
      </x:c>
      <x:c r="X242" s="155" t="n">
        <x:v>46265</x:v>
      </x:c>
      <x:c r="Y242" s="63" t="str">
        <x:v>https://www.majorprojects.alberta.ca/</x:v>
      </x:c>
    </x:row>
    <x:row r="243">
      <x:c r="A243" s="63" t="str">
        <x:v>ABMP_11737</x:v>
      </x:c>
      <x:c r="B243" s="63" t="str">
        <x:v>Prairie Lights Power Gas Project</x:v>
      </x:c>
      <x:c r="C243" s="63" t="str">
        <x:v>Power Sector Infrastructure</x:v>
      </x:c>
      <x:c r="D243" s="63" t="str">
        <x:v>inferred</x:v>
      </x:c>
      <x:c r="E243" s="63" t="str">
        <x:v>Natural Gas</x:v>
      </x:c>
      <x:c r="F243" s="63" t="str">
        <x:v>Power</x:v>
      </x:c>
      <x:c r="G243" s="63" t="str">
        <x:v>MAXIM Power Corp.</x:v>
      </x:c>
      <x:c r="H243" s="63" t="str">
        <x:v>Unresolved</x:v>
      </x:c>
      <x:c r="I243" s="63" t="str">
        <x:v>inferred</x:v>
      </x:c>
      <x:c r="J243" s="63" t="str">
        <x:v>Greenview No. 16</x:v>
      </x:c>
      <x:c r="K243" s="63" t="str">
        <x:v>Proposed</x:v>
      </x:c>
      <x:c r="L243" s="143"/>
      <x:c r="M243" s="179"/>
      <x:c r="N243" s="179" t="n">
        <x:v>2028</x:v>
      </x:c>
      <x:c r="O243" s="63" t="str">
        <x:v>indeterminate_incomplete_schedule</x:v>
      </x:c>
      <x:c r="P243" s="63" t="str"/>
      <x:c r="Q243" s="143"/>
      <x:c r="R243" s="143"/>
      <x:c r="S243" s="154" t="n">
        <x:v>-118.784089</x:v>
      </x:c>
      <x:c r="T243" s="154" t="n">
        <x:v>54.847985</x:v>
      </x:c>
      <x:c r="U243" s="63" t="str">
        <x:v>approximate</x:v>
      </x:c>
      <x:c r="V243" s="63" t="str">
        <x:v>ALBERTA_MAJOR_PROJECTS</x:v>
      </x:c>
      <x:c r="W243" s="63" t="str">
        <x:v>observed</x:v>
      </x:c>
      <x:c r="X243" s="155" t="n">
        <x:v>46265</x:v>
      </x:c>
      <x:c r="Y243" s="63" t="str">
        <x:v>https://www.majorprojects.alberta.ca/</x:v>
      </x:c>
    </x:row>
    <x:row r="244">
      <x:c r="A244" s="63" t="str">
        <x:v>ABMP_11015</x:v>
      </x:c>
      <x:c r="B244" s="63" t="str">
        <x:v>Proteus Alberta Solar 1, 2 &amp; 3</x:v>
      </x:c>
      <x:c r="C244" s="63" t="str">
        <x:v>Power Sector Infrastructure</x:v>
      </x:c>
      <x:c r="D244" s="63" t="str">
        <x:v>inferred</x:v>
      </x:c>
      <x:c r="E244" s="63" t="str">
        <x:v>Solar</x:v>
      </x:c>
      <x:c r="F244" s="63" t="str">
        <x:v>Power</x:v>
      </x:c>
      <x:c r="G244" s="63" t="str">
        <x:v>Proteus Power</x:v>
      </x:c>
      <x:c r="H244" s="63" t="str">
        <x:v>Unresolved</x:v>
      </x:c>
      <x:c r="I244" s="63" t="str">
        <x:v>inferred</x:v>
      </x:c>
      <x:c r="J244" s="63" t="str">
        <x:v>Taber, M.D.</x:v>
      </x:c>
      <x:c r="K244" s="63" t="str">
        <x:v>Proposed</x:v>
      </x:c>
      <x:c r="L244" s="143"/>
      <x:c r="M244" s="179" t="n">
        <x:v>2026</x:v>
      </x:c>
      <x:c r="N244" s="179" t="n">
        <x:v>2027</x:v>
      </x:c>
      <x:c r="O244" s="63" t="str">
        <x:v>overlaps</x:v>
      </x:c>
      <x:c r="P244" s="63" t="str">
        <x:v>2027</x:v>
      </x:c>
      <x:c r="Q244" s="143"/>
      <x:c r="R244" s="143"/>
      <x:c r="S244" s="154" t="n">
        <x:v>-111.783915</x:v>
      </x:c>
      <x:c r="T244" s="154" t="n">
        <x:v>50.045284</x:v>
      </x:c>
      <x:c r="U244" s="63" t="str">
        <x:v>approximate</x:v>
      </x:c>
      <x:c r="V244" s="63" t="str">
        <x:v>ALBERTA_MAJOR_PROJECTS</x:v>
      </x:c>
      <x:c r="W244" s="63" t="str">
        <x:v>observed</x:v>
      </x:c>
      <x:c r="X244" s="155" t="n">
        <x:v>46265</x:v>
      </x:c>
      <x:c r="Y244" s="63" t="str">
        <x:v>https://www.majorprojects.alberta.ca/</x:v>
      </x:c>
    </x:row>
    <x:row r="245">
      <x:c r="A245" s="63" t="str">
        <x:v>ABMP_4467</x:v>
      </x:c>
      <x:c r="B245" s="63" t="str">
        <x:v>Provost to Edgerton and Nilrem to Vermilion (PENV) Transmission Development</x:v>
      </x:c>
      <x:c r="C245" s="63" t="str">
        <x:v>Power Sector Infrastructure</x:v>
      </x:c>
      <x:c r="D245" s="63" t="str">
        <x:v>inferred</x:v>
      </x:c>
      <x:c r="E245" s="63" t="str">
        <x:v>Power Distribution</x:v>
      </x:c>
      <x:c r="F245" s="63" t="str">
        <x:v>Power</x:v>
      </x:c>
      <x:c r="G245" s="63" t="str">
        <x:v>AltaLink</x:v>
      </x:c>
      <x:c r="H245" s="63" t="str">
        <x:v>Unresolved</x:v>
      </x:c>
      <x:c r="I245" s="63" t="str">
        <x:v>inferred</x:v>
      </x:c>
      <x:c r="J245" s="63" t="str">
        <x:v>Flagstaff County|Minburn County No. 27|Provost No. 52|Vermilion River County|Wainwright No. 61</x:v>
      </x:c>
      <x:c r="K245" s="63" t="str">
        <x:v>Proposed</x:v>
      </x:c>
      <x:c r="L245" s="143" t="n">
        <x:v>241000000</x:v>
      </x:c>
      <x:c r="M245" s="179"/>
      <x:c r="N245" s="179"/>
      <x:c r="O245" s="63" t="str">
        <x:v>indeterminate_incomplete_schedule</x:v>
      </x:c>
      <x:c r="P245" s="63" t="str"/>
      <x:c r="Q245" s="143"/>
      <x:c r="R245" s="143"/>
      <x:c r="S245" s="154"/>
      <x:c r="T245" s="154"/>
      <x:c r="U245" s="63" t="str">
        <x:v>approximate</x:v>
      </x:c>
      <x:c r="V245" s="63" t="str">
        <x:v>ALBERTA_MAJOR_PROJECTS</x:v>
      </x:c>
      <x:c r="W245" s="63" t="str">
        <x:v>observed</x:v>
      </x:c>
      <x:c r="X245" s="155" t="n">
        <x:v>46265</x:v>
      </x:c>
      <x:c r="Y245" s="63" t="str">
        <x:v>https://www.majorprojects.alberta.ca/</x:v>
      </x:c>
    </x:row>
    <x:row r="246">
      <x:c r="A246" s="63" t="str">
        <x:v>ABMP_10923</x:v>
      </x:c>
      <x:c r="B246" s="63" t="str">
        <x:v>Red Willow Solar</x:v>
      </x:c>
      <x:c r="C246" s="63" t="str">
        <x:v>Power Sector Infrastructure</x:v>
      </x:c>
      <x:c r="D246" s="63" t="str">
        <x:v>inferred</x:v>
      </x:c>
      <x:c r="E246" s="63" t="str">
        <x:v>Solar</x:v>
      </x:c>
      <x:c r="F246" s="63" t="str">
        <x:v>Power</x:v>
      </x:c>
      <x:c r="G246" s="63" t="str">
        <x:v>Westbridge Renewable Energy Corporation</x:v>
      </x:c>
      <x:c r="H246" s="63" t="str">
        <x:v>Unresolved</x:v>
      </x:c>
      <x:c r="I246" s="63" t="str">
        <x:v>inferred</x:v>
      </x:c>
      <x:c r="J246" s="63" t="str">
        <x:v>Stettler County No. 6</x:v>
      </x:c>
      <x:c r="K246" s="63" t="str">
        <x:v>Proposed</x:v>
      </x:c>
      <x:c r="L246" s="143" t="n">
        <x:v>315000000</x:v>
      </x:c>
      <x:c r="M246" s="179"/>
      <x:c r="N246" s="179" t="n">
        <x:v>2028</x:v>
      </x:c>
      <x:c r="O246" s="63" t="str">
        <x:v>indeterminate_incomplete_schedule</x:v>
      </x:c>
      <x:c r="P246" s="63" t="str"/>
      <x:c r="Q246" s="143"/>
      <x:c r="R246" s="143"/>
      <x:c r="S246" s="154" t="n">
        <x:v>-112.4617</x:v>
      </x:c>
      <x:c r="T246" s="154" t="n">
        <x:v>52.411522</x:v>
      </x:c>
      <x:c r="U246" s="63" t="str">
        <x:v>reported</x:v>
      </x:c>
      <x:c r="V246" s="63" t="str">
        <x:v>ALBERTA_MAJOR_PROJECTS</x:v>
      </x:c>
      <x:c r="W246" s="63" t="str">
        <x:v>observed</x:v>
      </x:c>
      <x:c r="X246" s="155" t="n">
        <x:v>46265</x:v>
      </x:c>
      <x:c r="Y246" s="63" t="str">
        <x:v>https://www.majorprojects.alberta.ca/</x:v>
      </x:c>
    </x:row>
    <x:row r="247">
      <x:c r="A247" s="63" t="str">
        <x:v>ABMP_7521</x:v>
      </x:c>
      <x:c r="B247" s="63" t="str">
        <x:v>Rocktree Solar Project (Stony Plain 434S DER Solar)</x:v>
      </x:c>
      <x:c r="C247" s="63" t="str">
        <x:v>Power Sector Infrastructure</x:v>
      </x:c>
      <x:c r="D247" s="63" t="str">
        <x:v>inferred</x:v>
      </x:c>
      <x:c r="E247" s="63" t="str">
        <x:v>Solar</x:v>
      </x:c>
      <x:c r="F247" s="63" t="str">
        <x:v>Power</x:v>
      </x:c>
      <x:c r="G247" s="63" t="str">
        <x:v>Voltarix Group</x:v>
      </x:c>
      <x:c r="H247" s="63" t="str">
        <x:v>Unresolved</x:v>
      </x:c>
      <x:c r="I247" s="63" t="str">
        <x:v>inferred</x:v>
      </x:c>
      <x:c r="J247" s="63" t="str">
        <x:v>Parkland County</x:v>
      </x:c>
      <x:c r="K247" s="63" t="str">
        <x:v>Proposed</x:v>
      </x:c>
      <x:c r="L247" s="143" t="n">
        <x:v>40000000</x:v>
      </x:c>
      <x:c r="M247" s="179"/>
      <x:c r="N247" s="179" t="n">
        <x:v>2026</x:v>
      </x:c>
      <x:c r="O247" s="63" t="str">
        <x:v>outside_window</x:v>
      </x:c>
      <x:c r="P247" s="63" t="str"/>
      <x:c r="Q247" s="143"/>
      <x:c r="R247" s="143"/>
      <x:c r="S247" s="154" t="n">
        <x:v>-113.912081</x:v>
      </x:c>
      <x:c r="T247" s="154" t="n">
        <x:v>53.515088</x:v>
      </x:c>
      <x:c r="U247" s="63" t="str">
        <x:v>reported</x:v>
      </x:c>
      <x:c r="V247" s="63" t="str">
        <x:v>ALBERTA_MAJOR_PROJECTS</x:v>
      </x:c>
      <x:c r="W247" s="63" t="str">
        <x:v>observed</x:v>
      </x:c>
      <x:c r="X247" s="155" t="n">
        <x:v>46265</x:v>
      </x:c>
      <x:c r="Y247" s="63" t="str">
        <x:v>https://www.majorprojects.alberta.ca/</x:v>
      </x:c>
    </x:row>
    <x:row r="248">
      <x:c r="A248" s="63" t="str">
        <x:v>ABMP_5533</x:v>
      </x:c>
      <x:c r="B248" s="63" t="str">
        <x:v>Saamis Solar Farm</x:v>
      </x:c>
      <x:c r="C248" s="63" t="str">
        <x:v>Power Sector Infrastructure</x:v>
      </x:c>
      <x:c r="D248" s="63" t="str">
        <x:v>inferred</x:v>
      </x:c>
      <x:c r="E248" s="63" t="str">
        <x:v>Solar</x:v>
      </x:c>
      <x:c r="F248" s="63" t="str">
        <x:v>Power</x:v>
      </x:c>
      <x:c r="G248" s="63" t="str">
        <x:v>City of Medicine Hat</x:v>
      </x:c>
      <x:c r="H248" s="63" t="str">
        <x:v>Government Or Public Institution Signal</x:v>
      </x:c>
      <x:c r="I248" s="63" t="str">
        <x:v>inferred</x:v>
      </x:c>
      <x:c r="J248" s="63" t="str">
        <x:v>Medicine Hat</x:v>
      </x:c>
      <x:c r="K248" s="63" t="str">
        <x:v>Proposed</x:v>
      </x:c>
      <x:c r="L248" s="143" t="n">
        <x:v>131500000</x:v>
      </x:c>
      <x:c r="M248" s="179"/>
      <x:c r="N248" s="179"/>
      <x:c r="O248" s="63" t="str">
        <x:v>indeterminate_incomplete_schedule</x:v>
      </x:c>
      <x:c r="P248" s="63" t="str"/>
      <x:c r="Q248" s="143"/>
      <x:c r="R248" s="143"/>
      <x:c r="S248" s="154" t="n">
        <x:v>-110.70734</x:v>
      </x:c>
      <x:c r="T248" s="154" t="n">
        <x:v>50.070674</x:v>
      </x:c>
      <x:c r="U248" s="63" t="str">
        <x:v>approximate</x:v>
      </x:c>
      <x:c r="V248" s="63" t="str">
        <x:v>ALBERTA_MAJOR_PROJECTS</x:v>
      </x:c>
      <x:c r="W248" s="63" t="str">
        <x:v>observed</x:v>
      </x:c>
      <x:c r="X248" s="155" t="n">
        <x:v>46265</x:v>
      </x:c>
      <x:c r="Y248" s="63" t="str">
        <x:v>https://www.majorprojects.alberta.ca/</x:v>
      </x:c>
    </x:row>
    <x:row r="249">
      <x:c r="A249" s="63" t="str">
        <x:v>ABMP_11739</x:v>
      </x:c>
      <x:c r="B249" s="63" t="str">
        <x:v>Spirit River Power Plant Project (Mowat 2033S DER Gas)</x:v>
      </x:c>
      <x:c r="C249" s="63" t="str">
        <x:v>Power Sector Infrastructure</x:v>
      </x:c>
      <x:c r="D249" s="63" t="str">
        <x:v>inferred</x:v>
      </x:c>
      <x:c r="E249" s="63" t="str">
        <x:v>Natural Gas</x:v>
      </x:c>
      <x:c r="F249" s="63" t="str">
        <x:v>Power</x:v>
      </x:c>
      <x:c r="G249" s="63" t="str">
        <x:v>Epiphany Power Corporation</x:v>
      </x:c>
      <x:c r="H249" s="63" t="str">
        <x:v>Unresolved</x:v>
      </x:c>
      <x:c r="I249" s="63" t="str">
        <x:v>inferred</x:v>
      </x:c>
      <x:c r="J249" s="63" t="str">
        <x:v>Saddle Hills County</x:v>
      </x:c>
      <x:c r="K249" s="63" t="str">
        <x:v>Proposed</x:v>
      </x:c>
      <x:c r="L249" s="143"/>
      <x:c r="M249" s="179"/>
      <x:c r="N249" s="179" t="n">
        <x:v>2028</x:v>
      </x:c>
      <x:c r="O249" s="63" t="str">
        <x:v>indeterminate_incomplete_schedule</x:v>
      </x:c>
      <x:c r="P249" s="63" t="str"/>
      <x:c r="Q249" s="143"/>
      <x:c r="R249" s="143"/>
      <x:c r="S249" s="154" t="n">
        <x:v>-119.004121</x:v>
      </x:c>
      <x:c r="T249" s="154" t="n">
        <x:v>55.654467</x:v>
      </x:c>
      <x:c r="U249" s="63" t="str">
        <x:v>reported</x:v>
      </x:c>
      <x:c r="V249" s="63" t="str">
        <x:v>ALBERTA_MAJOR_PROJECTS</x:v>
      </x:c>
      <x:c r="W249" s="63" t="str">
        <x:v>observed</x:v>
      </x:c>
      <x:c r="X249" s="155" t="n">
        <x:v>46265</x:v>
      </x:c>
      <x:c r="Y249" s="63" t="str">
        <x:v>https://www.majorprojects.alberta.ca/</x:v>
      </x:c>
    </x:row>
    <x:row r="250">
      <x:c r="A250" s="63" t="str">
        <x:v>ABMP_11726</x:v>
      </x:c>
      <x:c r="B250" s="63" t="str">
        <x:v>Sturgeon Battery Energy Storage System</x:v>
      </x:c>
      <x:c r="C250" s="63" t="str">
        <x:v>Power Sector Infrastructure</x:v>
      </x:c>
      <x:c r="D250" s="63" t="str">
        <x:v>inferred</x:v>
      </x:c>
      <x:c r="E250" s="63" t="str">
        <x:v>Other Power</x:v>
      </x:c>
      <x:c r="F250" s="63" t="str">
        <x:v>Power</x:v>
      </x:c>
      <x:c r="G250" s="63" t="str">
        <x:v>TERIC Power Ltd.</x:v>
      </x:c>
      <x:c r="H250" s="63" t="str">
        <x:v>Unresolved</x:v>
      </x:c>
      <x:c r="I250" s="63" t="str">
        <x:v>inferred</x:v>
      </x:c>
      <x:c r="J250" s="63" t="str">
        <x:v>Greenview No. 16</x:v>
      </x:c>
      <x:c r="K250" s="63" t="str">
        <x:v>Proposed</x:v>
      </x:c>
      <x:c r="L250" s="143"/>
      <x:c r="M250" s="179"/>
      <x:c r="N250" s="179" t="n">
        <x:v>2027</x:v>
      </x:c>
      <x:c r="O250" s="63" t="str">
        <x:v>indeterminate_incomplete_schedule</x:v>
      </x:c>
      <x:c r="P250" s="63" t="str"/>
      <x:c r="Q250" s="143"/>
      <x:c r="R250" s="143"/>
      <x:c r="S250" s="154" t="n">
        <x:v>-117.369003</x:v>
      </x:c>
      <x:c r="T250" s="154" t="n">
        <x:v>54.917594</x:v>
      </x:c>
      <x:c r="U250" s="63" t="str">
        <x:v>approximate</x:v>
      </x:c>
      <x:c r="V250" s="63" t="str">
        <x:v>ALBERTA_MAJOR_PROJECTS</x:v>
      </x:c>
      <x:c r="W250" s="63" t="str">
        <x:v>observed</x:v>
      </x:c>
      <x:c r="X250" s="155" t="n">
        <x:v>46265</x:v>
      </x:c>
      <x:c r="Y250" s="63" t="str">
        <x:v>https://www.majorprojects.alberta.ca/</x:v>
      </x:c>
    </x:row>
    <x:row r="251">
      <x:c r="A251" s="63" t="str">
        <x:v>ABMP_12190</x:v>
      </x:c>
      <x:c r="B251" s="63" t="str">
        <x:v>SunRISE Horizon Solar Project</x:v>
      </x:c>
      <x:c r="C251" s="63" t="str">
        <x:v>Power Sector Infrastructure</x:v>
      </x:c>
      <x:c r="D251" s="63" t="str">
        <x:v>inferred</x:v>
      </x:c>
      <x:c r="E251" s="63" t="str">
        <x:v>Solar</x:v>
      </x:c>
      <x:c r="F251" s="63" t="str">
        <x:v>Power</x:v>
      </x:c>
      <x:c r="G251" s="63" t="str">
        <x:v>Clean Communities Corp.</x:v>
      </x:c>
      <x:c r="H251" s="63" t="str">
        <x:v>Unresolved</x:v>
      </x:c>
      <x:c r="I251" s="63" t="str">
        <x:v>inferred</x:v>
      </x:c>
      <x:c r="J251" s="63" t="str">
        <x:v>Cardston County</x:v>
      </x:c>
      <x:c r="K251" s="63" t="str">
        <x:v>Proposed</x:v>
      </x:c>
      <x:c r="L251" s="143"/>
      <x:c r="M251" s="179"/>
      <x:c r="N251" s="179"/>
      <x:c r="O251" s="63" t="str">
        <x:v>indeterminate_incomplete_schedule</x:v>
      </x:c>
      <x:c r="P251" s="63" t="str"/>
      <x:c r="Q251" s="143"/>
      <x:c r="R251" s="143"/>
      <x:c r="S251" s="154" t="n">
        <x:v>-113.0098964935668</x:v>
      </x:c>
      <x:c r="T251" s="154" t="n">
        <x:v>49.08679130051309</x:v>
      </x:c>
      <x:c r="U251" s="63" t="str">
        <x:v>approximate</x:v>
      </x:c>
      <x:c r="V251" s="63" t="str">
        <x:v>ALBERTA_MAJOR_PROJECTS</x:v>
      </x:c>
      <x:c r="W251" s="63" t="str">
        <x:v>observed</x:v>
      </x:c>
      <x:c r="X251" s="155" t="n">
        <x:v>46265</x:v>
      </x:c>
      <x:c r="Y251" s="63" t="str">
        <x:v>https://www.majorprojects.alberta.ca/</x:v>
      </x:c>
    </x:row>
    <x:row r="252">
      <x:c r="A252" s="63" t="str">
        <x:v>ABMP_10924</x:v>
      </x:c>
      <x:c r="B252" s="63" t="str">
        <x:v>Sunnynook Solar Project</x:v>
      </x:c>
      <x:c r="C252" s="63" t="str">
        <x:v>Power Sector Infrastructure</x:v>
      </x:c>
      <x:c r="D252" s="63" t="str">
        <x:v>inferred</x:v>
      </x:c>
      <x:c r="E252" s="63" t="str">
        <x:v>Solar</x:v>
      </x:c>
      <x:c r="F252" s="63" t="str">
        <x:v>Power</x:v>
      </x:c>
      <x:c r="G252" s="63" t="str">
        <x:v>ASCENT Energy Partners Ltd.</x:v>
      </x:c>
      <x:c r="H252" s="63" t="str">
        <x:v>Unresolved</x:v>
      </x:c>
      <x:c r="I252" s="63" t="str">
        <x:v>inferred</x:v>
      </x:c>
      <x:c r="J252" s="63" t="str">
        <x:v>Special Area No. 2</x:v>
      </x:c>
      <x:c r="K252" s="63" t="str">
        <x:v>Proposed</x:v>
      </x:c>
      <x:c r="L252" s="143"/>
      <x:c r="M252" s="179"/>
      <x:c r="N252" s="179" t="n">
        <x:v>2027</x:v>
      </x:c>
      <x:c r="O252" s="63" t="str">
        <x:v>indeterminate_incomplete_schedule</x:v>
      </x:c>
      <x:c r="P252" s="63" t="str"/>
      <x:c r="Q252" s="143"/>
      <x:c r="R252" s="143"/>
      <x:c r="S252" s="154" t="n">
        <x:v>-111.557846</x:v>
      </x:c>
      <x:c r="T252" s="154" t="n">
        <x:v>51.325481</x:v>
      </x:c>
      <x:c r="U252" s="63" t="str">
        <x:v>reported</x:v>
      </x:c>
      <x:c r="V252" s="63" t="str">
        <x:v>ALBERTA_MAJOR_PROJECTS</x:v>
      </x:c>
      <x:c r="W252" s="63" t="str">
        <x:v>observed</x:v>
      </x:c>
      <x:c r="X252" s="155" t="n">
        <x:v>46265</x:v>
      </x:c>
      <x:c r="Y252" s="63" t="str">
        <x:v>https://www.majorprojects.alberta.ca/</x:v>
      </x:c>
    </x:row>
    <x:row r="253">
      <x:c r="A253" s="63" t="str">
        <x:v>ABMP_12048</x:v>
      </x:c>
      <x:c r="B253" s="63" t="str">
        <x:v>Sweetgrass MPC Solar and Battery Project</x:v>
      </x:c>
      <x:c r="C253" s="63" t="str">
        <x:v>Power Sector Infrastructure</x:v>
      </x:c>
      <x:c r="D253" s="63" t="str">
        <x:v>inferred</x:v>
      </x:c>
      <x:c r="E253" s="63" t="str">
        <x:v>Solar</x:v>
      </x:c>
      <x:c r="F253" s="63" t="str">
        <x:v>Power</x:v>
      </x:c>
      <x:c r="G253" s="63" t="str">
        <x:v>Neoen Renewables</x:v>
      </x:c>
      <x:c r="H253" s="63" t="str">
        <x:v>Unresolved</x:v>
      </x:c>
      <x:c r="I253" s="63" t="str">
        <x:v>inferred</x:v>
      </x:c>
      <x:c r="J253" s="63" t="str">
        <x:v>Willow Creek No. 26</x:v>
      </x:c>
      <x:c r="K253" s="63" t="str">
        <x:v>Proposed</x:v>
      </x:c>
      <x:c r="L253" s="143"/>
      <x:c r="M253" s="179"/>
      <x:c r="N253" s="179" t="n">
        <x:v>2028</x:v>
      </x:c>
      <x:c r="O253" s="63" t="str">
        <x:v>indeterminate_incomplete_schedule</x:v>
      </x:c>
      <x:c r="P253" s="63" t="str"/>
      <x:c r="Q253" s="143"/>
      <x:c r="R253" s="143"/>
      <x:c r="S253" s="154" t="n">
        <x:v>-113.409157</x:v>
      </x:c>
      <x:c r="T253" s="154" t="n">
        <x:v>49.856928</x:v>
      </x:c>
      <x:c r="U253" s="63" t="str">
        <x:v>approximate</x:v>
      </x:c>
      <x:c r="V253" s="63" t="str">
        <x:v>ALBERTA_MAJOR_PROJECTS</x:v>
      </x:c>
      <x:c r="W253" s="63" t="str">
        <x:v>observed</x:v>
      </x:c>
      <x:c r="X253" s="155" t="n">
        <x:v>46265</x:v>
      </x:c>
      <x:c r="Y253" s="63" t="str">
        <x:v>https://www.majorprojects.alberta.ca/</x:v>
      </x:c>
    </x:row>
    <x:row r="254">
      <x:c r="A254" s="63" t="str">
        <x:v>ABMP_11417</x:v>
      </x:c>
      <x:c r="B254" s="63" t="str">
        <x:v>The Moraine Power Generation Project</x:v>
      </x:c>
      <x:c r="C254" s="63" t="str">
        <x:v>Power Sector Infrastructure</x:v>
      </x:c>
      <x:c r="D254" s="63" t="str">
        <x:v>inferred</x:v>
      </x:c>
      <x:c r="E254" s="63" t="str">
        <x:v>Natural Gas</x:v>
      </x:c>
      <x:c r="F254" s="63" t="str">
        <x:v>Power</x:v>
      </x:c>
      <x:c r="G254" s="63" t="str">
        <x:v>GE Vernova</x:v>
      </x:c>
      <x:c r="H254" s="63" t="str">
        <x:v>Unresolved</x:v>
      </x:c>
      <x:c r="I254" s="63" t="str">
        <x:v>inferred</x:v>
      </x:c>
      <x:c r="J254" s="63" t="str">
        <x:v>Woodlands County</x:v>
      </x:c>
      <x:c r="K254" s="63" t="str">
        <x:v>Proposed</x:v>
      </x:c>
      <x:c r="L254" s="143"/>
      <x:c r="M254" s="179"/>
      <x:c r="N254" s="179" t="n">
        <x:v>2028</x:v>
      </x:c>
      <x:c r="O254" s="63" t="str">
        <x:v>indeterminate_incomplete_schedule</x:v>
      </x:c>
      <x:c r="P254" s="63" t="str"/>
      <x:c r="Q254" s="143"/>
      <x:c r="R254" s="143"/>
      <x:c r="S254" s="154" t="n">
        <x:v>-115.801821</x:v>
      </x:c>
      <x:c r="T254" s="154" t="n">
        <x:v>54.184402</x:v>
      </x:c>
      <x:c r="U254" s="63" t="str">
        <x:v>reported</x:v>
      </x:c>
      <x:c r="V254" s="63" t="str">
        <x:v>ALBERTA_MAJOR_PROJECTS</x:v>
      </x:c>
      <x:c r="W254" s="63" t="str">
        <x:v>observed</x:v>
      </x:c>
      <x:c r="X254" s="155" t="n">
        <x:v>46265</x:v>
      </x:c>
      <x:c r="Y254" s="63" t="str">
        <x:v>https://www.majorprojects.alberta.ca/</x:v>
      </x:c>
    </x:row>
    <x:row r="255">
      <x:c r="A255" s="63" t="str">
        <x:v>ABMP_11742</x:v>
      </x:c>
      <x:c r="B255" s="63" t="str">
        <x:v>Three Hills Solar Project</x:v>
      </x:c>
      <x:c r="C255" s="63" t="str">
        <x:v>Power Sector Infrastructure</x:v>
      </x:c>
      <x:c r="D255" s="63" t="str">
        <x:v>inferred</x:v>
      </x:c>
      <x:c r="E255" s="63" t="str">
        <x:v>Solar</x:v>
      </x:c>
      <x:c r="F255" s="63" t="str">
        <x:v>Power</x:v>
      </x:c>
      <x:c r="G255" s="63" t="str">
        <x:v>Three Hills Solar Power Corp.</x:v>
      </x:c>
      <x:c r="H255" s="63" t="str">
        <x:v>Unresolved</x:v>
      </x:c>
      <x:c r="I255" s="63" t="str">
        <x:v>inferred</x:v>
      </x:c>
      <x:c r="J255" s="63" t="str">
        <x:v>Kneehill County</x:v>
      </x:c>
      <x:c r="K255" s="63" t="str">
        <x:v>Proposed</x:v>
      </x:c>
      <x:c r="L255" s="143"/>
      <x:c r="M255" s="179"/>
      <x:c r="N255" s="179" t="n">
        <x:v>2027</x:v>
      </x:c>
      <x:c r="O255" s="63" t="str">
        <x:v>indeterminate_incomplete_schedule</x:v>
      </x:c>
      <x:c r="P255" s="63" t="str"/>
      <x:c r="Q255" s="143"/>
      <x:c r="R255" s="143"/>
      <x:c r="S255" s="154" t="n">
        <x:v>-113.227801</x:v>
      </x:c>
      <x:c r="T255" s="154" t="n">
        <x:v>51.733815</x:v>
      </x:c>
      <x:c r="U255" s="63" t="str">
        <x:v>approximate</x:v>
      </x:c>
      <x:c r="V255" s="63" t="str">
        <x:v>ALBERTA_MAJOR_PROJECTS</x:v>
      </x:c>
      <x:c r="W255" s="63" t="str">
        <x:v>observed</x:v>
      </x:c>
      <x:c r="X255" s="155" t="n">
        <x:v>46265</x:v>
      </x:c>
      <x:c r="Y255" s="63" t="str">
        <x:v>https://www.majorprojects.alberta.ca/</x:v>
      </x:c>
    </x:row>
    <x:row r="256">
      <x:c r="A256" s="63" t="str">
        <x:v>ABMP_11731</x:v>
      </x:c>
      <x:c r="B256" s="63" t="str">
        <x:v>Tucuman 478S DER Solar Battery</x:v>
      </x:c>
      <x:c r="C256" s="63" t="str">
        <x:v>Power Sector Infrastructure</x:v>
      </x:c>
      <x:c r="D256" s="63" t="str">
        <x:v>inferred</x:v>
      </x:c>
      <x:c r="E256" s="63" t="str">
        <x:v>Solar</x:v>
      </x:c>
      <x:c r="F256" s="63" t="str">
        <x:v>Power</x:v>
      </x:c>
      <x:c r="G256" s="63" t="str">
        <x:v>Pace Canada LP</x:v>
      </x:c>
      <x:c r="H256" s="63" t="str">
        <x:v>Unresolved</x:v>
      </x:c>
      <x:c r="I256" s="63" t="str">
        <x:v>inferred</x:v>
      </x:c>
      <x:c r="J256" s="63" t="str">
        <x:v>Flagstaff County</x:v>
      </x:c>
      <x:c r="K256" s="63" t="str">
        <x:v>Proposed</x:v>
      </x:c>
      <x:c r="L256" s="143"/>
      <x:c r="M256" s="179"/>
      <x:c r="N256" s="179" t="n">
        <x:v>2027</x:v>
      </x:c>
      <x:c r="O256" s="63" t="str">
        <x:v>indeterminate_incomplete_schedule</x:v>
      </x:c>
      <x:c r="P256" s="63" t="str"/>
      <x:c r="Q256" s="143"/>
      <x:c r="R256" s="143"/>
      <x:c r="S256" s="154" t="n">
        <x:v>-111.4333</x:v>
      </x:c>
      <x:c r="T256" s="154" t="n">
        <x:v>52.6536</x:v>
      </x:c>
      <x:c r="U256" s="63" t="str">
        <x:v>approximate</x:v>
      </x:c>
      <x:c r="V256" s="63" t="str">
        <x:v>ALBERTA_MAJOR_PROJECTS</x:v>
      </x:c>
      <x:c r="W256" s="63" t="str">
        <x:v>observed</x:v>
      </x:c>
      <x:c r="X256" s="155" t="n">
        <x:v>46265</x:v>
      </x:c>
      <x:c r="Y256" s="63" t="str">
        <x:v>https://www.majorprojects.alberta.ca/</x:v>
      </x:c>
    </x:row>
    <x:row r="257">
      <x:c r="A257" s="63" t="str">
        <x:v>ABMP_12019</x:v>
      </x:c>
      <x:c r="B257" s="63" t="str">
        <x:v>UK Solar East</x:v>
      </x:c>
      <x:c r="C257" s="63" t="str">
        <x:v>Power Sector Infrastructure</x:v>
      </x:c>
      <x:c r="D257" s="63" t="str">
        <x:v>inferred</x:v>
      </x:c>
      <x:c r="E257" s="63" t="str">
        <x:v>Solar</x:v>
      </x:c>
      <x:c r="F257" s="63" t="str">
        <x:v>Power</x:v>
      </x:c>
      <x:c r="G257" s="63" t="str">
        <x:v>Northern Renewables</x:v>
      </x:c>
      <x:c r="H257" s="63" t="str">
        <x:v>Unresolved</x:v>
      </x:c>
      <x:c r="I257" s="63" t="str">
        <x:v>inferred</x:v>
      </x:c>
      <x:c r="J257" s="63" t="str">
        <x:v>Special Area No. 3</x:v>
      </x:c>
      <x:c r="K257" s="63" t="str">
        <x:v>Proposed</x:v>
      </x:c>
      <x:c r="L257" s="143"/>
      <x:c r="M257" s="179"/>
      <x:c r="N257" s="179"/>
      <x:c r="O257" s="63" t="str">
        <x:v>indeterminate_incomplete_schedule</x:v>
      </x:c>
      <x:c r="P257" s="63" t="str"/>
      <x:c r="Q257" s="143"/>
      <x:c r="R257" s="143"/>
      <x:c r="S257" s="154" t="n">
        <x:v>-110.528488</x:v>
      </x:c>
      <x:c r="T257" s="154" t="n">
        <x:v>51.503727</x:v>
      </x:c>
      <x:c r="U257" s="63" t="str">
        <x:v>reported</x:v>
      </x:c>
      <x:c r="V257" s="63" t="str">
        <x:v>ALBERTA_MAJOR_PROJECTS</x:v>
      </x:c>
      <x:c r="W257" s="63" t="str">
        <x:v>observed</x:v>
      </x:c>
      <x:c r="X257" s="155" t="n">
        <x:v>46265</x:v>
      </x:c>
      <x:c r="Y257" s="63" t="str">
        <x:v>https://www.majorprojects.alberta.ca/</x:v>
      </x:c>
    </x:row>
    <x:row r="258">
      <x:c r="A258" s="63" t="str">
        <x:v>ABMP_12018</x:v>
      </x:c>
      <x:c r="B258" s="63" t="str">
        <x:v>UK Solar West</x:v>
      </x:c>
      <x:c r="C258" s="63" t="str">
        <x:v>Power Sector Infrastructure</x:v>
      </x:c>
      <x:c r="D258" s="63" t="str">
        <x:v>inferred</x:v>
      </x:c>
      <x:c r="E258" s="63" t="str">
        <x:v>Solar</x:v>
      </x:c>
      <x:c r="F258" s="63" t="str">
        <x:v>Power</x:v>
      </x:c>
      <x:c r="G258" s="63" t="str">
        <x:v>Northern Renewables</x:v>
      </x:c>
      <x:c r="H258" s="63" t="str">
        <x:v>Unresolved</x:v>
      </x:c>
      <x:c r="I258" s="63" t="str">
        <x:v>inferred</x:v>
      </x:c>
      <x:c r="J258" s="63" t="str">
        <x:v>Special Area No. 3</x:v>
      </x:c>
      <x:c r="K258" s="63" t="str">
        <x:v>Proposed</x:v>
      </x:c>
      <x:c r="L258" s="143"/>
      <x:c r="M258" s="179"/>
      <x:c r="N258" s="179" t="n">
        <x:v>2028</x:v>
      </x:c>
      <x:c r="O258" s="63" t="str">
        <x:v>indeterminate_incomplete_schedule</x:v>
      </x:c>
      <x:c r="P258" s="63" t="str"/>
      <x:c r="Q258" s="143"/>
      <x:c r="R258" s="143"/>
      <x:c r="S258" s="154" t="n">
        <x:v>-110.700378</x:v>
      </x:c>
      <x:c r="T258" s="154" t="n">
        <x:v>51.498805</x:v>
      </x:c>
      <x:c r="U258" s="63" t="str">
        <x:v>approximate</x:v>
      </x:c>
      <x:c r="V258" s="63" t="str">
        <x:v>ALBERTA_MAJOR_PROJECTS</x:v>
      </x:c>
      <x:c r="W258" s="63" t="str">
        <x:v>observed</x:v>
      </x:c>
      <x:c r="X258" s="155" t="n">
        <x:v>46265</x:v>
      </x:c>
      <x:c r="Y258" s="63" t="str">
        <x:v>https://www.majorprojects.alberta.ca/</x:v>
      </x:c>
    </x:row>
    <x:row r="259">
      <x:c r="A259" s="63" t="str">
        <x:v>ABMP_11014</x:v>
      </x:c>
      <x:c r="B259" s="63" t="str">
        <x:v>Vilna Solar Project</x:v>
      </x:c>
      <x:c r="C259" s="63" t="str">
        <x:v>Power Sector Infrastructure</x:v>
      </x:c>
      <x:c r="D259" s="63" t="str">
        <x:v>inferred</x:v>
      </x:c>
      <x:c r="E259" s="63" t="str">
        <x:v>Solar</x:v>
      </x:c>
      <x:c r="F259" s="63" t="str">
        <x:v>Power</x:v>
      </x:c>
      <x:c r="G259" s="63" t="str">
        <x:v>Obton Solar</x:v>
      </x:c>
      <x:c r="H259" s="63" t="str">
        <x:v>Unresolved</x:v>
      </x:c>
      <x:c r="I259" s="63" t="str">
        <x:v>inferred</x:v>
      </x:c>
      <x:c r="J259" s="63" t="str">
        <x:v>Smoky Lake County</x:v>
      </x:c>
      <x:c r="K259" s="63" t="str">
        <x:v>Proposed</x:v>
      </x:c>
      <x:c r="L259" s="143"/>
      <x:c r="M259" s="179"/>
      <x:c r="N259" s="179" t="n">
        <x:v>2027</x:v>
      </x:c>
      <x:c r="O259" s="63" t="str">
        <x:v>indeterminate_incomplete_schedule</x:v>
      </x:c>
      <x:c r="P259" s="63" t="str"/>
      <x:c r="Q259" s="143"/>
      <x:c r="R259" s="143"/>
      <x:c r="S259" s="154" t="n">
        <x:v>-111.966133</x:v>
      </x:c>
      <x:c r="T259" s="154" t="n">
        <x:v>54.123252</x:v>
      </x:c>
      <x:c r="U259" s="63" t="str">
        <x:v>approximate</x:v>
      </x:c>
      <x:c r="V259" s="63" t="str">
        <x:v>ALBERTA_MAJOR_PROJECTS</x:v>
      </x:c>
      <x:c r="W259" s="63" t="str">
        <x:v>observed</x:v>
      </x:c>
      <x:c r="X259" s="155" t="n">
        <x:v>46265</x:v>
      </x:c>
      <x:c r="Y259" s="63" t="str">
        <x:v>https://www.majorprojects.alberta.ca/</x:v>
      </x:c>
    </x:row>
    <x:row r="260">
      <x:c r="A260" s="63" t="str">
        <x:v>ABMP_12203</x:v>
      </x:c>
      <x:c r="B260" s="63" t="str">
        <x:v>Vista Coal Mine Expansion</x:v>
      </x:c>
      <x:c r="C260" s="63" t="str">
        <x:v>Power Sector Infrastructure</x:v>
      </x:c>
      <x:c r="D260" s="63" t="str">
        <x:v>inferred</x:v>
      </x:c>
      <x:c r="E260" s="63" t="str">
        <x:v>Other Power</x:v>
      </x:c>
      <x:c r="F260" s="63" t="str">
        <x:v>Power</x:v>
      </x:c>
      <x:c r="G260" s="63" t="str">
        <x:v>Coalspur Mines Limited</x:v>
      </x:c>
      <x:c r="H260" s="63" t="str">
        <x:v>Unresolved</x:v>
      </x:c>
      <x:c r="I260" s="63" t="str">
        <x:v>inferred</x:v>
      </x:c>
      <x:c r="J260" s="63" t="str">
        <x:v>Yellowhead County</x:v>
      </x:c>
      <x:c r="K260" s="63" t="str">
        <x:v>Proposed</x:v>
      </x:c>
      <x:c r="L260" s="143"/>
      <x:c r="M260" s="179"/>
      <x:c r="N260" s="179"/>
      <x:c r="O260" s="63" t="str">
        <x:v>indeterminate_incomplete_schedule</x:v>
      </x:c>
      <x:c r="P260" s="63" t="str"/>
      <x:c r="Q260" s="143"/>
      <x:c r="R260" s="143"/>
      <x:c r="S260" s="154" t="n">
        <x:v>-117.38568984014282</x:v>
      </x:c>
      <x:c r="T260" s="154" t="n">
        <x:v>53.4081376568271</x:v>
      </x:c>
      <x:c r="U260" s="63" t="str">
        <x:v>reported</x:v>
      </x:c>
      <x:c r="V260" s="63" t="str">
        <x:v>ALBERTA_MAJOR_PROJECTS</x:v>
      </x:c>
      <x:c r="W260" s="63" t="str">
        <x:v>observed</x:v>
      </x:c>
      <x:c r="X260" s="155" t="n">
        <x:v>46265</x:v>
      </x:c>
      <x:c r="Y260" s="63" t="str">
        <x:v>https://www.majorprojects.alberta.ca/</x:v>
      </x:c>
    </x:row>
    <x:row r="261">
      <x:c r="A261" s="63" t="str">
        <x:v>ABMP_11728</x:v>
      </x:c>
      <x:c r="B261" s="63" t="str">
        <x:v>Warwick Natural Gas Storage Facility Battery System</x:v>
      </x:c>
      <x:c r="C261" s="63" t="str">
        <x:v>Power Sector Infrastructure</x:v>
      </x:c>
      <x:c r="D261" s="63" t="str">
        <x:v>inferred</x:v>
      </x:c>
      <x:c r="E261" s="63" t="str">
        <x:v>Other Power</x:v>
      </x:c>
      <x:c r="F261" s="63" t="str">
        <x:v>Power</x:v>
      </x:c>
      <x:c r="G261" s="63" t="str">
        <x:v>Warwick Gas Storage LP</x:v>
      </x:c>
      <x:c r="H261" s="63" t="str">
        <x:v>Unresolved</x:v>
      </x:c>
      <x:c r="I261" s="63" t="str">
        <x:v>inferred</x:v>
      </x:c>
      <x:c r="J261" s="63" t="str">
        <x:v>Minburn County No. 27</x:v>
      </x:c>
      <x:c r="K261" s="63" t="str">
        <x:v>Proposed</x:v>
      </x:c>
      <x:c r="L261" s="143"/>
      <x:c r="M261" s="179"/>
      <x:c r="N261" s="179" t="n">
        <x:v>2027</x:v>
      </x:c>
      <x:c r="O261" s="63" t="str">
        <x:v>indeterminate_incomplete_schedule</x:v>
      </x:c>
      <x:c r="P261" s="63" t="str"/>
      <x:c r="Q261" s="143"/>
      <x:c r="R261" s="143"/>
      <x:c r="S261" s="154" t="n">
        <x:v>-112.048547</x:v>
      </x:c>
      <x:c r="T261" s="154" t="n">
        <x:v>53.566026</x:v>
      </x:c>
      <x:c r="U261" s="63" t="str">
        <x:v>reported</x:v>
      </x:c>
      <x:c r="V261" s="63" t="str">
        <x:v>ALBERTA_MAJOR_PROJECTS</x:v>
      </x:c>
      <x:c r="W261" s="63" t="str">
        <x:v>observed</x:v>
      </x:c>
      <x:c r="X261" s="155" t="n">
        <x:v>46265</x:v>
      </x:c>
      <x:c r="Y261" s="63" t="str">
        <x:v>https://www.majorprojects.alberta.ca/</x:v>
      </x:c>
    </x:row>
    <x:row r="262">
      <x:c r="A262" s="63" t="str">
        <x:v>ABMP_12047</x:v>
      </x:c>
      <x:c r="B262" s="63" t="str">
        <x:v>Willow Ridge Wind and Battery Project</x:v>
      </x:c>
      <x:c r="C262" s="63" t="str">
        <x:v>Power Sector Infrastructure</x:v>
      </x:c>
      <x:c r="D262" s="63" t="str">
        <x:v>inferred</x:v>
      </x:c>
      <x:c r="E262" s="63" t="str">
        <x:v>Wind</x:v>
      </x:c>
      <x:c r="F262" s="63" t="str">
        <x:v>Power</x:v>
      </x:c>
      <x:c r="G262" s="63" t="str">
        <x:v>SPWC Development GP Inc.</x:v>
      </x:c>
      <x:c r="H262" s="63" t="str">
        <x:v>Unresolved</x:v>
      </x:c>
      <x:c r="I262" s="63" t="str">
        <x:v>inferred</x:v>
      </x:c>
      <x:c r="J262" s="63" t="str">
        <x:v>Willow Creek No. 26</x:v>
      </x:c>
      <x:c r="K262" s="63" t="str">
        <x:v>Proposed</x:v>
      </x:c>
      <x:c r="L262" s="143"/>
      <x:c r="M262" s="179"/>
      <x:c r="N262" s="179" t="n">
        <x:v>2027</x:v>
      </x:c>
      <x:c r="O262" s="63" t="str">
        <x:v>indeterminate_incomplete_schedule</x:v>
      </x:c>
      <x:c r="P262" s="63" t="str"/>
      <x:c r="Q262" s="143"/>
      <x:c r="R262" s="143"/>
      <x:c r="S262" s="154" t="n">
        <x:v>-113.316803</x:v>
      </x:c>
      <x:c r="T262" s="154" t="n">
        <x:v>49.656921</x:v>
      </x:c>
      <x:c r="U262" s="63" t="str">
        <x:v>approximate</x:v>
      </x:c>
      <x:c r="V262" s="63" t="str">
        <x:v>ALBERTA_MAJOR_PROJECTS</x:v>
      </x:c>
      <x:c r="W262" s="63" t="str">
        <x:v>observed</x:v>
      </x:c>
      <x:c r="X262" s="155" t="n">
        <x:v>46265</x:v>
      </x:c>
      <x:c r="Y262" s="63" t="str">
        <x:v>https://www.majorprojects.alberta.ca/</x:v>
      </x:c>
    </x:row>
    <x:row r="263">
      <x:c r="A263" s="63" t="str">
        <x:v>ABMP_11267</x:v>
      </x:c>
      <x:c r="B263" s="63" t="str">
        <x:v>Winnifred Solar Project</x:v>
      </x:c>
      <x:c r="C263" s="63" t="str">
        <x:v>Power Sector Infrastructure</x:v>
      </x:c>
      <x:c r="D263" s="63" t="str">
        <x:v>inferred</x:v>
      </x:c>
      <x:c r="E263" s="63" t="str">
        <x:v>Solar</x:v>
      </x:c>
      <x:c r="F263" s="63" t="str">
        <x:v>Power</x:v>
      </x:c>
      <x:c r="G263" s="63" t="str">
        <x:v>Enerfin Energy Company of Canada Inc.</x:v>
      </x:c>
      <x:c r="H263" s="63" t="str">
        <x:v>Unresolved</x:v>
      </x:c>
      <x:c r="I263" s="63" t="str">
        <x:v>inferred</x:v>
      </x:c>
      <x:c r="J263" s="63" t="str">
        <x:v>Forty Mile County No. 8</x:v>
      </x:c>
      <x:c r="K263" s="63" t="str">
        <x:v>Proposed</x:v>
      </x:c>
      <x:c r="L263" s="143"/>
      <x:c r="M263" s="179"/>
      <x:c r="N263" s="179" t="n">
        <x:v>2026</x:v>
      </x:c>
      <x:c r="O263" s="63" t="str">
        <x:v>outside_window</x:v>
      </x:c>
      <x:c r="P263" s="63" t="str"/>
      <x:c r="Q263" s="143"/>
      <x:c r="R263" s="143"/>
      <x:c r="S263" s="154" t="n">
        <x:v>-111.045771</x:v>
      </x:c>
      <x:c r="T263" s="154" t="n">
        <x:v>49.942902</x:v>
      </x:c>
      <x:c r="U263" s="63" t="str">
        <x:v>reported</x:v>
      </x:c>
      <x:c r="V263" s="63" t="str">
        <x:v>ALBERTA_MAJOR_PROJECTS</x:v>
      </x:c>
      <x:c r="W263" s="63" t="str">
        <x:v>observed</x:v>
      </x:c>
      <x:c r="X263" s="155" t="n">
        <x:v>46265</x:v>
      </x:c>
      <x:c r="Y263" s="63" t="str">
        <x:v>https://www.majorprojects.alberta.ca/</x:v>
      </x:c>
    </x:row>
    <x:row r="264">
      <x:c r="A264" s="63" t="str">
        <x:v>ABMP_8526</x:v>
      </x:c>
      <x:c r="B264" s="63" t="str">
        <x:v>103A Avenue Pedway Installation</x:v>
      </x:c>
      <x:c r="C264" s="63" t="str">
        <x:v>Roads Transit And Airports</x:v>
      </x:c>
      <x:c r="D264" s="63" t="str">
        <x:v>inferred</x:v>
      </x:c>
      <x:c r="E264" s="63" t="str">
        <x:v>Pedestrian Bridge</x:v>
      </x:c>
      <x:c r="F264" s="63" t="str">
        <x:v>Infrastructure</x:v>
      </x:c>
      <x:c r="G264" s="63" t="str">
        <x:v>City of Edmonton</x:v>
      </x:c>
      <x:c r="H264" s="63" t="str">
        <x:v>Government Or Public Institution Signal</x:v>
      </x:c>
      <x:c r="I264" s="63" t="str">
        <x:v>inferred</x:v>
      </x:c>
      <x:c r="J264" s="63" t="str">
        <x:v>Edmonton</x:v>
      </x:c>
      <x:c r="K264" s="63" t="str">
        <x:v>Under Construction</x:v>
      </x:c>
      <x:c r="L264" s="143" t="n">
        <x:v>36700000</x:v>
      </x:c>
      <x:c r="M264" s="179" t="n">
        <x:v>2024</x:v>
      </x:c>
      <x:c r="N264" s="179" t="n">
        <x:v>2026</x:v>
      </x:c>
      <x:c r="O264" s="63" t="str">
        <x:v>outside_window</x:v>
      </x:c>
      <x:c r="P264" s="63" t="str"/>
      <x:c r="Q264" s="143" t="n">
        <x:v>12233333.333333334</x:v>
      </x:c>
      <x:c r="R264" s="143" t="n">
        <x:v>0</x:v>
      </x:c>
      <x:c r="S264" s="154" t="n">
        <x:v>-113.490754</x:v>
      </x:c>
      <x:c r="T264" s="154" t="n">
        <x:v>53.547441</x:v>
      </x:c>
      <x:c r="U264" s="63" t="str">
        <x:v>reported</x:v>
      </x:c>
      <x:c r="V264" s="63" t="str">
        <x:v>ALBERTA_MAJOR_PROJECTS</x:v>
      </x:c>
      <x:c r="W264" s="63" t="str">
        <x:v>observed</x:v>
      </x:c>
      <x:c r="X264" s="155" t="n">
        <x:v>46265</x:v>
      </x:c>
      <x:c r="Y264" s="63" t="str">
        <x:v>https://www.majorprojects.alberta.ca/</x:v>
      </x:c>
    </x:row>
    <x:row r="265">
      <x:c r="A265" s="63" t="str">
        <x:v>ABMP_10988</x:v>
      </x:c>
      <x:c r="B265" s="63" t="str">
        <x:v>132 Avenue Renewal Project</x:v>
      </x:c>
      <x:c r="C265" s="63" t="str">
        <x:v>Roads Transit And Airports</x:v>
      </x:c>
      <x:c r="D265" s="63" t="str">
        <x:v>inferred</x:v>
      </x:c>
      <x:c r="E265" s="63" t="str">
        <x:v>Roadwork</x:v>
      </x:c>
      <x:c r="F265" s="63" t="str">
        <x:v>Infrastructure</x:v>
      </x:c>
      <x:c r="G265" s="63" t="str">
        <x:v>City of Edmonton</x:v>
      </x:c>
      <x:c r="H265" s="63" t="str">
        <x:v>Government Or Public Institution Signal</x:v>
      </x:c>
      <x:c r="I265" s="63" t="str">
        <x:v>inferred</x:v>
      </x:c>
      <x:c r="J265" s="63" t="str">
        <x:v>Edmonton</x:v>
      </x:c>
      <x:c r="K265" s="63" t="str">
        <x:v>Under Construction</x:v>
      </x:c>
      <x:c r="L265" s="143" t="n">
        <x:v>95800000</x:v>
      </x:c>
      <x:c r="M265" s="179" t="n">
        <x:v>2024</x:v>
      </x:c>
      <x:c r="N265" s="179" t="n">
        <x:v>2027</x:v>
      </x:c>
      <x:c r="O265" s="63" t="str">
        <x:v>overlaps</x:v>
      </x:c>
      <x:c r="P265" s="63" t="str">
        <x:v>2027</x:v>
      </x:c>
      <x:c r="Q265" s="143" t="n">
        <x:v>23950000</x:v>
      </x:c>
      <x:c r="R265" s="143" t="n">
        <x:v>23950000</x:v>
      </x:c>
      <x:c r="S265" s="154"/>
      <x:c r="T265" s="154"/>
      <x:c r="U265" s="63" t="str">
        <x:v>reported</x:v>
      </x:c>
      <x:c r="V265" s="63" t="str">
        <x:v>ALBERTA_MAJOR_PROJECTS</x:v>
      </x:c>
      <x:c r="W265" s="63" t="str">
        <x:v>observed</x:v>
      </x:c>
      <x:c r="X265" s="155" t="n">
        <x:v>46265</x:v>
      </x:c>
      <x:c r="Y265" s="63" t="str">
        <x:v>https://www.majorprojects.alberta.ca/</x:v>
      </x:c>
    </x:row>
    <x:row r="266">
      <x:c r="A266" s="63" t="str">
        <x:v>ABMP_11902</x:v>
      </x:c>
      <x:c r="B266" s="63" t="str">
        <x:v>17 Street and Yellowhead Trail Overpass Rehabilitation</x:v>
      </x:c>
      <x:c r="C266" s="63" t="str">
        <x:v>Roads Transit And Airports</x:v>
      </x:c>
      <x:c r="D266" s="63" t="str">
        <x:v>inferred</x:v>
      </x:c>
      <x:c r="E266" s="63" t="str">
        <x:v>Roadwork</x:v>
      </x:c>
      <x:c r="F266" s="63" t="str">
        <x:v>Infrastructure</x:v>
      </x:c>
      <x:c r="G266" s="63" t="str">
        <x:v>City of Edmonton</x:v>
      </x:c>
      <x:c r="H266" s="63" t="str">
        <x:v>Government Or Public Institution Signal</x:v>
      </x:c>
      <x:c r="I266" s="63" t="str">
        <x:v>inferred</x:v>
      </x:c>
      <x:c r="J266" s="63" t="str">
        <x:v>Edmonton</x:v>
      </x:c>
      <x:c r="K266" s="63" t="str">
        <x:v>Proposed</x:v>
      </x:c>
      <x:c r="L266" s="143" t="n">
        <x:v>35000000</x:v>
      </x:c>
      <x:c r="M266" s="179"/>
      <x:c r="N266" s="179" t="n">
        <x:v>2027</x:v>
      </x:c>
      <x:c r="O266" s="63" t="str">
        <x:v>indeterminate_incomplete_schedule</x:v>
      </x:c>
      <x:c r="P266" s="63" t="str"/>
      <x:c r="Q266" s="143"/>
      <x:c r="R266" s="143"/>
      <x:c r="S266" s="154" t="n">
        <x:v>-113.3635</x:v>
      </x:c>
      <x:c r="T266" s="154" t="n">
        <x:v>53.569747</x:v>
      </x:c>
      <x:c r="U266" s="63" t="str">
        <x:v>reported</x:v>
      </x:c>
      <x:c r="V266" s="63" t="str">
        <x:v>ALBERTA_MAJOR_PROJECTS</x:v>
      </x:c>
      <x:c r="W266" s="63" t="str">
        <x:v>observed</x:v>
      </x:c>
      <x:c r="X266" s="155" t="n">
        <x:v>46265</x:v>
      </x:c>
      <x:c r="Y266" s="63" t="str">
        <x:v>https://www.majorprojects.alberta.ca/</x:v>
      </x:c>
    </x:row>
    <x:row r="267">
      <x:c r="A267" s="63" t="str">
        <x:v>ABMP_10574</x:v>
      </x:c>
      <x:c r="B267" s="63" t="str">
        <x:v>50 Street Widening and Railway Grade Separation</x:v>
      </x:c>
      <x:c r="C267" s="63" t="str">
        <x:v>Roads Transit And Airports</x:v>
      </x:c>
      <x:c r="D267" s="63" t="str">
        <x:v>inferred</x:v>
      </x:c>
      <x:c r="E267" s="63" t="str">
        <x:v>Roadwork</x:v>
      </x:c>
      <x:c r="F267" s="63" t="str">
        <x:v>Infrastructure</x:v>
      </x:c>
      <x:c r="G267" s="63" t="str">
        <x:v>City of Edmonton</x:v>
      </x:c>
      <x:c r="H267" s="63" t="str">
        <x:v>Government Or Public Institution Signal</x:v>
      </x:c>
      <x:c r="I267" s="63" t="str">
        <x:v>inferred</x:v>
      </x:c>
      <x:c r="J267" s="63" t="str">
        <x:v>Edmonton</x:v>
      </x:c>
      <x:c r="K267" s="63" t="str">
        <x:v>Under Construction</x:v>
      </x:c>
      <x:c r="L267" s="143" t="n">
        <x:v>181300000</x:v>
      </x:c>
      <x:c r="M267" s="179" t="n">
        <x:v>2022</x:v>
      </x:c>
      <x:c r="N267" s="179" t="n">
        <x:v>2027</x:v>
      </x:c>
      <x:c r="O267" s="63" t="str">
        <x:v>overlaps</x:v>
      </x:c>
      <x:c r="P267" s="63" t="str">
        <x:v>2027</x:v>
      </x:c>
      <x:c r="Q267" s="143" t="n">
        <x:v>30216666.666666668</x:v>
      </x:c>
      <x:c r="R267" s="143" t="n">
        <x:v>30216666.666666668</x:v>
      </x:c>
      <x:c r="S267" s="154" t="n">
        <x:v>-113.418609</x:v>
      </x:c>
      <x:c r="T267" s="154" t="n">
        <x:v>53.517333</x:v>
      </x:c>
      <x:c r="U267" s="63" t="str">
        <x:v>reported</x:v>
      </x:c>
      <x:c r="V267" s="63" t="str">
        <x:v>ALBERTA_MAJOR_PROJECTS</x:v>
      </x:c>
      <x:c r="W267" s="63" t="str">
        <x:v>observed</x:v>
      </x:c>
      <x:c r="X267" s="155" t="n">
        <x:v>46265</x:v>
      </x:c>
      <x:c r="Y267" s="63" t="str">
        <x:v>https://www.majorprojects.alberta.ca/</x:v>
      </x:c>
    </x:row>
    <x:row r="268">
      <x:c r="A268" s="63" t="str">
        <x:v>ABMP_11075</x:v>
      </x:c>
      <x:c r="B268" s="63" t="str">
        <x:v>6 Street SE Underpass</x:v>
      </x:c>
      <x:c r="C268" s="63" t="str">
        <x:v>Roads Transit And Airports</x:v>
      </x:c>
      <x:c r="D268" s="63" t="str">
        <x:v>inferred</x:v>
      </x:c>
      <x:c r="E268" s="63" t="str">
        <x:v>Roadwork</x:v>
      </x:c>
      <x:c r="F268" s="63" t="str">
        <x:v>Infrastructure</x:v>
      </x:c>
      <x:c r="G268" s="63" t="str">
        <x:v>Calgary Municipal Land Corp. (CMLC)</x:v>
      </x:c>
      <x:c r="H268" s="63" t="str">
        <x:v>Unresolved</x:v>
      </x:c>
      <x:c r="I268" s="63" t="str">
        <x:v>inferred</x:v>
      </x:c>
      <x:c r="J268" s="63" t="str">
        <x:v>Calgary</x:v>
      </x:c>
      <x:c r="K268" s="63" t="str">
        <x:v>Under Construction</x:v>
      </x:c>
      <x:c r="L268" s="143"/>
      <x:c r="M268" s="179" t="n">
        <x:v>2025</x:v>
      </x:c>
      <x:c r="N268" s="179" t="n">
        <x:v>2027</x:v>
      </x:c>
      <x:c r="O268" s="63" t="str">
        <x:v>overlaps</x:v>
      </x:c>
      <x:c r="P268" s="63" t="str">
        <x:v>2027</x:v>
      </x:c>
      <x:c r="Q268" s="143"/>
      <x:c r="R268" s="143"/>
      <x:c r="S268" s="154" t="n">
        <x:v>-114.048311</x:v>
      </x:c>
      <x:c r="T268" s="154" t="n">
        <x:v>51.043112</x:v>
      </x:c>
      <x:c r="U268" s="63" t="str">
        <x:v>reported</x:v>
      </x:c>
      <x:c r="V268" s="63" t="str">
        <x:v>ALBERTA_MAJOR_PROJECTS</x:v>
      </x:c>
      <x:c r="W268" s="63" t="str">
        <x:v>observed</x:v>
      </x:c>
      <x:c r="X268" s="155" t="n">
        <x:v>46265</x:v>
      </x:c>
      <x:c r="Y268" s="63" t="str">
        <x:v>https://www.majorprojects.alberta.ca/</x:v>
      </x:c>
    </x:row>
    <x:row r="269">
      <x:c r="A269" s="63" t="str">
        <x:v>ABMP_10608</x:v>
      </x:c>
      <x:c r="B269" s="63" t="str">
        <x:v>Airport Trail and Northeast Stoney Trail Interchange Project</x:v>
      </x:c>
      <x:c r="C269" s="63" t="str">
        <x:v>Roads Transit And Airports</x:v>
      </x:c>
      <x:c r="D269" s="63" t="str">
        <x:v>inferred</x:v>
      </x:c>
      <x:c r="E269" s="63" t="str">
        <x:v>Roadwork</x:v>
      </x:c>
      <x:c r="F269" s="63" t="str">
        <x:v>Infrastructure</x:v>
      </x:c>
      <x:c r="G269" s="63" t="str">
        <x:v>Alberta Transportation and Economic Corridors</x:v>
      </x:c>
      <x:c r="H269" s="63" t="str">
        <x:v>Government Or Public Institution Signal</x:v>
      </x:c>
      <x:c r="I269" s="63" t="str">
        <x:v>inferred</x:v>
      </x:c>
      <x:c r="J269" s="63" t="str">
        <x:v>Calgary</x:v>
      </x:c>
      <x:c r="K269" s="63" t="str">
        <x:v>Under Construction</x:v>
      </x:c>
      <x:c r="L269" s="143" t="n">
        <x:v>33800000</x:v>
      </x:c>
      <x:c r="M269" s="179" t="n">
        <x:v>2025</x:v>
      </x:c>
      <x:c r="N269" s="179" t="n">
        <x:v>2026</x:v>
      </x:c>
      <x:c r="O269" s="63" t="str">
        <x:v>outside_window</x:v>
      </x:c>
      <x:c r="P269" s="63" t="str"/>
      <x:c r="Q269" s="143" t="n">
        <x:v>16900000</x:v>
      </x:c>
      <x:c r="R269" s="143" t="n">
        <x:v>0</x:v>
      </x:c>
      <x:c r="S269" s="154" t="n">
        <x:v>-113.92122457049085</x:v>
      </x:c>
      <x:c r="T269" s="154" t="n">
        <x:v>51.13647693224092</x:v>
      </x:c>
      <x:c r="U269" s="63" t="str">
        <x:v>reported</x:v>
      </x:c>
      <x:c r="V269" s="63" t="str">
        <x:v>ALBERTA_MAJOR_PROJECTS</x:v>
      </x:c>
      <x:c r="W269" s="63" t="str">
        <x:v>observed</x:v>
      </x:c>
      <x:c r="X269" s="155" t="n">
        <x:v>46265</x:v>
      </x:c>
      <x:c r="Y269" s="63" t="str">
        <x:v>https://www.majorprojects.alberta.ca/</x:v>
      </x:c>
    </x:row>
    <x:row r="270">
      <x:c r="A270" s="63" t="str">
        <x:v>ABMP_11856</x:v>
      </x:c>
      <x:c r="B270" s="63" t="str">
        <x:v>Alberta Training Centre of Excellence for Aviation and Aerospace</x:v>
      </x:c>
      <x:c r="C270" s="63" t="str">
        <x:v>Roads Transit And Airports</x:v>
      </x:c>
      <x:c r="D270" s="63" t="str">
        <x:v>inferred</x:v>
      </x:c>
      <x:c r="E270" s="63" t="str">
        <x:v>Airport</x:v>
      </x:c>
      <x:c r="F270" s="63" t="str">
        <x:v>Infrastructure</x:v>
      </x:c>
      <x:c r="G270" s="63" t="str">
        <x:v>CAE Inc and Calgary Airport Authority</x:v>
      </x:c>
      <x:c r="H270" s="63" t="str">
        <x:v>Unresolved</x:v>
      </x:c>
      <x:c r="I270" s="63" t="str">
        <x:v>inferred</x:v>
      </x:c>
      <x:c r="J270" s="63" t="str">
        <x:v>Calgary</x:v>
      </x:c>
      <x:c r="K270" s="63" t="str">
        <x:v>Proposed</x:v>
      </x:c>
      <x:c r="L270" s="143"/>
      <x:c r="M270" s="179"/>
      <x:c r="N270" s="179" t="n">
        <x:v>2028</x:v>
      </x:c>
      <x:c r="O270" s="63" t="str">
        <x:v>indeterminate_incomplete_schedule</x:v>
      </x:c>
      <x:c r="P270" s="63" t="str"/>
      <x:c r="Q270" s="143"/>
      <x:c r="R270" s="143"/>
      <x:c r="S270" s="154" t="n">
        <x:v>-114.0307</x:v>
      </x:c>
      <x:c r="T270" s="154" t="n">
        <x:v>51.133347</x:v>
      </x:c>
      <x:c r="U270" s="63" t="str">
        <x:v>approximate</x:v>
      </x:c>
      <x:c r="V270" s="63" t="str">
        <x:v>ALBERTA_MAJOR_PROJECTS</x:v>
      </x:c>
      <x:c r="W270" s="63" t="str">
        <x:v>observed</x:v>
      </x:c>
      <x:c r="X270" s="155" t="n">
        <x:v>46265</x:v>
      </x:c>
      <x:c r="Y270" s="63" t="str">
        <x:v>https://www.majorprojects.alberta.ca/</x:v>
      </x:c>
    </x:row>
    <x:row r="271">
      <x:c r="A271" s="63" t="str">
        <x:v>ABMP_11907</x:v>
      </x:c>
      <x:c r="B271" s="63" t="str">
        <x:v>Beverly Bridge Rehabilitation</x:v>
      </x:c>
      <x:c r="C271" s="63" t="str">
        <x:v>Roads Transit And Airports</x:v>
      </x:c>
      <x:c r="D271" s="63" t="str">
        <x:v>inferred</x:v>
      </x:c>
      <x:c r="E271" s="63" t="str">
        <x:v>Roadwork</x:v>
      </x:c>
      <x:c r="F271" s="63" t="str">
        <x:v>Infrastructure</x:v>
      </x:c>
      <x:c r="G271" s="63" t="str">
        <x:v>City of Edmonton</x:v>
      </x:c>
      <x:c r="H271" s="63" t="str">
        <x:v>Government Or Public Institution Signal</x:v>
      </x:c>
      <x:c r="I271" s="63" t="str">
        <x:v>inferred</x:v>
      </x:c>
      <x:c r="J271" s="63" t="str">
        <x:v>Edmonton</x:v>
      </x:c>
      <x:c r="K271" s="63" t="str">
        <x:v>Under Construction</x:v>
      </x:c>
      <x:c r="L271" s="143" t="n">
        <x:v>16700000</x:v>
      </x:c>
      <x:c r="M271" s="179" t="n">
        <x:v>2025</x:v>
      </x:c>
      <x:c r="N271" s="179" t="n">
        <x:v>2026</x:v>
      </x:c>
      <x:c r="O271" s="63" t="str">
        <x:v>outside_window</x:v>
      </x:c>
      <x:c r="P271" s="63" t="str"/>
      <x:c r="Q271" s="143" t="n">
        <x:v>8350000</x:v>
      </x:c>
      <x:c r="R271" s="143" t="n">
        <x:v>0</x:v>
      </x:c>
      <x:c r="S271" s="154" t="n">
        <x:v>-113.372512</x:v>
      </x:c>
      <x:c r="T271" s="154" t="n">
        <x:v>53.570684</x:v>
      </x:c>
      <x:c r="U271" s="63" t="str">
        <x:v>reported</x:v>
      </x:c>
      <x:c r="V271" s="63" t="str">
        <x:v>ALBERTA_MAJOR_PROJECTS</x:v>
      </x:c>
      <x:c r="W271" s="63" t="str">
        <x:v>observed</x:v>
      </x:c>
      <x:c r="X271" s="155" t="n">
        <x:v>46265</x:v>
      </x:c>
      <x:c r="Y271" s="63" t="str">
        <x:v>https://www.majorprojects.alberta.ca/</x:v>
      </x:c>
    </x:row>
    <x:row r="272">
      <x:c r="A272" s="63" t="str">
        <x:v>ABMP_11227</x:v>
      </x:c>
      <x:c r="B272" s="63" t="str">
        <x:v>Beverly Heights Neighbourhood Alley Reconstruction</x:v>
      </x:c>
      <x:c r="C272" s="63" t="str">
        <x:v>Roads Transit And Airports</x:v>
      </x:c>
      <x:c r="D272" s="63" t="str">
        <x:v>inferred</x:v>
      </x:c>
      <x:c r="E272" s="63" t="str">
        <x:v>Roadwork</x:v>
      </x:c>
      <x:c r="F272" s="63" t="str">
        <x:v>Infrastructure</x:v>
      </x:c>
      <x:c r="G272" s="63" t="str">
        <x:v>City of Edmonton</x:v>
      </x:c>
      <x:c r="H272" s="63" t="str">
        <x:v>Government Or Public Institution Signal</x:v>
      </x:c>
      <x:c r="I272" s="63" t="str">
        <x:v>inferred</x:v>
      </x:c>
      <x:c r="J272" s="63" t="str">
        <x:v>Edmonton</x:v>
      </x:c>
      <x:c r="K272" s="63" t="str">
        <x:v>Under Construction</x:v>
      </x:c>
      <x:c r="L272" s="143" t="n">
        <x:v>11200000</x:v>
      </x:c>
      <x:c r="M272" s="179" t="n">
        <x:v>2024</x:v>
      </x:c>
      <x:c r="N272" s="179" t="n">
        <x:v>2026</x:v>
      </x:c>
      <x:c r="O272" s="63" t="str">
        <x:v>outside_window</x:v>
      </x:c>
      <x:c r="P272" s="63" t="str"/>
      <x:c r="Q272" s="143" t="n">
        <x:v>3733333.3333333335</x:v>
      </x:c>
      <x:c r="R272" s="143" t="n">
        <x:v>0</x:v>
      </x:c>
      <x:c r="S272" s="154" t="n">
        <x:v>-113.402531</x:v>
      </x:c>
      <x:c r="T272" s="154" t="n">
        <x:v>53.565102</x:v>
      </x:c>
      <x:c r="U272" s="63" t="str">
        <x:v>reported</x:v>
      </x:c>
      <x:c r="V272" s="63" t="str">
        <x:v>ALBERTA_MAJOR_PROJECTS</x:v>
      </x:c>
      <x:c r="W272" s="63" t="str">
        <x:v>observed</x:v>
      </x:c>
      <x:c r="X272" s="155" t="n">
        <x:v>46265</x:v>
      </x:c>
      <x:c r="Y272" s="63" t="str">
        <x:v>https://www.majorprojects.alberta.ca/</x:v>
      </x:c>
    </x:row>
    <x:row r="273">
      <x:c r="A273" s="63" t="str">
        <x:v>ABMP_11967</x:v>
      </x:c>
      <x:c r="B273" s="63" t="str">
        <x:v>Black Gold Drive &amp; Highway 2 Overpass Rehabilitation</x:v>
      </x:c>
      <x:c r="C273" s="63" t="str">
        <x:v>Roads Transit And Airports</x:v>
      </x:c>
      <x:c r="D273" s="63" t="str">
        <x:v>inferred</x:v>
      </x:c>
      <x:c r="E273" s="63" t="str">
        <x:v>Roadwork</x:v>
      </x:c>
      <x:c r="F273" s="63" t="str">
        <x:v>Infrastructure</x:v>
      </x:c>
      <x:c r="G273" s="63" t="str">
        <x:v>Alberta Transportation and Economic Corridors</x:v>
      </x:c>
      <x:c r="H273" s="63" t="str">
        <x:v>Government Or Public Institution Signal</x:v>
      </x:c>
      <x:c r="I273" s="63" t="str">
        <x:v>inferred</x:v>
      </x:c>
      <x:c r="J273" s="63" t="str">
        <x:v>Leduc</x:v>
      </x:c>
      <x:c r="K273" s="63" t="str">
        <x:v>Proposed</x:v>
      </x:c>
      <x:c r="L273" s="143"/>
      <x:c r="M273" s="179" t="n">
        <x:v>2028</x:v>
      </x:c>
      <x:c r="N273" s="179" t="n">
        <x:v>2029</x:v>
      </x:c>
      <x:c r="O273" s="63" t="str">
        <x:v>overlaps</x:v>
      </x:c>
      <x:c r="P273" s="63" t="str">
        <x:v>2028|2029</x:v>
      </x:c>
      <x:c r="Q273" s="143"/>
      <x:c r="R273" s="143"/>
      <x:c r="S273" s="154" t="n">
        <x:v>-113.561736</x:v>
      </x:c>
      <x:c r="T273" s="154" t="n">
        <x:v>53.257893</x:v>
      </x:c>
      <x:c r="U273" s="63" t="str">
        <x:v>reported</x:v>
      </x:c>
      <x:c r="V273" s="63" t="str">
        <x:v>ALBERTA_MAJOR_PROJECTS</x:v>
      </x:c>
      <x:c r="W273" s="63" t="str">
        <x:v>observed</x:v>
      </x:c>
      <x:c r="X273" s="155" t="n">
        <x:v>46265</x:v>
      </x:c>
      <x:c r="Y273" s="63" t="str">
        <x:v>https://www.majorprojects.alberta.ca/</x:v>
      </x:c>
    </x:row>
    <x:row r="274">
      <x:c r="A274" s="63" t="str">
        <x:v>ABMP_12095</x:v>
      </x:c>
      <x:c r="B274" s="63" t="str">
        <x:v>Blue Line LRT Extension (Design Phase)</x:v>
      </x:c>
      <x:c r="C274" s="63" t="str">
        <x:v>Roads Transit And Airports</x:v>
      </x:c>
      <x:c r="D274" s="63" t="str">
        <x:v>inferred</x:v>
      </x:c>
      <x:c r="E274" s="63" t="str">
        <x:v>Transit</x:v>
      </x:c>
      <x:c r="F274" s="63" t="str">
        <x:v>Infrastructure</x:v>
      </x:c>
      <x:c r="G274" s="63" t="str">
        <x:v>City of Calgary</x:v>
      </x:c>
      <x:c r="H274" s="63" t="str">
        <x:v>Government Or Public Institution Signal</x:v>
      </x:c>
      <x:c r="I274" s="63" t="str">
        <x:v>inferred</x:v>
      </x:c>
      <x:c r="J274" s="63" t="str">
        <x:v>Calgary</x:v>
      </x:c>
      <x:c r="K274" s="63" t="str">
        <x:v>Under Construction</x:v>
      </x:c>
      <x:c r="L274" s="143"/>
      <x:c r="M274" s="179" t="n">
        <x:v>2024</x:v>
      </x:c>
      <x:c r="N274" s="179" t="n">
        <x:v>2027</x:v>
      </x:c>
      <x:c r="O274" s="63" t="str">
        <x:v>overlaps</x:v>
      </x:c>
      <x:c r="P274" s="63" t="str">
        <x:v>2027</x:v>
      </x:c>
      <x:c r="Q274" s="143"/>
      <x:c r="R274" s="143"/>
      <x:c r="S274" s="154" t="n">
        <x:v>-113.94829877524741</x:v>
      </x:c>
      <x:c r="T274" s="154" t="n">
        <x:v>51.125908179672365</x:v>
      </x:c>
      <x:c r="U274" s="63" t="str">
        <x:v>approximate</x:v>
      </x:c>
      <x:c r="V274" s="63" t="str">
        <x:v>ALBERTA_MAJOR_PROJECTS</x:v>
      </x:c>
      <x:c r="W274" s="63" t="str">
        <x:v>observed</x:v>
      </x:c>
      <x:c r="X274" s="155" t="n">
        <x:v>46265</x:v>
      </x:c>
      <x:c r="Y274" s="63" t="str">
        <x:v>https://www.majorprojects.alberta.ca/</x:v>
      </x:c>
    </x:row>
    <x:row r="275">
      <x:c r="A275" s="63" t="str">
        <x:v>ABMP_10730</x:v>
      </x:c>
      <x:c r="B275" s="63" t="str">
        <x:v>Boyle Street / McCauley Neighbourhood Reconstruction</x:v>
      </x:c>
      <x:c r="C275" s="63" t="str">
        <x:v>Roads Transit And Airports</x:v>
      </x:c>
      <x:c r="D275" s="63" t="str">
        <x:v>inferred</x:v>
      </x:c>
      <x:c r="E275" s="63" t="str">
        <x:v>Roadwork</x:v>
      </x:c>
      <x:c r="F275" s="63" t="str">
        <x:v>Infrastructure</x:v>
      </x:c>
      <x:c r="G275" s="63" t="str">
        <x:v>City of Edmonton</x:v>
      </x:c>
      <x:c r="H275" s="63" t="str">
        <x:v>Government Or Public Institution Signal</x:v>
      </x:c>
      <x:c r="I275" s="63" t="str">
        <x:v>inferred</x:v>
      </x:c>
      <x:c r="J275" s="63" t="str">
        <x:v>Edmonton</x:v>
      </x:c>
      <x:c r="K275" s="63" t="str">
        <x:v>Under Construction</x:v>
      </x:c>
      <x:c r="L275" s="143" t="n">
        <x:v>61900000</x:v>
      </x:c>
      <x:c r="M275" s="179" t="n">
        <x:v>2023</x:v>
      </x:c>
      <x:c r="N275" s="179" t="n">
        <x:v>2026</x:v>
      </x:c>
      <x:c r="O275" s="63" t="str">
        <x:v>outside_window</x:v>
      </x:c>
      <x:c r="P275" s="63" t="str"/>
      <x:c r="Q275" s="143" t="n">
        <x:v>15475000</x:v>
      </x:c>
      <x:c r="R275" s="143" t="n">
        <x:v>0</x:v>
      </x:c>
      <x:c r="S275" s="154" t="n">
        <x:v>-113.48686</x:v>
      </x:c>
      <x:c r="T275" s="154" t="n">
        <x:v>53.553961</x:v>
      </x:c>
      <x:c r="U275" s="63" t="str">
        <x:v>reported</x:v>
      </x:c>
      <x:c r="V275" s="63" t="str">
        <x:v>ALBERTA_MAJOR_PROJECTS</x:v>
      </x:c>
      <x:c r="W275" s="63" t="str">
        <x:v>observed</x:v>
      </x:c>
      <x:c r="X275" s="155" t="n">
        <x:v>46265</x:v>
      </x:c>
      <x:c r="Y275" s="63" t="str">
        <x:v>https://www.majorprojects.alberta.ca/</x:v>
      </x:c>
    </x:row>
    <x:row r="276">
      <x:c r="A276" s="63" t="str">
        <x:v>ABMP_11677</x:v>
      </x:c>
      <x:c r="B276" s="63" t="str">
        <x:v>Bridge Construction (Quaite Valley Wildlife)</x:v>
      </x:c>
      <x:c r="C276" s="63" t="str">
        <x:v>Roads Transit And Airports</x:v>
      </x:c>
      <x:c r="D276" s="63" t="str">
        <x:v>inferred</x:v>
      </x:c>
      <x:c r="E276" s="63" t="str">
        <x:v>Roadwork</x:v>
      </x:c>
      <x:c r="F276" s="63" t="str">
        <x:v>Infrastructure</x:v>
      </x:c>
      <x:c r="G276" s="63" t="str">
        <x:v>Alberta Transportation and Economic Corridors</x:v>
      </x:c>
      <x:c r="H276" s="63" t="str">
        <x:v>Government Or Public Institution Signal</x:v>
      </x:c>
      <x:c r="I276" s="63" t="str">
        <x:v>inferred</x:v>
      </x:c>
      <x:c r="J276" s="63" t="str">
        <x:v>Bighorn No. 8</x:v>
      </x:c>
      <x:c r="K276" s="63" t="str">
        <x:v>Proposed</x:v>
      </x:c>
      <x:c r="L276" s="143"/>
      <x:c r="M276" s="179" t="n">
        <x:v>2027</x:v>
      </x:c>
      <x:c r="N276" s="179" t="n">
        <x:v>2028</x:v>
      </x:c>
      <x:c r="O276" s="63" t="str">
        <x:v>overlaps</x:v>
      </x:c>
      <x:c r="P276" s="63" t="str">
        <x:v>2027|2028</x:v>
      </x:c>
      <x:c r="Q276" s="143"/>
      <x:c r="R276" s="143"/>
      <x:c r="S276" s="154" t="n">
        <x:v>-115.142291</x:v>
      </x:c>
      <x:c r="T276" s="154" t="n">
        <x:v>51.055655</x:v>
      </x:c>
      <x:c r="U276" s="63" t="str">
        <x:v>reported</x:v>
      </x:c>
      <x:c r="V276" s="63" t="str">
        <x:v>ALBERTA_MAJOR_PROJECTS</x:v>
      </x:c>
      <x:c r="W276" s="63" t="str">
        <x:v>observed</x:v>
      </x:c>
      <x:c r="X276" s="155" t="n">
        <x:v>46265</x:v>
      </x:c>
      <x:c r="Y276" s="63" t="str">
        <x:v>https://www.majorprojects.alberta.ca/</x:v>
      </x:c>
    </x:row>
    <x:row r="277">
      <x:c r="A277" s="63" t="str">
        <x:v>ABMP_11661</x:v>
      </x:c>
      <x:c r="B277" s="63" t="str">
        <x:v>Bridge Hanger Replacement (Highway 2)</x:v>
      </x:c>
      <x:c r="C277" s="63" t="str">
        <x:v>Roads Transit And Airports</x:v>
      </x:c>
      <x:c r="D277" s="63" t="str">
        <x:v>inferred</x:v>
      </x:c>
      <x:c r="E277" s="63" t="str">
        <x:v>Roadwork</x:v>
      </x:c>
      <x:c r="F277" s="63" t="str">
        <x:v>Infrastructure</x:v>
      </x:c>
      <x:c r="G277" s="63" t="str">
        <x:v>Alberta Transportation and Economic Corridors</x:v>
      </x:c>
      <x:c r="H277" s="63" t="str">
        <x:v>Government Or Public Institution Signal</x:v>
      </x:c>
      <x:c r="I277" s="63" t="str">
        <x:v>inferred</x:v>
      </x:c>
      <x:c r="J277" s="63" t="str">
        <x:v>Peace River</x:v>
      </x:c>
      <x:c r="K277" s="63" t="str">
        <x:v>Under Construction</x:v>
      </x:c>
      <x:c r="L277" s="143"/>
      <x:c r="M277" s="179" t="n">
        <x:v>2026</x:v>
      </x:c>
      <x:c r="N277" s="179" t="n">
        <x:v>2027</x:v>
      </x:c>
      <x:c r="O277" s="63" t="str">
        <x:v>overlaps</x:v>
      </x:c>
      <x:c r="P277" s="63" t="str">
        <x:v>2027</x:v>
      </x:c>
      <x:c r="Q277" s="143"/>
      <x:c r="R277" s="143"/>
      <x:c r="S277" s="154" t="n">
        <x:v>-117.3045707096</x:v>
      </x:c>
      <x:c r="T277" s="154" t="n">
        <x:v>56.2399970253</x:v>
      </x:c>
      <x:c r="U277" s="63" t="str">
        <x:v>reported</x:v>
      </x:c>
      <x:c r="V277" s="63" t="str">
        <x:v>ALBERTA_MAJOR_PROJECTS</x:v>
      </x:c>
      <x:c r="W277" s="63" t="str">
        <x:v>observed</x:v>
      </x:c>
      <x:c r="X277" s="155" t="n">
        <x:v>46265</x:v>
      </x:c>
      <x:c r="Y277" s="63" t="str">
        <x:v>https://www.majorprojects.alberta.ca/</x:v>
      </x:c>
    </x:row>
    <x:row r="278">
      <x:c r="A278" s="63" t="str">
        <x:v>ABMP_11198</x:v>
      </x:c>
      <x:c r="B278" s="63" t="str">
        <x:v>Bridge Rehabilitation - Highway 16 over Highway 43</x:v>
      </x:c>
      <x:c r="C278" s="63" t="str">
        <x:v>Roads Transit And Airports</x:v>
      </x:c>
      <x:c r="D278" s="63" t="str">
        <x:v>inferred</x:v>
      </x:c>
      <x:c r="E278" s="63" t="str">
        <x:v>Roadwork</x:v>
      </x:c>
      <x:c r="F278" s="63" t="str">
        <x:v>Infrastructure</x:v>
      </x:c>
      <x:c r="G278" s="63" t="str">
        <x:v>Alberta Transportation and Economic Corridors</x:v>
      </x:c>
      <x:c r="H278" s="63" t="str">
        <x:v>Government Or Public Institution Signal</x:v>
      </x:c>
      <x:c r="I278" s="63" t="str">
        <x:v>inferred</x:v>
      </x:c>
      <x:c r="J278" s="63" t="str">
        <x:v>Parkland County</x:v>
      </x:c>
      <x:c r="K278" s="63" t="str">
        <x:v>Under Construction</x:v>
      </x:c>
      <x:c r="L278" s="143"/>
      <x:c r="M278" s="179" t="n">
        <x:v>2024</x:v>
      </x:c>
      <x:c r="N278" s="179" t="n">
        <x:v>2026</x:v>
      </x:c>
      <x:c r="O278" s="63" t="str">
        <x:v>outside_window</x:v>
      </x:c>
      <x:c r="P278" s="63" t="str"/>
      <x:c r="Q278" s="143"/>
      <x:c r="R278" s="143"/>
      <x:c r="S278" s="154" t="n">
        <x:v>-114.2213</x:v>
      </x:c>
      <x:c r="T278" s="154" t="n">
        <x:v>53.5701</x:v>
      </x:c>
      <x:c r="U278" s="63" t="str">
        <x:v>reported</x:v>
      </x:c>
      <x:c r="V278" s="63" t="str">
        <x:v>ALBERTA_MAJOR_PROJECTS</x:v>
      </x:c>
      <x:c r="W278" s="63" t="str">
        <x:v>observed</x:v>
      </x:c>
      <x:c r="X278" s="155" t="n">
        <x:v>46265</x:v>
      </x:c>
      <x:c r="Y278" s="63" t="str">
        <x:v>https://www.majorprojects.alberta.ca/</x:v>
      </x:c>
    </x:row>
    <x:row r="279">
      <x:c r="A279" s="63" t="str">
        <x:v>ABMP_11199</x:v>
      </x:c>
      <x:c r="B279" s="63" t="str">
        <x:v>Bridge Rehabilitation - Highway 2 over 39</x:v>
      </x:c>
      <x:c r="C279" s="63" t="str">
        <x:v>Roads Transit And Airports</x:v>
      </x:c>
      <x:c r="D279" s="63" t="str">
        <x:v>inferred</x:v>
      </x:c>
      <x:c r="E279" s="63" t="str">
        <x:v>Roadwork</x:v>
      </x:c>
      <x:c r="F279" s="63" t="str">
        <x:v>Infrastructure</x:v>
      </x:c>
      <x:c r="G279" s="63" t="str">
        <x:v>Alberta Transportation and Economic Corridors</x:v>
      </x:c>
      <x:c r="H279" s="63" t="str">
        <x:v>Government Or Public Institution Signal</x:v>
      </x:c>
      <x:c r="I279" s="63" t="str">
        <x:v>inferred</x:v>
      </x:c>
      <x:c r="J279" s="63" t="str">
        <x:v>Leduc</x:v>
      </x:c>
      <x:c r="K279" s="63" t="str">
        <x:v>Under Construction</x:v>
      </x:c>
      <x:c r="L279" s="143"/>
      <x:c r="M279" s="179" t="n">
        <x:v>2026</x:v>
      </x:c>
      <x:c r="N279" s="179" t="n">
        <x:v>2028</x:v>
      </x:c>
      <x:c r="O279" s="63" t="str">
        <x:v>overlaps</x:v>
      </x:c>
      <x:c r="P279" s="63" t="str">
        <x:v>2027|2028</x:v>
      </x:c>
      <x:c r="Q279" s="143"/>
      <x:c r="R279" s="143"/>
      <x:c r="S279" s="154" t="n">
        <x:v>-113.5639</x:v>
      </x:c>
      <x:c r="T279" s="154" t="n">
        <x:v>53.2645</x:v>
      </x:c>
      <x:c r="U279" s="63" t="str">
        <x:v>reported</x:v>
      </x:c>
      <x:c r="V279" s="63" t="str">
        <x:v>ALBERTA_MAJOR_PROJECTS</x:v>
      </x:c>
      <x:c r="W279" s="63" t="str">
        <x:v>observed</x:v>
      </x:c>
      <x:c r="X279" s="155" t="n">
        <x:v>46265</x:v>
      </x:c>
      <x:c r="Y279" s="63" t="str">
        <x:v>https://www.majorprojects.alberta.ca/</x:v>
      </x:c>
    </x:row>
    <x:row r="280">
      <x:c r="A280" s="63" t="str">
        <x:v>ABMP_11219</x:v>
      </x:c>
      <x:c r="B280" s="63" t="str">
        <x:v>Bridge Replacement - Rosebud River Bridge on Highway 10X</x:v>
      </x:c>
      <x:c r="C280" s="63" t="str">
        <x:v>Roads Transit And Airports</x:v>
      </x:c>
      <x:c r="D280" s="63" t="str">
        <x:v>inferred</x:v>
      </x:c>
      <x:c r="E280" s="63" t="str">
        <x:v>Roadwork</x:v>
      </x:c>
      <x:c r="F280" s="63" t="str">
        <x:v>Infrastructure</x:v>
      </x:c>
      <x:c r="G280" s="63" t="str">
        <x:v>Alberta Transportation and Economic Corridors</x:v>
      </x:c>
      <x:c r="H280" s="63" t="str">
        <x:v>Government Or Public Institution Signal</x:v>
      </x:c>
      <x:c r="I280" s="63" t="str">
        <x:v>inferred</x:v>
      </x:c>
      <x:c r="J280" s="63" t="str">
        <x:v>Drumheller</x:v>
      </x:c>
      <x:c r="K280" s="63" t="str">
        <x:v>Proposed</x:v>
      </x:c>
      <x:c r="L280" s="143"/>
      <x:c r="M280" s="179" t="n">
        <x:v>2027</x:v>
      </x:c>
      <x:c r="N280" s="179" t="n">
        <x:v>2028</x:v>
      </x:c>
      <x:c r="O280" s="63" t="str">
        <x:v>overlaps</x:v>
      </x:c>
      <x:c r="P280" s="63" t="str">
        <x:v>2027|2028</x:v>
      </x:c>
      <x:c r="Q280" s="143"/>
      <x:c r="R280" s="143"/>
      <x:c r="S280" s="154" t="n">
        <x:v>-112.6604</x:v>
      </x:c>
      <x:c r="T280" s="154" t="n">
        <x:v>51.4057</x:v>
      </x:c>
      <x:c r="U280" s="63" t="str">
        <x:v>reported</x:v>
      </x:c>
      <x:c r="V280" s="63" t="str">
        <x:v>ALBERTA_MAJOR_PROJECTS</x:v>
      </x:c>
      <x:c r="W280" s="63" t="str">
        <x:v>observed</x:v>
      </x:c>
      <x:c r="X280" s="155" t="n">
        <x:v>46265</x:v>
      </x:c>
      <x:c r="Y280" s="63" t="str">
        <x:v>https://www.majorprojects.alberta.ca/</x:v>
      </x:c>
    </x:row>
    <x:row r="281">
      <x:c r="A281" s="63" t="str">
        <x:v>ABMP_11526</x:v>
      </x:c>
      <x:c r="B281" s="63" t="str">
        <x:v>Calgary Airport Pre-Security Centralized Passenger Screening Alterations</x:v>
      </x:c>
      <x:c r="C281" s="63" t="str">
        <x:v>Roads Transit And Airports</x:v>
      </x:c>
      <x:c r="D281" s="63" t="str">
        <x:v>inferred</x:v>
      </x:c>
      <x:c r="E281" s="63" t="str">
        <x:v>Airport</x:v>
      </x:c>
      <x:c r="F281" s="63" t="str">
        <x:v>Infrastructure</x:v>
      </x:c>
      <x:c r="G281" s="63" t="str">
        <x:v>Calgary Airport Authority</x:v>
      </x:c>
      <x:c r="H281" s="63" t="str">
        <x:v>Unresolved</x:v>
      </x:c>
      <x:c r="I281" s="63" t="str">
        <x:v>inferred</x:v>
      </x:c>
      <x:c r="J281" s="63" t="str">
        <x:v>Calgary</x:v>
      </x:c>
      <x:c r="K281" s="63" t="str">
        <x:v>Under Construction</x:v>
      </x:c>
      <x:c r="L281" s="143" t="n">
        <x:v>52000000</x:v>
      </x:c>
      <x:c r="M281" s="179" t="n">
        <x:v>2025</x:v>
      </x:c>
      <x:c r="N281" s="179"/>
      <x:c r="O281" s="63" t="str">
        <x:v>indeterminate_incomplete_schedule</x:v>
      </x:c>
      <x:c r="P281" s="63" t="str"/>
      <x:c r="Q281" s="143"/>
      <x:c r="R281" s="143"/>
      <x:c r="S281" s="154" t="n">
        <x:v>-114.009861</x:v>
      </x:c>
      <x:c r="T281" s="154" t="n">
        <x:v>51.130689</x:v>
      </x:c>
      <x:c r="U281" s="63" t="str">
        <x:v>reported</x:v>
      </x:c>
      <x:c r="V281" s="63" t="str">
        <x:v>ALBERTA_MAJOR_PROJECTS</x:v>
      </x:c>
      <x:c r="W281" s="63" t="str">
        <x:v>observed</x:v>
      </x:c>
      <x:c r="X281" s="155" t="n">
        <x:v>46265</x:v>
      </x:c>
      <x:c r="Y281" s="63" t="str">
        <x:v>https://www.majorprojects.alberta.ca/</x:v>
      </x:c>
    </x:row>
    <x:row r="282">
      <x:c r="A282" s="63" t="str">
        <x:v>ABMP_873</x:v>
      </x:c>
      <x:c r="B282" s="63" t="str">
        <x:v>Calgary Green Line LRT, Phase 1</x:v>
      </x:c>
      <x:c r="C282" s="63" t="str">
        <x:v>Roads Transit And Airports</x:v>
      </x:c>
      <x:c r="D282" s="63" t="str">
        <x:v>inferred</x:v>
      </x:c>
      <x:c r="E282" s="63" t="str">
        <x:v>Transit</x:v>
      </x:c>
      <x:c r="F282" s="63" t="str">
        <x:v>Infrastructure</x:v>
      </x:c>
      <x:c r="G282" s="63" t="str">
        <x:v>City of Calgary</x:v>
      </x:c>
      <x:c r="H282" s="63" t="str">
        <x:v>Government Or Public Institution Signal</x:v>
      </x:c>
      <x:c r="I282" s="63" t="str">
        <x:v>inferred</x:v>
      </x:c>
      <x:c r="J282" s="63" t="str">
        <x:v>Calgary</x:v>
      </x:c>
      <x:c r="K282" s="63" t="str">
        <x:v>Under Construction</x:v>
      </x:c>
      <x:c r="L282" s="143" t="n">
        <x:v>6248000000</x:v>
      </x:c>
      <x:c r="M282" s="179" t="n">
        <x:v>2025</x:v>
      </x:c>
      <x:c r="N282" s="179" t="n">
        <x:v>2031</x:v>
      </x:c>
      <x:c r="O282" s="63" t="str">
        <x:v>overlaps</x:v>
      </x:c>
      <x:c r="P282" s="63" t="str">
        <x:v>2027|2028|2029|2030|2031</x:v>
      </x:c>
      <x:c r="Q282" s="143" t="n">
        <x:v>892571428.5714285</x:v>
      </x:c>
      <x:c r="R282" s="143" t="n">
        <x:v>4462857142.857142</x:v>
      </x:c>
      <x:c r="S282" s="154" t="n">
        <x:v>-114.05713</x:v>
      </x:c>
      <x:c r="T282" s="154" t="n">
        <x:v>51.045395</x:v>
      </x:c>
      <x:c r="U282" s="63" t="str">
        <x:v>reported</x:v>
      </x:c>
      <x:c r="V282" s="63" t="str">
        <x:v>ALBERTA_MAJOR_PROJECTS</x:v>
      </x:c>
      <x:c r="W282" s="63" t="str">
        <x:v>observed</x:v>
      </x:c>
      <x:c r="X282" s="155" t="n">
        <x:v>46265</x:v>
      </x:c>
      <x:c r="Y282" s="63" t="str">
        <x:v>https://www.majorprojects.alberta.ca/</x:v>
      </x:c>
    </x:row>
    <x:row r="283">
      <x:c r="A283" s="63" t="str">
        <x:v>ABMP_11826</x:v>
      </x:c>
      <x:c r="B283" s="63" t="str">
        <x:v>Calgary International Airport Concourse A Roof Repairs</x:v>
      </x:c>
      <x:c r="C283" s="63" t="str">
        <x:v>Roads Transit And Airports</x:v>
      </x:c>
      <x:c r="D283" s="63" t="str">
        <x:v>inferred</x:v>
      </x:c>
      <x:c r="E283" s="63" t="str">
        <x:v>Airport</x:v>
      </x:c>
      <x:c r="F283" s="63" t="str">
        <x:v>Infrastructure</x:v>
      </x:c>
      <x:c r="G283" s="63" t="str">
        <x:v>Calgary Airport Authority</x:v>
      </x:c>
      <x:c r="H283" s="63" t="str">
        <x:v>Unresolved</x:v>
      </x:c>
      <x:c r="I283" s="63" t="str">
        <x:v>inferred</x:v>
      </x:c>
      <x:c r="J283" s="63" t="str">
        <x:v>Calgary</x:v>
      </x:c>
      <x:c r="K283" s="63" t="str">
        <x:v>Under Construction</x:v>
      </x:c>
      <x:c r="L283" s="143" t="n">
        <x:v>8900000</x:v>
      </x:c>
      <x:c r="M283" s="179" t="n">
        <x:v>2025</x:v>
      </x:c>
      <x:c r="N283" s="179" t="n">
        <x:v>2027</x:v>
      </x:c>
      <x:c r="O283" s="63" t="str">
        <x:v>overlaps</x:v>
      </x:c>
      <x:c r="P283" s="63" t="str">
        <x:v>2027</x:v>
      </x:c>
      <x:c r="Q283" s="143" t="n">
        <x:v>2966666.6666666665</x:v>
      </x:c>
      <x:c r="R283" s="143" t="n">
        <x:v>2966666.6666666665</x:v>
      </x:c>
      <x:c r="S283" s="154" t="n">
        <x:v>-114.008501</x:v>
      </x:c>
      <x:c r="T283" s="154" t="n">
        <x:v>51.129009</x:v>
      </x:c>
      <x:c r="U283" s="63" t="str">
        <x:v>reported</x:v>
      </x:c>
      <x:c r="V283" s="63" t="str">
        <x:v>ALBERTA_MAJOR_PROJECTS</x:v>
      </x:c>
      <x:c r="W283" s="63" t="str">
        <x:v>observed</x:v>
      </x:c>
      <x:c r="X283" s="155" t="n">
        <x:v>46265</x:v>
      </x:c>
      <x:c r="Y283" s="63" t="str">
        <x:v>https://www.majorprojects.alberta.ca/</x:v>
      </x:c>
    </x:row>
    <x:row r="284">
      <x:c r="A284" s="63" t="str">
        <x:v>ABMP_11680</x:v>
      </x:c>
      <x:c r="B284" s="63" t="str">
        <x:v>Calgary International Airport Concourse B Restauration Work</x:v>
      </x:c>
      <x:c r="C284" s="63" t="str">
        <x:v>Roads Transit And Airports</x:v>
      </x:c>
      <x:c r="D284" s="63" t="str">
        <x:v>inferred</x:v>
      </x:c>
      <x:c r="E284" s="63" t="str">
        <x:v>Airport</x:v>
      </x:c>
      <x:c r="F284" s="63" t="str">
        <x:v>Infrastructure</x:v>
      </x:c>
      <x:c r="G284" s="63" t="str">
        <x:v>Calgary Airport Authority</x:v>
      </x:c>
      <x:c r="H284" s="63" t="str">
        <x:v>Unresolved</x:v>
      </x:c>
      <x:c r="I284" s="63" t="str">
        <x:v>inferred</x:v>
      </x:c>
      <x:c r="J284" s="63" t="str">
        <x:v>Calgary</x:v>
      </x:c>
      <x:c r="K284" s="63" t="str">
        <x:v>Under Construction</x:v>
      </x:c>
      <x:c r="L284" s="143"/>
      <x:c r="M284" s="179" t="n">
        <x:v>2024</x:v>
      </x:c>
      <x:c r="N284" s="179" t="n">
        <x:v>2027</x:v>
      </x:c>
      <x:c r="O284" s="63" t="str">
        <x:v>overlaps</x:v>
      </x:c>
      <x:c r="P284" s="63" t="str">
        <x:v>2027</x:v>
      </x:c>
      <x:c r="Q284" s="143"/>
      <x:c r="R284" s="143"/>
      <x:c r="S284" s="154" t="n">
        <x:v>-114.012648</x:v>
      </x:c>
      <x:c r="T284" s="154" t="n">
        <x:v>51.132583</x:v>
      </x:c>
      <x:c r="U284" s="63" t="str">
        <x:v>reported</x:v>
      </x:c>
      <x:c r="V284" s="63" t="str">
        <x:v>ALBERTA_MAJOR_PROJECTS</x:v>
      </x:c>
      <x:c r="W284" s="63" t="str">
        <x:v>observed</x:v>
      </x:c>
      <x:c r="X284" s="155" t="n">
        <x:v>46265</x:v>
      </x:c>
      <x:c r="Y284" s="63" t="str">
        <x:v>https://www.majorprojects.alberta.ca/</x:v>
      </x:c>
    </x:row>
    <x:row r="285">
      <x:c r="A285" s="63" t="str">
        <x:v>ABMP_3448</x:v>
      </x:c>
      <x:c r="B285" s="63" t="str">
        <x:v>Capital Line LRT Expansion South (Ellerslie)</x:v>
      </x:c>
      <x:c r="C285" s="63" t="str">
        <x:v>Roads Transit And Airports</x:v>
      </x:c>
      <x:c r="D285" s="63" t="str">
        <x:v>inferred</x:v>
      </x:c>
      <x:c r="E285" s="63" t="str">
        <x:v>Transit</x:v>
      </x:c>
      <x:c r="F285" s="63" t="str">
        <x:v>Infrastructure</x:v>
      </x:c>
      <x:c r="G285" s="63" t="str">
        <x:v>City of Edmonton</x:v>
      </x:c>
      <x:c r="H285" s="63" t="str">
        <x:v>Government Or Public Institution Signal</x:v>
      </x:c>
      <x:c r="I285" s="63" t="str">
        <x:v>inferred</x:v>
      </x:c>
      <x:c r="J285" s="63" t="str">
        <x:v>Edmonton</x:v>
      </x:c>
      <x:c r="K285" s="63" t="str">
        <x:v>Under Construction</x:v>
      </x:c>
      <x:c r="L285" s="143" t="n">
        <x:v>1380000000</x:v>
      </x:c>
      <x:c r="M285" s="179" t="n">
        <x:v>2025</x:v>
      </x:c>
      <x:c r="N285" s="179" t="n">
        <x:v>2029</x:v>
      </x:c>
      <x:c r="O285" s="63" t="str">
        <x:v>overlaps</x:v>
      </x:c>
      <x:c r="P285" s="63" t="str">
        <x:v>2027|2028|2029</x:v>
      </x:c>
      <x:c r="Q285" s="143" t="n">
        <x:v>276000000</x:v>
      </x:c>
      <x:c r="R285" s="143" t="n">
        <x:v>828000000</x:v>
      </x:c>
      <x:c r="S285" s="154"/>
      <x:c r="T285" s="154"/>
      <x:c r="U285" s="63" t="str">
        <x:v>reported</x:v>
      </x:c>
      <x:c r="V285" s="63" t="str">
        <x:v>ALBERTA_MAJOR_PROJECTS</x:v>
      </x:c>
      <x:c r="W285" s="63" t="str">
        <x:v>observed</x:v>
      </x:c>
      <x:c r="X285" s="155" t="n">
        <x:v>46265</x:v>
      </x:c>
      <x:c r="Y285" s="63" t="str">
        <x:v>https://www.majorprojects.alberta.ca/</x:v>
      </x:c>
    </x:row>
    <x:row r="286">
      <x:c r="A286" s="63" t="str">
        <x:v>ABMP_11906</x:v>
      </x:c>
      <x:c r="B286" s="63" t="str">
        <x:v>Dawson Bridge Rehabilitation</x:v>
      </x:c>
      <x:c r="C286" s="63" t="str">
        <x:v>Roads Transit And Airports</x:v>
      </x:c>
      <x:c r="D286" s="63" t="str">
        <x:v>inferred</x:v>
      </x:c>
      <x:c r="E286" s="63" t="str">
        <x:v>Roadwork</x:v>
      </x:c>
      <x:c r="F286" s="63" t="str">
        <x:v>Infrastructure</x:v>
      </x:c>
      <x:c r="G286" s="63" t="str">
        <x:v>City of Edmonton</x:v>
      </x:c>
      <x:c r="H286" s="63" t="str">
        <x:v>Government Or Public Institution Signal</x:v>
      </x:c>
      <x:c r="I286" s="63" t="str">
        <x:v>inferred</x:v>
      </x:c>
      <x:c r="J286" s="63" t="str">
        <x:v>Edmonton</x:v>
      </x:c>
      <x:c r="K286" s="63" t="str">
        <x:v>Under Construction</x:v>
      </x:c>
      <x:c r="L286" s="143" t="n">
        <x:v>9000000</x:v>
      </x:c>
      <x:c r="M286" s="179" t="n">
        <x:v>2025</x:v>
      </x:c>
      <x:c r="N286" s="179" t="n">
        <x:v>2026</x:v>
      </x:c>
      <x:c r="O286" s="63" t="str">
        <x:v>outside_window</x:v>
      </x:c>
      <x:c r="P286" s="63" t="str"/>
      <x:c r="Q286" s="143" t="n">
        <x:v>4500000</x:v>
      </x:c>
      <x:c r="R286" s="143" t="n">
        <x:v>0</x:v>
      </x:c>
      <x:c r="S286" s="154" t="n">
        <x:v>-113.466926</x:v>
      </x:c>
      <x:c r="T286" s="154" t="n">
        <x:v>53.548811</x:v>
      </x:c>
      <x:c r="U286" s="63" t="str">
        <x:v>reported</x:v>
      </x:c>
      <x:c r="V286" s="63" t="str">
        <x:v>ALBERTA_MAJOR_PROJECTS</x:v>
      </x:c>
      <x:c r="W286" s="63" t="str">
        <x:v>observed</x:v>
      </x:c>
      <x:c r="X286" s="155" t="n">
        <x:v>46265</x:v>
      </x:c>
      <x:c r="Y286" s="63" t="str">
        <x:v>https://www.majorprojects.alberta.ca/</x:v>
      </x:c>
    </x:row>
    <x:row r="287">
      <x:c r="A287" s="63" t="str">
        <x:v>ABMP_4370</x:v>
      </x:c>
      <x:c r="B287" s="63" t="str">
        <x:v>Deerfoot Trail Upgrade Project</x:v>
      </x:c>
      <x:c r="C287" s="63" t="str">
        <x:v>Roads Transit And Airports</x:v>
      </x:c>
      <x:c r="D287" s="63" t="str">
        <x:v>inferred</x:v>
      </x:c>
      <x:c r="E287" s="63" t="str">
        <x:v>Roadwork</x:v>
      </x:c>
      <x:c r="F287" s="63" t="str">
        <x:v>Infrastructure</x:v>
      </x:c>
      <x:c r="G287" s="63" t="str">
        <x:v>Alberta Transportation and Economic Corridors</x:v>
      </x:c>
      <x:c r="H287" s="63" t="str">
        <x:v>Government Or Public Institution Signal</x:v>
      </x:c>
      <x:c r="I287" s="63" t="str">
        <x:v>inferred</x:v>
      </x:c>
      <x:c r="J287" s="63" t="str">
        <x:v>Calgary</x:v>
      </x:c>
      <x:c r="K287" s="63" t="str">
        <x:v>Under Construction</x:v>
      </x:c>
      <x:c r="L287" s="143" t="n">
        <x:v>615000000</x:v>
      </x:c>
      <x:c r="M287" s="179" t="n">
        <x:v>2021</x:v>
      </x:c>
      <x:c r="N287" s="179" t="n">
        <x:v>2027</x:v>
      </x:c>
      <x:c r="O287" s="63" t="str">
        <x:v>overlaps</x:v>
      </x:c>
      <x:c r="P287" s="63" t="str">
        <x:v>2027</x:v>
      </x:c>
      <x:c r="Q287" s="143" t="n">
        <x:v>87857142.85714285</x:v>
      </x:c>
      <x:c r="R287" s="143" t="n">
        <x:v>87857142.85714285</x:v>
      </x:c>
      <x:c r="S287" s="154"/>
      <x:c r="T287" s="154"/>
      <x:c r="U287" s="63" t="str">
        <x:v>reported</x:v>
      </x:c>
      <x:c r="V287" s="63" t="str">
        <x:v>ALBERTA_MAJOR_PROJECTS</x:v>
      </x:c>
      <x:c r="W287" s="63" t="str">
        <x:v>observed</x:v>
      </x:c>
      <x:c r="X287" s="155" t="n">
        <x:v>46265</x:v>
      </x:c>
      <x:c r="Y287" s="63" t="str">
        <x:v>https://www.majorprojects.alberta.ca/</x:v>
      </x:c>
    </x:row>
    <x:row r="288">
      <x:c r="A288" s="63" t="str">
        <x:v>ABMP_12126</x:v>
      </x:c>
      <x:c r="B288" s="63" t="str">
        <x:v>Edmonton International Airport North Tower Renovation</x:v>
      </x:c>
      <x:c r="C288" s="63" t="str">
        <x:v>Roads Transit And Airports</x:v>
      </x:c>
      <x:c r="D288" s="63" t="str">
        <x:v>inferred</x:v>
      </x:c>
      <x:c r="E288" s="63" t="str">
        <x:v>Airport</x:v>
      </x:c>
      <x:c r="F288" s="63" t="str">
        <x:v>Infrastructure</x:v>
      </x:c>
      <x:c r="G288" s="63" t="str">
        <x:v>Edmonton International Airport</x:v>
      </x:c>
      <x:c r="H288" s="63" t="str">
        <x:v>Unresolved</x:v>
      </x:c>
      <x:c r="I288" s="63" t="str">
        <x:v>inferred</x:v>
      </x:c>
      <x:c r="J288" s="63" t="str">
        <x:v>Leduc County</x:v>
      </x:c>
      <x:c r="K288" s="63" t="str">
        <x:v>Proposed</x:v>
      </x:c>
      <x:c r="L288" s="143"/>
      <x:c r="M288" s="179"/>
      <x:c r="N288" s="179" t="n">
        <x:v>2028</x:v>
      </x:c>
      <x:c r="O288" s="63" t="str">
        <x:v>indeterminate_incomplete_schedule</x:v>
      </x:c>
      <x:c r="P288" s="63" t="str"/>
      <x:c r="Q288" s="143"/>
      <x:c r="R288" s="143"/>
      <x:c r="S288" s="154" t="n">
        <x:v>-113.57706261063541</x:v>
      </x:c>
      <x:c r="T288" s="154" t="n">
        <x:v>53.30324993797205</x:v>
      </x:c>
      <x:c r="U288" s="63" t="str">
        <x:v>approximate</x:v>
      </x:c>
      <x:c r="V288" s="63" t="str">
        <x:v>ALBERTA_MAJOR_PROJECTS</x:v>
      </x:c>
      <x:c r="W288" s="63" t="str">
        <x:v>observed</x:v>
      </x:c>
      <x:c r="X288" s="155" t="n">
        <x:v>46265</x:v>
      </x:c>
      <x:c r="Y288" s="63" t="str">
        <x:v>https://www.majorprojects.alberta.ca/</x:v>
      </x:c>
    </x:row>
    <x:row r="289">
      <x:c r="A289" s="63" t="str">
        <x:v>ABMP_10659</x:v>
      </x:c>
      <x:c r="B289" s="63" t="str">
        <x:v>Edmonton International Cargo Hub (Phase 1)</x:v>
      </x:c>
      <x:c r="C289" s="63" t="str">
        <x:v>Roads Transit And Airports</x:v>
      </x:c>
      <x:c r="D289" s="63" t="str">
        <x:v>inferred</x:v>
      </x:c>
      <x:c r="E289" s="63" t="str">
        <x:v>Airport</x:v>
      </x:c>
      <x:c r="F289" s="63" t="str">
        <x:v>Infrastructure</x:v>
      </x:c>
      <x:c r="G289" s="63" t="str">
        <x:v>Edmonton International Airport</x:v>
      </x:c>
      <x:c r="H289" s="63" t="str">
        <x:v>Unresolved</x:v>
      </x:c>
      <x:c r="I289" s="63" t="str">
        <x:v>inferred</x:v>
      </x:c>
      <x:c r="J289" s="63" t="str">
        <x:v>Leduc County</x:v>
      </x:c>
      <x:c r="K289" s="63" t="str">
        <x:v>Proposed</x:v>
      </x:c>
      <x:c r="L289" s="143" t="n">
        <x:v>180000000</x:v>
      </x:c>
      <x:c r="M289" s="179"/>
      <x:c r="N289" s="179"/>
      <x:c r="O289" s="63" t="str">
        <x:v>indeterminate_incomplete_schedule</x:v>
      </x:c>
      <x:c r="P289" s="63" t="str"/>
      <x:c r="Q289" s="143"/>
      <x:c r="R289" s="143"/>
      <x:c r="S289" s="154" t="n">
        <x:v>-113.580772</x:v>
      </x:c>
      <x:c r="T289" s="154" t="n">
        <x:v>53.315825</x:v>
      </x:c>
      <x:c r="U289" s="63" t="str">
        <x:v>reported</x:v>
      </x:c>
      <x:c r="V289" s="63" t="str">
        <x:v>ALBERTA_MAJOR_PROJECTS</x:v>
      </x:c>
      <x:c r="W289" s="63" t="str">
        <x:v>observed</x:v>
      </x:c>
      <x:c r="X289" s="155" t="n">
        <x:v>46265</x:v>
      </x:c>
      <x:c r="Y289" s="63" t="str">
        <x:v>https://www.majorprojects.alberta.ca/</x:v>
      </x:c>
    </x:row>
    <x:row r="290">
      <x:c r="A290" s="63" t="str">
        <x:v>ABMP_11176</x:v>
      </x:c>
      <x:c r="B290" s="63" t="str">
        <x:v>Fish Creek Bridge Replacement (Highway 22)</x:v>
      </x:c>
      <x:c r="C290" s="63" t="str">
        <x:v>Roads Transit And Airports</x:v>
      </x:c>
      <x:c r="D290" s="63" t="str">
        <x:v>inferred</x:v>
      </x:c>
      <x:c r="E290" s="63" t="str">
        <x:v>Roadwork</x:v>
      </x:c>
      <x:c r="F290" s="63" t="str">
        <x:v>Infrastructure</x:v>
      </x:c>
      <x:c r="G290" s="63" t="str">
        <x:v>Alberta Transportation and Economic Corridors</x:v>
      </x:c>
      <x:c r="H290" s="63" t="str">
        <x:v>Government Or Public Institution Signal</x:v>
      </x:c>
      <x:c r="I290" s="63" t="str">
        <x:v>inferred</x:v>
      </x:c>
      <x:c r="J290" s="63" t="str">
        <x:v>Foothills No. 31</x:v>
      </x:c>
      <x:c r="K290" s="63" t="str">
        <x:v>Proposed</x:v>
      </x:c>
      <x:c r="L290" s="143"/>
      <x:c r="M290" s="179" t="n">
        <x:v>2027</x:v>
      </x:c>
      <x:c r="N290" s="179" t="n">
        <x:v>2028</x:v>
      </x:c>
      <x:c r="O290" s="63" t="str">
        <x:v>overlaps</x:v>
      </x:c>
      <x:c r="P290" s="63" t="str">
        <x:v>2027|2028</x:v>
      </x:c>
      <x:c r="Q290" s="143"/>
      <x:c r="R290" s="143"/>
      <x:c r="S290" s="154"/>
      <x:c r="T290" s="154"/>
      <x:c r="U290" s="63" t="str">
        <x:v>reported</x:v>
      </x:c>
      <x:c r="V290" s="63" t="str">
        <x:v>ALBERTA_MAJOR_PROJECTS</x:v>
      </x:c>
      <x:c r="W290" s="63" t="str">
        <x:v>observed</x:v>
      </x:c>
      <x:c r="X290" s="155" t="n">
        <x:v>46265</x:v>
      </x:c>
      <x:c r="Y290" s="63" t="str">
        <x:v>https://www.majorprojects.alberta.ca/</x:v>
      </x:c>
    </x:row>
    <x:row r="291">
      <x:c r="A291" s="63" t="str">
        <x:v>ABMP_12043</x:v>
      </x:c>
      <x:c r="B291" s="63" t="str">
        <x:v>Hamlet of Evansburg Infrastructure Rehabilitation</x:v>
      </x:c>
      <x:c r="C291" s="63" t="str">
        <x:v>Roads Transit And Airports</x:v>
      </x:c>
      <x:c r="D291" s="63" t="str">
        <x:v>inferred</x:v>
      </x:c>
      <x:c r="E291" s="63" t="str">
        <x:v>Roadwork</x:v>
      </x:c>
      <x:c r="F291" s="63" t="str">
        <x:v>Infrastructure</x:v>
      </x:c>
      <x:c r="G291" s="63" t="str">
        <x:v>Yellowhead County</x:v>
      </x:c>
      <x:c r="H291" s="63" t="str">
        <x:v>Unresolved</x:v>
      </x:c>
      <x:c r="I291" s="63" t="str">
        <x:v>inferred</x:v>
      </x:c>
      <x:c r="J291" s="63" t="str">
        <x:v>Yellowhead County</x:v>
      </x:c>
      <x:c r="K291" s="63" t="str">
        <x:v>Under Construction</x:v>
      </x:c>
      <x:c r="L291" s="143" t="n">
        <x:v>6400000</x:v>
      </x:c>
      <x:c r="M291" s="179" t="n">
        <x:v>2026</x:v>
      </x:c>
      <x:c r="N291" s="179" t="n">
        <x:v>2026</x:v>
      </x:c>
      <x:c r="O291" s="63" t="str">
        <x:v>outside_window</x:v>
      </x:c>
      <x:c r="P291" s="63" t="str"/>
      <x:c r="Q291" s="143" t="n">
        <x:v>6400000</x:v>
      </x:c>
      <x:c r="R291" s="143" t="n">
        <x:v>0</x:v>
      </x:c>
      <x:c r="S291" s="154" t="n">
        <x:v>-115.014496</x:v>
      </x:c>
      <x:c r="T291" s="154" t="n">
        <x:v>53.602394</x:v>
      </x:c>
      <x:c r="U291" s="63" t="str">
        <x:v>approximate</x:v>
      </x:c>
      <x:c r="V291" s="63" t="str">
        <x:v>ALBERTA_MAJOR_PROJECTS</x:v>
      </x:c>
      <x:c r="W291" s="63" t="str">
        <x:v>observed</x:v>
      </x:c>
      <x:c r="X291" s="155" t="n">
        <x:v>46265</x:v>
      </x:c>
      <x:c r="Y291" s="63" t="str">
        <x:v>https://www.majorprojects.alberta.ca/</x:v>
      </x:c>
    </x:row>
    <x:row r="292">
      <x:c r="A292" s="63" t="str">
        <x:v>ABMP_10717</x:v>
      </x:c>
      <x:c r="B292" s="63" t="str">
        <x:v>High Level Bridge Rehabilitation</x:v>
      </x:c>
      <x:c r="C292" s="63" t="str">
        <x:v>Roads Transit And Airports</x:v>
      </x:c>
      <x:c r="D292" s="63" t="str">
        <x:v>inferred</x:v>
      </x:c>
      <x:c r="E292" s="63" t="str">
        <x:v>Roadwork</x:v>
      </x:c>
      <x:c r="F292" s="63" t="str">
        <x:v>Infrastructure</x:v>
      </x:c>
      <x:c r="G292" s="63" t="str">
        <x:v>City of Edmonton</x:v>
      </x:c>
      <x:c r="H292" s="63" t="str">
        <x:v>Government Or Public Institution Signal</x:v>
      </x:c>
      <x:c r="I292" s="63" t="str">
        <x:v>inferred</x:v>
      </x:c>
      <x:c r="J292" s="63" t="str">
        <x:v>Edmonton</x:v>
      </x:c>
      <x:c r="K292" s="63" t="str">
        <x:v>Proposed</x:v>
      </x:c>
      <x:c r="L292" s="143"/>
      <x:c r="M292" s="179"/>
      <x:c r="N292" s="179"/>
      <x:c r="O292" s="63" t="str">
        <x:v>indeterminate_incomplete_schedule</x:v>
      </x:c>
      <x:c r="P292" s="63" t="str"/>
      <x:c r="Q292" s="143"/>
      <x:c r="R292" s="143"/>
      <x:c r="S292" s="154" t="n">
        <x:v>-113.511037</x:v>
      </x:c>
      <x:c r="T292" s="154" t="n">
        <x:v>53.530235</x:v>
      </x:c>
      <x:c r="U292" s="63" t="str">
        <x:v>reported</x:v>
      </x:c>
      <x:c r="V292" s="63" t="str">
        <x:v>ALBERTA_MAJOR_PROJECTS</x:v>
      </x:c>
      <x:c r="W292" s="63" t="str">
        <x:v>observed</x:v>
      </x:c>
      <x:c r="X292" s="155" t="n">
        <x:v>46265</x:v>
      </x:c>
      <x:c r="Y292" s="63" t="str">
        <x:v>https://www.majorprojects.alberta.ca/</x:v>
      </x:c>
    </x:row>
    <x:row r="293">
      <x:c r="A293" s="63" t="str">
        <x:v>ABMP_11324</x:v>
      </x:c>
      <x:c r="B293" s="63" t="str">
        <x:v>Highway 1 and 3 Lighting Improvements (Medicine Hat)</x:v>
      </x:c>
      <x:c r="C293" s="63" t="str">
        <x:v>Roads Transit And Airports</x:v>
      </x:c>
      <x:c r="D293" s="63" t="str">
        <x:v>inferred</x:v>
      </x:c>
      <x:c r="E293" s="63" t="str">
        <x:v>Roadwork</x:v>
      </x:c>
      <x:c r="F293" s="63" t="str">
        <x:v>Infrastructure</x:v>
      </x:c>
      <x:c r="G293" s="63" t="str">
        <x:v>Alberta Transportation and Economic Corridors</x:v>
      </x:c>
      <x:c r="H293" s="63" t="str">
        <x:v>Government Or Public Institution Signal</x:v>
      </x:c>
      <x:c r="I293" s="63" t="str">
        <x:v>inferred</x:v>
      </x:c>
      <x:c r="J293" s="63" t="str">
        <x:v>Medicine Hat</x:v>
      </x:c>
      <x:c r="K293" s="63" t="str">
        <x:v>Under Construction</x:v>
      </x:c>
      <x:c r="L293" s="143"/>
      <x:c r="M293" s="179" t="n">
        <x:v>2024</x:v>
      </x:c>
      <x:c r="N293" s="179" t="n">
        <x:v>2026</x:v>
      </x:c>
      <x:c r="O293" s="63" t="str">
        <x:v>outside_window</x:v>
      </x:c>
      <x:c r="P293" s="63" t="str"/>
      <x:c r="Q293" s="143"/>
      <x:c r="R293" s="143"/>
      <x:c r="S293" s="154" t="n">
        <x:v>-110.70327610496447</x:v>
      </x:c>
      <x:c r="T293" s="154" t="n">
        <x:v>50.02912103099797</x:v>
      </x:c>
      <x:c r="U293" s="63" t="str">
        <x:v>reported</x:v>
      </x:c>
      <x:c r="V293" s="63" t="str">
        <x:v>ALBERTA_MAJOR_PROJECTS</x:v>
      </x:c>
      <x:c r="W293" s="63" t="str">
        <x:v>observed</x:v>
      </x:c>
      <x:c r="X293" s="155" t="n">
        <x:v>46265</x:v>
      </x:c>
      <x:c r="Y293" s="63" t="str">
        <x:v>https://www.majorprojects.alberta.ca/</x:v>
      </x:c>
    </x:row>
    <x:row r="294">
      <x:c r="A294" s="63" t="str">
        <x:v>ABMP_11792</x:v>
      </x:c>
      <x:c r="B294" s="63" t="str">
        <x:v>Highway 1 and Range Road 33 Interchange Project</x:v>
      </x:c>
      <x:c r="C294" s="63" t="str">
        <x:v>Roads Transit And Airports</x:v>
      </x:c>
      <x:c r="D294" s="63" t="str">
        <x:v>inferred</x:v>
      </x:c>
      <x:c r="E294" s="63" t="str">
        <x:v>Roadwork</x:v>
      </x:c>
      <x:c r="F294" s="63" t="str">
        <x:v>Infrastructure</x:v>
      </x:c>
      <x:c r="G294" s="63" t="str">
        <x:v>Alberta Transportation and Economic Corridors</x:v>
      </x:c>
      <x:c r="H294" s="63" t="str">
        <x:v>Government Or Public Institution Signal</x:v>
      </x:c>
      <x:c r="I294" s="63" t="str">
        <x:v>inferred</x:v>
      </x:c>
      <x:c r="J294" s="63" t="str">
        <x:v>Rocky View County</x:v>
      </x:c>
      <x:c r="K294" s="63" t="str">
        <x:v>Under Construction</x:v>
      </x:c>
      <x:c r="L294" s="143" t="n">
        <x:v>49400000</x:v>
      </x:c>
      <x:c r="M294" s="179" t="n">
        <x:v>2025</x:v>
      </x:c>
      <x:c r="N294" s="179" t="n">
        <x:v>2027</x:v>
      </x:c>
      <x:c r="O294" s="63" t="str">
        <x:v>overlaps</x:v>
      </x:c>
      <x:c r="P294" s="63" t="str">
        <x:v>2027</x:v>
      </x:c>
      <x:c r="Q294" s="143" t="n">
        <x:v>16466666.666666666</x:v>
      </x:c>
      <x:c r="R294" s="143" t="n">
        <x:v>16466666.666666666</x:v>
      </x:c>
      <x:c r="S294" s="154" t="n">
        <x:v>-114.350564</x:v>
      </x:c>
      <x:c r="T294" s="154" t="n">
        <x:v>51.088918</x:v>
      </x:c>
      <x:c r="U294" s="63" t="str">
        <x:v>reported</x:v>
      </x:c>
      <x:c r="V294" s="63" t="str">
        <x:v>ALBERTA_MAJOR_PROJECTS</x:v>
      </x:c>
      <x:c r="W294" s="63" t="str">
        <x:v>observed</x:v>
      </x:c>
      <x:c r="X294" s="155" t="n">
        <x:v>46265</x:v>
      </x:c>
      <x:c r="Y294" s="63" t="str">
        <x:v>https://www.majorprojects.alberta.ca/</x:v>
      </x:c>
    </x:row>
    <x:row r="295">
      <x:c r="A295" s="63" t="str">
        <x:v>ABMP_4162</x:v>
      </x:c>
      <x:c r="B295" s="63" t="str">
        <x:v>Highway 11 Twinning  (Red Deer West to Rocky Mountain House)</x:v>
      </x:c>
      <x:c r="C295" s="63" t="str">
        <x:v>Roads Transit And Airports</x:v>
      </x:c>
      <x:c r="D295" s="63" t="str">
        <x:v>inferred</x:v>
      </x:c>
      <x:c r="E295" s="63" t="str">
        <x:v>Roadwork</x:v>
      </x:c>
      <x:c r="F295" s="63" t="str">
        <x:v>Infrastructure</x:v>
      </x:c>
      <x:c r="G295" s="63" t="str">
        <x:v>Alberta Transportation and Economic Corridors</x:v>
      </x:c>
      <x:c r="H295" s="63" t="str">
        <x:v>Government Or Public Institution Signal</x:v>
      </x:c>
      <x:c r="I295" s="63" t="str">
        <x:v>inferred</x:v>
      </x:c>
      <x:c r="J295" s="63" t="str">
        <x:v>Clearwater County|Lacombe County|Red Deer County|Rocky Mountain House</x:v>
      </x:c>
      <x:c r="K295" s="63" t="str">
        <x:v>Under Construction</x:v>
      </x:c>
      <x:c r="L295" s="143" t="n">
        <x:v>120000000</x:v>
      </x:c>
      <x:c r="M295" s="179" t="n">
        <x:v>2023</x:v>
      </x:c>
      <x:c r="N295" s="179" t="n">
        <x:v>2028</x:v>
      </x:c>
      <x:c r="O295" s="63" t="str">
        <x:v>overlaps</x:v>
      </x:c>
      <x:c r="P295" s="63" t="str">
        <x:v>2027|2028</x:v>
      </x:c>
      <x:c r="Q295" s="143" t="n">
        <x:v>20000000</x:v>
      </x:c>
      <x:c r="R295" s="143" t="n">
        <x:v>40000000</x:v>
      </x:c>
      <x:c r="S295" s="154"/>
      <x:c r="T295" s="154"/>
      <x:c r="U295" s="63" t="str">
        <x:v>reported</x:v>
      </x:c>
      <x:c r="V295" s="63" t="str">
        <x:v>ALBERTA_MAJOR_PROJECTS</x:v>
      </x:c>
      <x:c r="W295" s="63" t="str">
        <x:v>observed</x:v>
      </x:c>
      <x:c r="X295" s="155" t="n">
        <x:v>46265</x:v>
      </x:c>
      <x:c r="Y295" s="63" t="str">
        <x:v>https://www.majorprojects.alberta.ca/</x:v>
      </x:c>
    </x:row>
    <x:row r="296">
      <x:c r="A296" s="63" t="str">
        <x:v>ABMP_10628</x:v>
      </x:c>
      <x:c r="B296" s="63" t="str">
        <x:v>Highway 14 Repaving (Partial)</x:v>
      </x:c>
      <x:c r="C296" s="63" t="str">
        <x:v>Roads Transit And Airports</x:v>
      </x:c>
      <x:c r="D296" s="63" t="str">
        <x:v>inferred</x:v>
      </x:c>
      <x:c r="E296" s="63" t="str">
        <x:v>Roadwork</x:v>
      </x:c>
      <x:c r="F296" s="63" t="str">
        <x:v>Infrastructure</x:v>
      </x:c>
      <x:c r="G296" s="63" t="str">
        <x:v>Alberta Transportation and Economic Corridors</x:v>
      </x:c>
      <x:c r="H296" s="63" t="str">
        <x:v>Government Or Public Institution Signal</x:v>
      </x:c>
      <x:c r="I296" s="63" t="str">
        <x:v>inferred</x:v>
      </x:c>
      <x:c r="J296" s="63" t="str">
        <x:v>Strathcona County</x:v>
      </x:c>
      <x:c r="K296" s="63" t="str">
        <x:v>Under Construction</x:v>
      </x:c>
      <x:c r="L296" s="143"/>
      <x:c r="M296" s="179" t="n">
        <x:v>2026</x:v>
      </x:c>
      <x:c r="N296" s="179" t="n">
        <x:v>2027</x:v>
      </x:c>
      <x:c r="O296" s="63" t="str">
        <x:v>overlaps</x:v>
      </x:c>
      <x:c r="P296" s="63" t="str">
        <x:v>2027</x:v>
      </x:c>
      <x:c r="Q296" s="143"/>
      <x:c r="R296" s="143"/>
      <x:c r="S296" s="154"/>
      <x:c r="T296" s="154"/>
      <x:c r="U296" s="63" t="str">
        <x:v>reported</x:v>
      </x:c>
      <x:c r="V296" s="63" t="str">
        <x:v>ALBERTA_MAJOR_PROJECTS</x:v>
      </x:c>
      <x:c r="W296" s="63" t="str">
        <x:v>observed</x:v>
      </x:c>
      <x:c r="X296" s="155" t="n">
        <x:v>46265</x:v>
      </x:c>
      <x:c r="Y296" s="63" t="str">
        <x:v>https://www.majorprojects.alberta.ca/</x:v>
      </x:c>
    </x:row>
    <x:row r="297">
      <x:c r="A297" s="63" t="str">
        <x:v>ABMP_11298</x:v>
      </x:c>
      <x:c r="B297" s="63" t="str">
        <x:v>Highway 14 Repaving (To Saskatchewan Border)</x:v>
      </x:c>
      <x:c r="C297" s="63" t="str">
        <x:v>Roads Transit And Airports</x:v>
      </x:c>
      <x:c r="D297" s="63" t="str">
        <x:v>inferred</x:v>
      </x:c>
      <x:c r="E297" s="63" t="str">
        <x:v>Roadwork</x:v>
      </x:c>
      <x:c r="F297" s="63" t="str">
        <x:v>Infrastructure</x:v>
      </x:c>
      <x:c r="G297" s="63" t="str">
        <x:v>Alberta Transportation and Economic Corridors</x:v>
      </x:c>
      <x:c r="H297" s="63" t="str">
        <x:v>Government Or Public Institution Signal</x:v>
      </x:c>
      <x:c r="I297" s="63" t="str">
        <x:v>inferred</x:v>
      </x:c>
      <x:c r="J297" s="63" t="str">
        <x:v>Wainwright No. 61</x:v>
      </x:c>
      <x:c r="K297" s="63" t="str">
        <x:v>Under Construction</x:v>
      </x:c>
      <x:c r="L297" s="143"/>
      <x:c r="M297" s="179" t="n">
        <x:v>2024</x:v>
      </x:c>
      <x:c r="N297" s="179"/>
      <x:c r="O297" s="63" t="str">
        <x:v>indeterminate_incomplete_schedule</x:v>
      </x:c>
      <x:c r="P297" s="63" t="str"/>
      <x:c r="Q297" s="143"/>
      <x:c r="R297" s="143"/>
      <x:c r="S297" s="154"/>
      <x:c r="T297" s="154"/>
      <x:c r="U297" s="63" t="str">
        <x:v>reported</x:v>
      </x:c>
      <x:c r="V297" s="63" t="str">
        <x:v>ALBERTA_MAJOR_PROJECTS</x:v>
      </x:c>
      <x:c r="W297" s="63" t="str">
        <x:v>observed</x:v>
      </x:c>
      <x:c r="X297" s="155" t="n">
        <x:v>46265</x:v>
      </x:c>
      <x:c r="Y297" s="63" t="str">
        <x:v>https://www.majorprojects.alberta.ca/</x:v>
      </x:c>
    </x:row>
    <x:row r="298">
      <x:c r="A298" s="63" t="str">
        <x:v>ABMP_11977</x:v>
      </x:c>
      <x:c r="B298" s="63" t="str">
        <x:v>Highway 16 Repaving (Near Lloydminster)</x:v>
      </x:c>
      <x:c r="C298" s="63" t="str">
        <x:v>Roads Transit And Airports</x:v>
      </x:c>
      <x:c r="D298" s="63" t="str">
        <x:v>inferred</x:v>
      </x:c>
      <x:c r="E298" s="63" t="str">
        <x:v>Roadwork</x:v>
      </x:c>
      <x:c r="F298" s="63" t="str">
        <x:v>Infrastructure</x:v>
      </x:c>
      <x:c r="G298" s="63" t="str">
        <x:v>Alberta Transportation and Economic Corridors</x:v>
      </x:c>
      <x:c r="H298" s="63" t="str">
        <x:v>Government Or Public Institution Signal</x:v>
      </x:c>
      <x:c r="I298" s="63" t="str">
        <x:v>inferred</x:v>
      </x:c>
      <x:c r="J298" s="63" t="str">
        <x:v>Kitscoty|Vermilion River County</x:v>
      </x:c>
      <x:c r="K298" s="63" t="str">
        <x:v>Proposed</x:v>
      </x:c>
      <x:c r="L298" s="143"/>
      <x:c r="M298" s="179" t="n">
        <x:v>2027</x:v>
      </x:c>
      <x:c r="N298" s="179" t="n">
        <x:v>2027</x:v>
      </x:c>
      <x:c r="O298" s="63" t="str">
        <x:v>overlaps</x:v>
      </x:c>
      <x:c r="P298" s="63" t="str">
        <x:v>2027</x:v>
      </x:c>
      <x:c r="Q298" s="143"/>
      <x:c r="R298" s="143"/>
      <x:c r="S298" s="154"/>
      <x:c r="T298" s="154"/>
      <x:c r="U298" s="63" t="str">
        <x:v>reported</x:v>
      </x:c>
      <x:c r="V298" s="63" t="str">
        <x:v>ALBERTA_MAJOR_PROJECTS</x:v>
      </x:c>
      <x:c r="W298" s="63" t="str">
        <x:v>observed</x:v>
      </x:c>
      <x:c r="X298" s="155" t="n">
        <x:v>46265</x:v>
      </x:c>
      <x:c r="Y298" s="63" t="str">
        <x:v>https://www.majorprojects.alberta.ca/</x:v>
      </x:c>
    </x:row>
    <x:row r="299">
      <x:c r="A299" s="63" t="str">
        <x:v>ABMP_11294</x:v>
      </x:c>
      <x:c r="B299" s="63" t="str">
        <x:v>Highway 16 Repaving (Wabamun)</x:v>
      </x:c>
      <x:c r="C299" s="63" t="str">
        <x:v>Roads Transit And Airports</x:v>
      </x:c>
      <x:c r="D299" s="63" t="str">
        <x:v>inferred</x:v>
      </x:c>
      <x:c r="E299" s="63" t="str">
        <x:v>Roadwork</x:v>
      </x:c>
      <x:c r="F299" s="63" t="str">
        <x:v>Infrastructure</x:v>
      </x:c>
      <x:c r="G299" s="63" t="str">
        <x:v>Alberta Transportation and Economic Corridors</x:v>
      </x:c>
      <x:c r="H299" s="63" t="str">
        <x:v>Government Or Public Institution Signal</x:v>
      </x:c>
      <x:c r="I299" s="63" t="str">
        <x:v>inferred</x:v>
      </x:c>
      <x:c r="J299" s="63" t="str">
        <x:v>Parkland County|Wabamun</x:v>
      </x:c>
      <x:c r="K299" s="63" t="str">
        <x:v>Under Construction</x:v>
      </x:c>
      <x:c r="L299" s="143"/>
      <x:c r="M299" s="179" t="n">
        <x:v>2026</x:v>
      </x:c>
      <x:c r="N299" s="179" t="n">
        <x:v>2027</x:v>
      </x:c>
      <x:c r="O299" s="63" t="str">
        <x:v>overlaps</x:v>
      </x:c>
      <x:c r="P299" s="63" t="str">
        <x:v>2027</x:v>
      </x:c>
      <x:c r="Q299" s="143"/>
      <x:c r="R299" s="143"/>
      <x:c r="S299" s="154"/>
      <x:c r="T299" s="154"/>
      <x:c r="U299" s="63" t="str">
        <x:v>reported</x:v>
      </x:c>
      <x:c r="V299" s="63" t="str">
        <x:v>ALBERTA_MAJOR_PROJECTS</x:v>
      </x:c>
      <x:c r="W299" s="63" t="str">
        <x:v>observed</x:v>
      </x:c>
      <x:c r="X299" s="155" t="n">
        <x:v>46265</x:v>
      </x:c>
      <x:c r="Y299" s="63" t="str">
        <x:v>https://www.majorprojects.alberta.ca/</x:v>
      </x:c>
    </x:row>
    <x:row r="300">
      <x:c r="A300" s="63" t="str">
        <x:v>ABMP_10900</x:v>
      </x:c>
      <x:c r="B300" s="63" t="str">
        <x:v>Highway 16A and Range Road 20 Intersection Improvements</x:v>
      </x:c>
      <x:c r="C300" s="63" t="str">
        <x:v>Roads Transit And Airports</x:v>
      </x:c>
      <x:c r="D300" s="63" t="str">
        <x:v>inferred</x:v>
      </x:c>
      <x:c r="E300" s="63" t="str">
        <x:v>Roadwork</x:v>
      </x:c>
      <x:c r="F300" s="63" t="str">
        <x:v>Infrastructure</x:v>
      </x:c>
      <x:c r="G300" s="63" t="str">
        <x:v>Alberta Transportation and Economic Corridors</x:v>
      </x:c>
      <x:c r="H300" s="63" t="str">
        <x:v>Government Or Public Institution Signal</x:v>
      </x:c>
      <x:c r="I300" s="63" t="str">
        <x:v>inferred</x:v>
      </x:c>
      <x:c r="J300" s="63" t="str">
        <x:v>Parkland County</x:v>
      </x:c>
      <x:c r="K300" s="63" t="str">
        <x:v>Under Construction</x:v>
      </x:c>
      <x:c r="L300" s="143"/>
      <x:c r="M300" s="179" t="n">
        <x:v>2026</x:v>
      </x:c>
      <x:c r="N300" s="179"/>
      <x:c r="O300" s="63" t="str">
        <x:v>indeterminate_incomplete_schedule</x:v>
      </x:c>
      <x:c r="P300" s="63" t="str"/>
      <x:c r="Q300" s="143"/>
      <x:c r="R300" s="143"/>
      <x:c r="S300" s="154" t="n">
        <x:v>-114.149201</x:v>
      </x:c>
      <x:c r="T300" s="154" t="n">
        <x:v>53.565153</x:v>
      </x:c>
      <x:c r="U300" s="63" t="str">
        <x:v>reported</x:v>
      </x:c>
      <x:c r="V300" s="63" t="str">
        <x:v>ALBERTA_MAJOR_PROJECTS</x:v>
      </x:c>
      <x:c r="W300" s="63" t="str">
        <x:v>observed</x:v>
      </x:c>
      <x:c r="X300" s="155" t="n">
        <x:v>46265</x:v>
      </x:c>
      <x:c r="Y300" s="63" t="str">
        <x:v>https://www.majorprojects.alberta.ca/</x:v>
      </x:c>
    </x:row>
    <x:row r="301">
      <x:c r="A301" s="63" t="str">
        <x:v>ABMP_3455</x:v>
      </x:c>
      <x:c r="B301" s="63" t="str">
        <x:v>Highway 1A / Highway 22 Interchange</x:v>
      </x:c>
      <x:c r="C301" s="63" t="str">
        <x:v>Roads Transit And Airports</x:v>
      </x:c>
      <x:c r="D301" s="63" t="str">
        <x:v>inferred</x:v>
      </x:c>
      <x:c r="E301" s="63" t="str">
        <x:v>Roadwork</x:v>
      </x:c>
      <x:c r="F301" s="63" t="str">
        <x:v>Infrastructure</x:v>
      </x:c>
      <x:c r="G301" s="63" t="str">
        <x:v>Alberta Transportation and Economic Corridors</x:v>
      </x:c>
      <x:c r="H301" s="63" t="str">
        <x:v>Government Or Public Institution Signal</x:v>
      </x:c>
      <x:c r="I301" s="63" t="str">
        <x:v>inferred</x:v>
      </x:c>
      <x:c r="J301" s="63" t="str">
        <x:v>Cochrane</x:v>
      </x:c>
      <x:c r="K301" s="63" t="str">
        <x:v>Under Construction</x:v>
      </x:c>
      <x:c r="L301" s="143" t="n">
        <x:v>95000000</x:v>
      </x:c>
      <x:c r="M301" s="179" t="n">
        <x:v>2023</x:v>
      </x:c>
      <x:c r="N301" s="179" t="n">
        <x:v>2026</x:v>
      </x:c>
      <x:c r="O301" s="63" t="str">
        <x:v>outside_window</x:v>
      </x:c>
      <x:c r="P301" s="63" t="str"/>
      <x:c r="Q301" s="143" t="n">
        <x:v>23750000</x:v>
      </x:c>
      <x:c r="R301" s="143" t="n">
        <x:v>0</x:v>
      </x:c>
      <x:c r="S301" s="154" t="n">
        <x:v>-114.486241</x:v>
      </x:c>
      <x:c r="T301" s="154" t="n">
        <x:v>51.198252</x:v>
      </x:c>
      <x:c r="U301" s="63" t="str">
        <x:v>reported</x:v>
      </x:c>
      <x:c r="V301" s="63" t="str">
        <x:v>ALBERTA_MAJOR_PROJECTS</x:v>
      </x:c>
      <x:c r="W301" s="63" t="str">
        <x:v>observed</x:v>
      </x:c>
      <x:c r="X301" s="155" t="n">
        <x:v>46265</x:v>
      </x:c>
      <x:c r="Y301" s="63" t="str">
        <x:v>https://www.majorprojects.alberta.ca/</x:v>
      </x:c>
    </x:row>
    <x:row r="302">
      <x:c r="A302" s="63" t="str">
        <x:v>ABMP_4369</x:v>
      </x:c>
      <x:c r="B302" s="63" t="str">
        <x:v>Highway 1A Upgrades (Stoney First Nation)</x:v>
      </x:c>
      <x:c r="C302" s="63" t="str">
        <x:v>Roads Transit And Airports</x:v>
      </x:c>
      <x:c r="D302" s="63" t="str">
        <x:v>inferred</x:v>
      </x:c>
      <x:c r="E302" s="63" t="str">
        <x:v>Roadwork</x:v>
      </x:c>
      <x:c r="F302" s="63" t="str">
        <x:v>Infrastructure</x:v>
      </x:c>
      <x:c r="G302" s="63" t="str">
        <x:v>Alberta Transportation and Economic Corridors</x:v>
      </x:c>
      <x:c r="H302" s="63" t="str">
        <x:v>Government Or Public Institution Signal</x:v>
      </x:c>
      <x:c r="I302" s="63" t="str">
        <x:v>inferred</x:v>
      </x:c>
      <x:c r="J302" s="63" t="str">
        <x:v>Bighorn No. 8|Ghost Lake|Stoney 142, 143, 144</x:v>
      </x:c>
      <x:c r="K302" s="63" t="str">
        <x:v>Proposed</x:v>
      </x:c>
      <x:c r="L302" s="143"/>
      <x:c r="M302" s="179" t="n">
        <x:v>2027</x:v>
      </x:c>
      <x:c r="N302" s="179" t="n">
        <x:v>2028</x:v>
      </x:c>
      <x:c r="O302" s="63" t="str">
        <x:v>overlaps</x:v>
      </x:c>
      <x:c r="P302" s="63" t="str">
        <x:v>2027|2028</x:v>
      </x:c>
      <x:c r="Q302" s="143"/>
      <x:c r="R302" s="143"/>
      <x:c r="S302" s="154"/>
      <x:c r="T302" s="154"/>
      <x:c r="U302" s="63" t="str">
        <x:v>reported</x:v>
      </x:c>
      <x:c r="V302" s="63" t="str">
        <x:v>ALBERTA_MAJOR_PROJECTS</x:v>
      </x:c>
      <x:c r="W302" s="63" t="str">
        <x:v>observed</x:v>
      </x:c>
      <x:c r="X302" s="155" t="n">
        <x:v>46265</x:v>
      </x:c>
      <x:c r="Y302" s="63" t="str">
        <x:v>https://www.majorprojects.alberta.ca/</x:v>
      </x:c>
    </x:row>
    <x:row r="303">
      <x:c r="A303" s="63" t="str">
        <x:v>ABMP_11981</x:v>
      </x:c>
      <x:c r="B303" s="63" t="str">
        <x:v>Highway 2 &amp; Cardiff Road Interchange (Morinville)</x:v>
      </x:c>
      <x:c r="C303" s="63" t="str">
        <x:v>Roads Transit And Airports</x:v>
      </x:c>
      <x:c r="D303" s="63" t="str">
        <x:v>inferred</x:v>
      </x:c>
      <x:c r="E303" s="63" t="str">
        <x:v>Roadwork</x:v>
      </x:c>
      <x:c r="F303" s="63" t="str">
        <x:v>Infrastructure</x:v>
      </x:c>
      <x:c r="G303" s="63" t="str">
        <x:v>Alberta Transportation and Economic Corridors</x:v>
      </x:c>
      <x:c r="H303" s="63" t="str">
        <x:v>Government Or Public Institution Signal</x:v>
      </x:c>
      <x:c r="I303" s="63" t="str">
        <x:v>inferred</x:v>
      </x:c>
      <x:c r="J303" s="63" t="str">
        <x:v>Sturgeon County</x:v>
      </x:c>
      <x:c r="K303" s="63" t="str">
        <x:v>Under Construction</x:v>
      </x:c>
      <x:c r="L303" s="143"/>
      <x:c r="M303" s="179" t="n">
        <x:v>2026</x:v>
      </x:c>
      <x:c r="N303" s="179" t="n">
        <x:v>2027</x:v>
      </x:c>
      <x:c r="O303" s="63" t="str">
        <x:v>overlaps</x:v>
      </x:c>
      <x:c r="P303" s="63" t="str">
        <x:v>2027</x:v>
      </x:c>
      <x:c r="Q303" s="143"/>
      <x:c r="R303" s="143"/>
      <x:c r="S303" s="154" t="n">
        <x:v>-113.645165</x:v>
      </x:c>
      <x:c r="T303" s="154" t="n">
        <x:v>53.774567</x:v>
      </x:c>
      <x:c r="U303" s="63" t="str">
        <x:v>reported</x:v>
      </x:c>
      <x:c r="V303" s="63" t="str">
        <x:v>ALBERTA_MAJOR_PROJECTS</x:v>
      </x:c>
      <x:c r="W303" s="63" t="str">
        <x:v>observed</x:v>
      </x:c>
      <x:c r="X303" s="155" t="n">
        <x:v>46265</x:v>
      </x:c>
      <x:c r="Y303" s="63" t="str">
        <x:v>https://www.majorprojects.alberta.ca/</x:v>
      </x:c>
    </x:row>
    <x:row r="304">
      <x:c r="A304" s="63" t="str">
        <x:v>ABMP_11659</x:v>
      </x:c>
      <x:c r="B304" s="63" t="str">
        <x:v>Highway 2 Intersection (Range Road 264) Improvement</x:v>
      </x:c>
      <x:c r="C304" s="63" t="str">
        <x:v>Roads Transit And Airports</x:v>
      </x:c>
      <x:c r="D304" s="63" t="str">
        <x:v>inferred</x:v>
      </x:c>
      <x:c r="E304" s="63" t="str">
        <x:v>Roadwork</x:v>
      </x:c>
      <x:c r="F304" s="63" t="str">
        <x:v>Infrastructure</x:v>
      </x:c>
      <x:c r="G304" s="63" t="str">
        <x:v>Alberta Transportation and Economic Corridors</x:v>
      </x:c>
      <x:c r="H304" s="63" t="str">
        <x:v>Government Or Public Institution Signal</x:v>
      </x:c>
      <x:c r="I304" s="63" t="str">
        <x:v>inferred</x:v>
      </x:c>
      <x:c r="J304" s="63" t="str">
        <x:v>Wheatland County</x:v>
      </x:c>
      <x:c r="K304" s="63" t="str">
        <x:v>Proposed</x:v>
      </x:c>
      <x:c r="L304" s="143"/>
      <x:c r="M304" s="179"/>
      <x:c r="N304" s="179"/>
      <x:c r="O304" s="63" t="str">
        <x:v>indeterminate_incomplete_schedule</x:v>
      </x:c>
      <x:c r="P304" s="63" t="str"/>
      <x:c r="Q304" s="143"/>
      <x:c r="R304" s="143"/>
      <x:c r="S304" s="154" t="n">
        <x:v>-113.5864137137</x:v>
      </x:c>
      <x:c r="T304" s="154" t="n">
        <x:v>51.0377209181</x:v>
      </x:c>
      <x:c r="U304" s="63" t="str">
        <x:v>reported</x:v>
      </x:c>
      <x:c r="V304" s="63" t="str">
        <x:v>ALBERTA_MAJOR_PROJECTS</x:v>
      </x:c>
      <x:c r="W304" s="63" t="str">
        <x:v>observed</x:v>
      </x:c>
      <x:c r="X304" s="155" t="n">
        <x:v>46265</x:v>
      </x:c>
      <x:c r="Y304" s="63" t="str">
        <x:v>https://www.majorprojects.alberta.ca/</x:v>
      </x:c>
    </x:row>
    <x:row r="305">
      <x:c r="A305" s="63" t="str">
        <x:v>ABMP_11220</x:v>
      </x:c>
      <x:c r="B305" s="63" t="str">
        <x:v>Highway 2 Intersection Improvements (Hwy 651 &amp; 37)</x:v>
      </x:c>
      <x:c r="C305" s="63" t="str">
        <x:v>Roads Transit And Airports</x:v>
      </x:c>
      <x:c r="D305" s="63" t="str">
        <x:v>inferred</x:v>
      </x:c>
      <x:c r="E305" s="63" t="str">
        <x:v>Roadwork</x:v>
      </x:c>
      <x:c r="F305" s="63" t="str">
        <x:v>Infrastructure</x:v>
      </x:c>
      <x:c r="G305" s="63" t="str">
        <x:v>Alberta Transportation and Economic Corridors</x:v>
      </x:c>
      <x:c r="H305" s="63" t="str">
        <x:v>Government Or Public Institution Signal</x:v>
      </x:c>
      <x:c r="I305" s="63" t="str">
        <x:v>inferred</x:v>
      </x:c>
      <x:c r="J305" s="63" t="str">
        <x:v>Sturgeon County</x:v>
      </x:c>
      <x:c r="K305" s="63" t="str">
        <x:v>Proposed</x:v>
      </x:c>
      <x:c r="L305" s="143"/>
      <x:c r="M305" s="179" t="n">
        <x:v>2027</x:v>
      </x:c>
      <x:c r="N305" s="179" t="n">
        <x:v>2028</x:v>
      </x:c>
      <x:c r="O305" s="63" t="str">
        <x:v>overlaps</x:v>
      </x:c>
      <x:c r="P305" s="63" t="str">
        <x:v>2027|2028</x:v>
      </x:c>
      <x:c r="Q305" s="143"/>
      <x:c r="R305" s="143"/>
      <x:c r="S305" s="154" t="n">
        <x:v>-113.6401</x:v>
      </x:c>
      <x:c r="T305" s="154" t="n">
        <x:v>53.7162</x:v>
      </x:c>
      <x:c r="U305" s="63" t="str">
        <x:v>reported</x:v>
      </x:c>
      <x:c r="V305" s="63" t="str">
        <x:v>ALBERTA_MAJOR_PROJECTS</x:v>
      </x:c>
      <x:c r="W305" s="63" t="str">
        <x:v>observed</x:v>
      </x:c>
      <x:c r="X305" s="155" t="n">
        <x:v>46265</x:v>
      </x:c>
      <x:c r="Y305" s="63" t="str">
        <x:v>https://www.majorprojects.alberta.ca/</x:v>
      </x:c>
    </x:row>
    <x:row r="306">
      <x:c r="A306" s="63" t="str">
        <x:v>ABMP_11317</x:v>
      </x:c>
      <x:c r="B306" s="63" t="str">
        <x:v>Highway 2 Rehabilitation (McLennan)</x:v>
      </x:c>
      <x:c r="C306" s="63" t="str">
        <x:v>Roads Transit And Airports</x:v>
      </x:c>
      <x:c r="D306" s="63" t="str">
        <x:v>inferred</x:v>
      </x:c>
      <x:c r="E306" s="63" t="str">
        <x:v>Roadwork</x:v>
      </x:c>
      <x:c r="F306" s="63" t="str">
        <x:v>Infrastructure</x:v>
      </x:c>
      <x:c r="G306" s="63" t="str">
        <x:v>Alberta Transportation and Economic Corridors</x:v>
      </x:c>
      <x:c r="H306" s="63" t="str">
        <x:v>Government Or Public Institution Signal</x:v>
      </x:c>
      <x:c r="I306" s="63" t="str">
        <x:v>inferred</x:v>
      </x:c>
      <x:c r="J306" s="63" t="str">
        <x:v>McLennan|Smoky River No. 130</x:v>
      </x:c>
      <x:c r="K306" s="63" t="str">
        <x:v>Under Construction</x:v>
      </x:c>
      <x:c r="L306" s="143"/>
      <x:c r="M306" s="179" t="n">
        <x:v>2024</x:v>
      </x:c>
      <x:c r="N306" s="179"/>
      <x:c r="O306" s="63" t="str">
        <x:v>indeterminate_incomplete_schedule</x:v>
      </x:c>
      <x:c r="P306" s="63" t="str"/>
      <x:c r="Q306" s="143"/>
      <x:c r="R306" s="143"/>
      <x:c r="S306" s="154" t="n">
        <x:v>-117.131413</x:v>
      </x:c>
      <x:c r="T306" s="154" t="n">
        <x:v>55.723054</x:v>
      </x:c>
      <x:c r="U306" s="63" t="str">
        <x:v>reported</x:v>
      </x:c>
      <x:c r="V306" s="63" t="str">
        <x:v>ALBERTA_MAJOR_PROJECTS</x:v>
      </x:c>
      <x:c r="W306" s="63" t="str">
        <x:v>observed</x:v>
      </x:c>
      <x:c r="X306" s="155" t="n">
        <x:v>46265</x:v>
      </x:c>
      <x:c r="Y306" s="63" t="str">
        <x:v>https://www.majorprojects.alberta.ca/</x:v>
      </x:c>
    </x:row>
    <x:row r="307">
      <x:c r="A307" s="63" t="str">
        <x:v>ABMP_11340</x:v>
      </x:c>
      <x:c r="B307" s="63" t="str">
        <x:v>Highway 22 Repaving (Redwood Meadows, Selective)</x:v>
      </x:c>
      <x:c r="C307" s="63" t="str">
        <x:v>Roads Transit And Airports</x:v>
      </x:c>
      <x:c r="D307" s="63" t="str">
        <x:v>inferred</x:v>
      </x:c>
      <x:c r="E307" s="63" t="str">
        <x:v>Roadwork</x:v>
      </x:c>
      <x:c r="F307" s="63" t="str">
        <x:v>Infrastructure</x:v>
      </x:c>
      <x:c r="G307" s="63" t="str">
        <x:v>Alberta Transportation and Economic Corridors</x:v>
      </x:c>
      <x:c r="H307" s="63" t="str">
        <x:v>Government Or Public Institution Signal</x:v>
      </x:c>
      <x:c r="I307" s="63" t="str">
        <x:v>inferred</x:v>
      </x:c>
      <x:c r="J307" s="63" t="str">
        <x:v>Foothills No. 31|Rocky View County|Tsuu T'ina Nation 145 (Sarcee 145)</x:v>
      </x:c>
      <x:c r="K307" s="63" t="str">
        <x:v>Proposed</x:v>
      </x:c>
      <x:c r="L307" s="143"/>
      <x:c r="M307" s="179" t="n">
        <x:v>2027</x:v>
      </x:c>
      <x:c r="N307" s="179" t="n">
        <x:v>2028</x:v>
      </x:c>
      <x:c r="O307" s="63" t="str">
        <x:v>overlaps</x:v>
      </x:c>
      <x:c r="P307" s="63" t="str">
        <x:v>2027|2028</x:v>
      </x:c>
      <x:c r="Q307" s="143"/>
      <x:c r="R307" s="143"/>
      <x:c r="S307" s="154" t="n">
        <x:v>-114.509211</x:v>
      </x:c>
      <x:c r="T307" s="154" t="n">
        <x:v>50.910994</x:v>
      </x:c>
      <x:c r="U307" s="63" t="str">
        <x:v>reported</x:v>
      </x:c>
      <x:c r="V307" s="63" t="str">
        <x:v>ALBERTA_MAJOR_PROJECTS</x:v>
      </x:c>
      <x:c r="W307" s="63" t="str">
        <x:v>observed</x:v>
      </x:c>
      <x:c r="X307" s="155" t="n">
        <x:v>46265</x:v>
      </x:c>
      <x:c r="Y307" s="63" t="str">
        <x:v>https://www.majorprojects.alberta.ca/</x:v>
      </x:c>
    </x:row>
    <x:row r="308">
      <x:c r="A308" s="63" t="str">
        <x:v>ABMP_11979</x:v>
      </x:c>
      <x:c r="B308" s="63" t="str">
        <x:v>Highway 28 &amp; 858 Resurfacing</x:v>
      </x:c>
      <x:c r="C308" s="63" t="str">
        <x:v>Roads Transit And Airports</x:v>
      </x:c>
      <x:c r="D308" s="63" t="str">
        <x:v>inferred</x:v>
      </x:c>
      <x:c r="E308" s="63" t="str">
        <x:v>Roadwork</x:v>
      </x:c>
      <x:c r="F308" s="63" t="str">
        <x:v>Infrastructure</x:v>
      </x:c>
      <x:c r="G308" s="63" t="str">
        <x:v>Alberta Transportation and Economic Corridors</x:v>
      </x:c>
      <x:c r="H308" s="63" t="str">
        <x:v>Government Or Public Institution Signal</x:v>
      </x:c>
      <x:c r="I308" s="63" t="str">
        <x:v>inferred</x:v>
      </x:c>
      <x:c r="J308" s="63" t="str">
        <x:v>Lac la Biche County|Smoky Lake County|St. Paul County No. 19</x:v>
      </x:c>
      <x:c r="K308" s="63" t="str">
        <x:v>Proposed</x:v>
      </x:c>
      <x:c r="L308" s="143"/>
      <x:c r="M308" s="179" t="n">
        <x:v>2027</x:v>
      </x:c>
      <x:c r="N308" s="179" t="n">
        <x:v>2027</x:v>
      </x:c>
      <x:c r="O308" s="63" t="str">
        <x:v>overlaps</x:v>
      </x:c>
      <x:c r="P308" s="63" t="str">
        <x:v>2027</x:v>
      </x:c>
      <x:c r="Q308" s="143"/>
      <x:c r="R308" s="143"/>
      <x:c r="S308" s="154"/>
      <x:c r="T308" s="154"/>
      <x:c r="U308" s="63" t="str">
        <x:v>reported</x:v>
      </x:c>
      <x:c r="V308" s="63" t="str">
        <x:v>ALBERTA_MAJOR_PROJECTS</x:v>
      </x:c>
      <x:c r="W308" s="63" t="str">
        <x:v>observed</x:v>
      </x:c>
      <x:c r="X308" s="155" t="n">
        <x:v>46265</x:v>
      </x:c>
      <x:c r="Y308" s="63" t="str">
        <x:v>https://www.majorprojects.alberta.ca/</x:v>
      </x:c>
    </x:row>
    <x:row r="309">
      <x:c r="A309" s="63" t="str">
        <x:v>ABMP_11657</x:v>
      </x:c>
      <x:c r="B309" s="63" t="str">
        <x:v>Highway 28 Expansion</x:v>
      </x:c>
      <x:c r="C309" s="63" t="str">
        <x:v>Roads Transit And Airports</x:v>
      </x:c>
      <x:c r="D309" s="63" t="str">
        <x:v>inferred</x:v>
      </x:c>
      <x:c r="E309" s="63" t="str">
        <x:v>Roadwork</x:v>
      </x:c>
      <x:c r="F309" s="63" t="str">
        <x:v>Infrastructure</x:v>
      </x:c>
      <x:c r="G309" s="63" t="str">
        <x:v>Alberta Transportation and Economic Corridors</x:v>
      </x:c>
      <x:c r="H309" s="63" t="str">
        <x:v>Government Or Public Institution Signal</x:v>
      </x:c>
      <x:c r="I309" s="63" t="str">
        <x:v>inferred</x:v>
      </x:c>
      <x:c r="J309" s="63" t="str">
        <x:v>Bonnyville|Bonnyville No. 87|Cold Lake|Cold Lake 149|Smoky Lake|Smoky Lake County|St. Paul County No. 19</x:v>
      </x:c>
      <x:c r="K309" s="63" t="str">
        <x:v>Proposed</x:v>
      </x:c>
      <x:c r="L309" s="143"/>
      <x:c r="M309" s="179"/>
      <x:c r="N309" s="179"/>
      <x:c r="O309" s="63" t="str">
        <x:v>indeterminate_incomplete_schedule</x:v>
      </x:c>
      <x:c r="P309" s="63" t="str"/>
      <x:c r="Q309" s="143"/>
      <x:c r="R309" s="143"/>
      <x:c r="S309" s="154"/>
      <x:c r="T309" s="154"/>
      <x:c r="U309" s="63" t="str">
        <x:v>reported</x:v>
      </x:c>
      <x:c r="V309" s="63" t="str">
        <x:v>ALBERTA_MAJOR_PROJECTS</x:v>
      </x:c>
      <x:c r="W309" s="63" t="str">
        <x:v>observed</x:v>
      </x:c>
      <x:c r="X309" s="155" t="n">
        <x:v>46265</x:v>
      </x:c>
      <x:c r="Y309" s="63" t="str">
        <x:v>https://www.majorprojects.alberta.ca/</x:v>
      </x:c>
    </x:row>
    <x:row r="310">
      <x:c r="A310" s="63" t="str">
        <x:v>ABMP_11333</x:v>
      </x:c>
      <x:c r="B310" s="63" t="str">
        <x:v>Highway 28 Repaving (Smoky Lake)</x:v>
      </x:c>
      <x:c r="C310" s="63" t="str">
        <x:v>Roads Transit And Airports</x:v>
      </x:c>
      <x:c r="D310" s="63" t="str">
        <x:v>inferred</x:v>
      </x:c>
      <x:c r="E310" s="63" t="str">
        <x:v>Roadwork</x:v>
      </x:c>
      <x:c r="F310" s="63" t="str">
        <x:v>Infrastructure</x:v>
      </x:c>
      <x:c r="G310" s="63" t="str">
        <x:v>Alberta Transportation and Economic Corridors</x:v>
      </x:c>
      <x:c r="H310" s="63" t="str">
        <x:v>Government Or Public Institution Signal</x:v>
      </x:c>
      <x:c r="I310" s="63" t="str">
        <x:v>inferred</x:v>
      </x:c>
      <x:c r="J310" s="63" t="str">
        <x:v>Smoky Lake|Smoky Lake County</x:v>
      </x:c>
      <x:c r="K310" s="63" t="str">
        <x:v>Proposed</x:v>
      </x:c>
      <x:c r="L310" s="143"/>
      <x:c r="M310" s="179" t="n">
        <x:v>2027</x:v>
      </x:c>
      <x:c r="N310" s="179" t="n">
        <x:v>2027</x:v>
      </x:c>
      <x:c r="O310" s="63" t="str">
        <x:v>overlaps</x:v>
      </x:c>
      <x:c r="P310" s="63" t="str">
        <x:v>2027</x:v>
      </x:c>
      <x:c r="Q310" s="143"/>
      <x:c r="R310" s="143"/>
      <x:c r="S310" s="154"/>
      <x:c r="T310" s="154"/>
      <x:c r="U310" s="63" t="str">
        <x:v>reported</x:v>
      </x:c>
      <x:c r="V310" s="63" t="str">
        <x:v>ALBERTA_MAJOR_PROJECTS</x:v>
      </x:c>
      <x:c r="W310" s="63" t="str">
        <x:v>observed</x:v>
      </x:c>
      <x:c r="X310" s="155" t="n">
        <x:v>46265</x:v>
      </x:c>
      <x:c r="Y310" s="63" t="str">
        <x:v>https://www.majorprojects.alberta.ca/</x:v>
      </x:c>
    </x:row>
    <x:row r="311">
      <x:c r="A311" s="63" t="str">
        <x:v>ABMP_11301</x:v>
      </x:c>
      <x:c r="B311" s="63" t="str">
        <x:v>Highway 28 Twinning to Edmonton City Limits</x:v>
      </x:c>
      <x:c r="C311" s="63" t="str">
        <x:v>Roads Transit And Airports</x:v>
      </x:c>
      <x:c r="D311" s="63" t="str">
        <x:v>inferred</x:v>
      </x:c>
      <x:c r="E311" s="63" t="str">
        <x:v>Roadwork</x:v>
      </x:c>
      <x:c r="F311" s="63" t="str">
        <x:v>Infrastructure</x:v>
      </x:c>
      <x:c r="G311" s="63" t="str">
        <x:v>Alberta Transportation and Economic Corridors</x:v>
      </x:c>
      <x:c r="H311" s="63" t="str">
        <x:v>Government Or Public Institution Signal</x:v>
      </x:c>
      <x:c r="I311" s="63" t="str">
        <x:v>inferred</x:v>
      </x:c>
      <x:c r="J311" s="63" t="str">
        <x:v>Sturgeon County</x:v>
      </x:c>
      <x:c r="K311" s="63" t="str">
        <x:v>Proposed</x:v>
      </x:c>
      <x:c r="L311" s="143"/>
      <x:c r="M311" s="179"/>
      <x:c r="N311" s="179"/>
      <x:c r="O311" s="63" t="str">
        <x:v>indeterminate_incomplete_schedule</x:v>
      </x:c>
      <x:c r="P311" s="63" t="str"/>
      <x:c r="Q311" s="143"/>
      <x:c r="R311" s="143"/>
      <x:c r="S311" s="154"/>
      <x:c r="T311" s="154"/>
      <x:c r="U311" s="63" t="str">
        <x:v>reported</x:v>
      </x:c>
      <x:c r="V311" s="63" t="str">
        <x:v>ALBERTA_MAJOR_PROJECTS</x:v>
      </x:c>
      <x:c r="W311" s="63" t="str">
        <x:v>observed</x:v>
      </x:c>
      <x:c r="X311" s="155" t="n">
        <x:v>46265</x:v>
      </x:c>
      <x:c r="Y311" s="63" t="str">
        <x:v>https://www.majorprojects.alberta.ca/</x:v>
      </x:c>
    </x:row>
    <x:row r="312">
      <x:c r="A312" s="63" t="str">
        <x:v>ABMP_11656</x:v>
      </x:c>
      <x:c r="B312" s="63" t="str">
        <x:v>Highway 3 Realignment Project (Stage 1A)</x:v>
      </x:c>
      <x:c r="C312" s="63" t="str">
        <x:v>Roads Transit And Airports</x:v>
      </x:c>
      <x:c r="D312" s="63" t="str">
        <x:v>inferred</x:v>
      </x:c>
      <x:c r="E312" s="63" t="str">
        <x:v>Roadwork</x:v>
      </x:c>
      <x:c r="F312" s="63" t="str">
        <x:v>Infrastructure</x:v>
      </x:c>
      <x:c r="G312" s="63" t="str">
        <x:v>Alberta Transportation and Economic Corridors</x:v>
      </x:c>
      <x:c r="H312" s="63" t="str">
        <x:v>Government Or Public Institution Signal</x:v>
      </x:c>
      <x:c r="I312" s="63" t="str">
        <x:v>inferred</x:v>
      </x:c>
      <x:c r="J312" s="63" t="str">
        <x:v>Fort Macleod|Willow Creek No. 26</x:v>
      </x:c>
      <x:c r="K312" s="63" t="str">
        <x:v>Proposed</x:v>
      </x:c>
      <x:c r="L312" s="143"/>
      <x:c r="M312" s="179" t="n">
        <x:v>2027</x:v>
      </x:c>
      <x:c r="N312" s="179" t="n">
        <x:v>2028</x:v>
      </x:c>
      <x:c r="O312" s="63" t="str">
        <x:v>overlaps</x:v>
      </x:c>
      <x:c r="P312" s="63" t="str">
        <x:v>2027|2028</x:v>
      </x:c>
      <x:c r="Q312" s="143"/>
      <x:c r="R312" s="143"/>
      <x:c r="S312" s="154"/>
      <x:c r="T312" s="154"/>
      <x:c r="U312" s="63" t="str">
        <x:v>reported</x:v>
      </x:c>
      <x:c r="V312" s="63" t="str">
        <x:v>ALBERTA_MAJOR_PROJECTS</x:v>
      </x:c>
      <x:c r="W312" s="63" t="str">
        <x:v>observed</x:v>
      </x:c>
      <x:c r="X312" s="155" t="n">
        <x:v>46265</x:v>
      </x:c>
      <x:c r="Y312" s="63" t="str">
        <x:v>https://www.majorprojects.alberta.ca/</x:v>
      </x:c>
    </x:row>
    <x:row r="313">
      <x:c r="A313" s="63" t="str">
        <x:v>ABMP_11299</x:v>
      </x:c>
      <x:c r="B313" s="63" t="str">
        <x:v>Highway 3 Twinning (Phase 2, End to End)</x:v>
      </x:c>
      <x:c r="C313" s="63" t="str">
        <x:v>Roads Transit And Airports</x:v>
      </x:c>
      <x:c r="D313" s="63" t="str">
        <x:v>inferred</x:v>
      </x:c>
      <x:c r="E313" s="63" t="str">
        <x:v>Roadwork</x:v>
      </x:c>
      <x:c r="F313" s="63" t="str">
        <x:v>Infrastructure</x:v>
      </x:c>
      <x:c r="G313" s="63" t="str">
        <x:v>Alberta Transportation and Economic Corridors</x:v>
      </x:c>
      <x:c r="H313" s="63" t="str">
        <x:v>Government Or Public Institution Signal</x:v>
      </x:c>
      <x:c r="I313" s="63" t="str">
        <x:v>inferred</x:v>
      </x:c>
      <x:c r="J313" s="63" t="str">
        <x:v>Bow Island|Cowley|Crowsnest Pass|Cypress County|Forty Mile County No. 8|Piikani 147|Pincher Creek No. 9|Willow Creek No. 26</x:v>
      </x:c>
      <x:c r="K313" s="63" t="str">
        <x:v>Proposed</x:v>
      </x:c>
      <x:c r="L313" s="143"/>
      <x:c r="M313" s="179"/>
      <x:c r="N313" s="179"/>
      <x:c r="O313" s="63" t="str">
        <x:v>indeterminate_incomplete_schedule</x:v>
      </x:c>
      <x:c r="P313" s="63" t="str"/>
      <x:c r="Q313" s="143"/>
      <x:c r="R313" s="143"/>
      <x:c r="S313" s="154"/>
      <x:c r="T313" s="154"/>
      <x:c r="U313" s="63" t="str">
        <x:v>reported</x:v>
      </x:c>
      <x:c r="V313" s="63" t="str">
        <x:v>ALBERTA_MAJOR_PROJECTS</x:v>
      </x:c>
      <x:c r="W313" s="63" t="str">
        <x:v>observed</x:v>
      </x:c>
      <x:c r="X313" s="155" t="n">
        <x:v>46265</x:v>
      </x:c>
      <x:c r="Y313" s="63" t="str">
        <x:v>https://www.majorprojects.alberta.ca/</x:v>
      </x:c>
    </x:row>
    <x:row r="314">
      <x:c r="A314" s="63" t="str">
        <x:v>ABMP_4153</x:v>
      </x:c>
      <x:c r="B314" s="63" t="str">
        <x:v>Highway 3 Twinning (Taber to Burdett)</x:v>
      </x:c>
      <x:c r="C314" s="63" t="str">
        <x:v>Roads Transit And Airports</x:v>
      </x:c>
      <x:c r="D314" s="63" t="str">
        <x:v>inferred</x:v>
      </x:c>
      <x:c r="E314" s="63" t="str">
        <x:v>Roadwork</x:v>
      </x:c>
      <x:c r="F314" s="63" t="str">
        <x:v>Infrastructure</x:v>
      </x:c>
      <x:c r="G314" s="63" t="str">
        <x:v>Alberta Transportation and Economic Corridors</x:v>
      </x:c>
      <x:c r="H314" s="63" t="str">
        <x:v>Government Or Public Institution Signal</x:v>
      </x:c>
      <x:c r="I314" s="63" t="str">
        <x:v>inferred</x:v>
      </x:c>
      <x:c r="J314" s="63" t="str">
        <x:v>Forty Mile County No. 8|Taber|Taber, M.D.</x:v>
      </x:c>
      <x:c r="K314" s="63" t="str">
        <x:v>Under Construction</x:v>
      </x:c>
      <x:c r="L314" s="143" t="n">
        <x:v>179700000</x:v>
      </x:c>
      <x:c r="M314" s="179" t="n">
        <x:v>2024</x:v>
      </x:c>
      <x:c r="N314" s="179" t="n">
        <x:v>2026</x:v>
      </x:c>
      <x:c r="O314" s="63" t="str">
        <x:v>outside_window</x:v>
      </x:c>
      <x:c r="P314" s="63" t="str"/>
      <x:c r="Q314" s="143" t="n">
        <x:v>59900000</x:v>
      </x:c>
      <x:c r="R314" s="143" t="n">
        <x:v>0</x:v>
      </x:c>
      <x:c r="S314" s="154"/>
      <x:c r="T314" s="154"/>
      <x:c r="U314" s="63" t="str">
        <x:v>reported</x:v>
      </x:c>
      <x:c r="V314" s="63" t="str">
        <x:v>ALBERTA_MAJOR_PROJECTS</x:v>
      </x:c>
      <x:c r="W314" s="63" t="str">
        <x:v>observed</x:v>
      </x:c>
      <x:c r="X314" s="155" t="n">
        <x:v>46265</x:v>
      </x:c>
      <x:c r="Y314" s="63" t="str">
        <x:v>https://www.majorprojects.alberta.ca/</x:v>
      </x:c>
    </x:row>
    <x:row r="315">
      <x:c r="A315" s="63" t="str">
        <x:v>ABMP_11295</x:v>
      </x:c>
      <x:c r="B315" s="63" t="str">
        <x:v>Highway 33 Rehabilitation (North of Swan Hills)</x:v>
      </x:c>
      <x:c r="C315" s="63" t="str">
        <x:v>Roads Transit And Airports</x:v>
      </x:c>
      <x:c r="D315" s="63" t="str">
        <x:v>inferred</x:v>
      </x:c>
      <x:c r="E315" s="63" t="str">
        <x:v>Roadwork</x:v>
      </x:c>
      <x:c r="F315" s="63" t="str">
        <x:v>Infrastructure</x:v>
      </x:c>
      <x:c r="G315" s="63" t="str">
        <x:v>Alberta Transportation and Economic Corridors</x:v>
      </x:c>
      <x:c r="H315" s="63" t="str">
        <x:v>Government Or Public Institution Signal</x:v>
      </x:c>
      <x:c r="I315" s="63" t="str">
        <x:v>inferred</x:v>
      </x:c>
      <x:c r="J315" s="63" t="str">
        <x:v>Big Lakes County</x:v>
      </x:c>
      <x:c r="K315" s="63" t="str">
        <x:v>Under Construction</x:v>
      </x:c>
      <x:c r="L315" s="143"/>
      <x:c r="M315" s="179" t="n">
        <x:v>2026</x:v>
      </x:c>
      <x:c r="N315" s="179" t="n">
        <x:v>2026</x:v>
      </x:c>
      <x:c r="O315" s="63" t="str">
        <x:v>outside_window</x:v>
      </x:c>
      <x:c r="P315" s="63" t="str"/>
      <x:c r="Q315" s="143"/>
      <x:c r="R315" s="143"/>
      <x:c r="S315" s="154"/>
      <x:c r="T315" s="154"/>
      <x:c r="U315" s="63" t="str">
        <x:v>reported</x:v>
      </x:c>
      <x:c r="V315" s="63" t="str">
        <x:v>ALBERTA_MAJOR_PROJECTS</x:v>
      </x:c>
      <x:c r="W315" s="63" t="str">
        <x:v>observed</x:v>
      </x:c>
      <x:c r="X315" s="155" t="n">
        <x:v>46265</x:v>
      </x:c>
      <x:c r="Y315" s="63" t="str">
        <x:v>https://www.majorprojects.alberta.ca/</x:v>
      </x:c>
    </x:row>
    <x:row r="316">
      <x:c r="A316" s="63" t="str">
        <x:v>ABMP_11971</x:v>
      </x:c>
      <x:c r="B316" s="63" t="str">
        <x:v>Highway 35 Repaving (Paddle Prairie)</x:v>
      </x:c>
      <x:c r="C316" s="63" t="str">
        <x:v>Roads Transit And Airports</x:v>
      </x:c>
      <x:c r="D316" s="63" t="str">
        <x:v>inferred</x:v>
      </x:c>
      <x:c r="E316" s="63" t="str">
        <x:v>Roadwork</x:v>
      </x:c>
      <x:c r="F316" s="63" t="str">
        <x:v>Infrastructure</x:v>
      </x:c>
      <x:c r="G316" s="63" t="str">
        <x:v>Alberta Transportation and Economic Corridors</x:v>
      </x:c>
      <x:c r="H316" s="63" t="str">
        <x:v>Government Or Public Institution Signal</x:v>
      </x:c>
      <x:c r="I316" s="63" t="str">
        <x:v>inferred</x:v>
      </x:c>
      <x:c r="J316" s="63" t="str">
        <x:v>Mackenzie County|Northern Lights County</x:v>
      </x:c>
      <x:c r="K316" s="63" t="str">
        <x:v>Under Construction</x:v>
      </x:c>
      <x:c r="L316" s="143"/>
      <x:c r="M316" s="179" t="n">
        <x:v>2025</x:v>
      </x:c>
      <x:c r="N316" s="179" t="n">
        <x:v>2026</x:v>
      </x:c>
      <x:c r="O316" s="63" t="str">
        <x:v>outside_window</x:v>
      </x:c>
      <x:c r="P316" s="63" t="str"/>
      <x:c r="Q316" s="143"/>
      <x:c r="R316" s="143"/>
      <x:c r="S316" s="154"/>
      <x:c r="T316" s="154"/>
      <x:c r="U316" s="63" t="str">
        <x:v>reported</x:v>
      </x:c>
      <x:c r="V316" s="63" t="str">
        <x:v>ALBERTA_MAJOR_PROJECTS</x:v>
      </x:c>
      <x:c r="W316" s="63" t="str">
        <x:v>observed</x:v>
      </x:c>
      <x:c r="X316" s="155" t="n">
        <x:v>46265</x:v>
      </x:c>
      <x:c r="Y316" s="63" t="str">
        <x:v>https://www.majorprojects.alberta.ca/</x:v>
      </x:c>
    </x:row>
    <x:row r="317">
      <x:c r="A317" s="63" t="str">
        <x:v>ABMP_3669</x:v>
      </x:c>
      <x:c r="B317" s="63" t="str">
        <x:v>Highway 38 Bridge Replacement (Vinca Bridge)</x:v>
      </x:c>
      <x:c r="C317" s="63" t="str">
        <x:v>Roads Transit And Airports</x:v>
      </x:c>
      <x:c r="D317" s="63" t="str">
        <x:v>inferred</x:v>
      </x:c>
      <x:c r="E317" s="63" t="str">
        <x:v>Roadwork</x:v>
      </x:c>
      <x:c r="F317" s="63" t="str">
        <x:v>Infrastructure</x:v>
      </x:c>
      <x:c r="G317" s="63" t="str">
        <x:v>Alberta Transportation and Economic Corridors</x:v>
      </x:c>
      <x:c r="H317" s="63" t="str">
        <x:v>Government Or Public Institution Signal</x:v>
      </x:c>
      <x:c r="I317" s="63" t="str">
        <x:v>inferred</x:v>
      </x:c>
      <x:c r="J317" s="63" t="str">
        <x:v>Sturgeon County</x:v>
      </x:c>
      <x:c r="K317" s="63" t="str">
        <x:v>Proposed</x:v>
      </x:c>
      <x:c r="L317" s="143"/>
      <x:c r="M317" s="179" t="n">
        <x:v>2026</x:v>
      </x:c>
      <x:c r="N317" s="179" t="n">
        <x:v>2028</x:v>
      </x:c>
      <x:c r="O317" s="63" t="str">
        <x:v>overlaps</x:v>
      </x:c>
      <x:c r="P317" s="63" t="str">
        <x:v>2027|2028</x:v>
      </x:c>
      <x:c r="Q317" s="143"/>
      <x:c r="R317" s="143"/>
      <x:c r="S317" s="154" t="n">
        <x:v>-112.97412872314453</x:v>
      </x:c>
      <x:c r="T317" s="154" t="n">
        <x:v>53.88775327948097</x:v>
      </x:c>
      <x:c r="U317" s="63" t="str">
        <x:v>reported</x:v>
      </x:c>
      <x:c r="V317" s="63" t="str">
        <x:v>ALBERTA_MAJOR_PROJECTS</x:v>
      </x:c>
      <x:c r="W317" s="63" t="str">
        <x:v>observed</x:v>
      </x:c>
      <x:c r="X317" s="155" t="n">
        <x:v>46265</x:v>
      </x:c>
      <x:c r="Y317" s="63" t="str">
        <x:v>https://www.majorprojects.alberta.ca/</x:v>
      </x:c>
    </x:row>
    <x:row r="318">
      <x:c r="A318" s="63" t="str">
        <x:v>ABMP_11196</x:v>
      </x:c>
      <x:c r="B318" s="63" t="str">
        <x:v>Highway 40 Grade Widening</x:v>
      </x:c>
      <x:c r="C318" s="63" t="str">
        <x:v>Roads Transit And Airports</x:v>
      </x:c>
      <x:c r="D318" s="63" t="str">
        <x:v>inferred</x:v>
      </x:c>
      <x:c r="E318" s="63" t="str">
        <x:v>Roadwork</x:v>
      </x:c>
      <x:c r="F318" s="63" t="str">
        <x:v>Infrastructure</x:v>
      </x:c>
      <x:c r="G318" s="63" t="str">
        <x:v>Alberta Transportation and Economic Corridors</x:v>
      </x:c>
      <x:c r="H318" s="63" t="str">
        <x:v>Government Or Public Institution Signal</x:v>
      </x:c>
      <x:c r="I318" s="63" t="str">
        <x:v>inferred</x:v>
      </x:c>
      <x:c r="J318" s="63" t="str">
        <x:v>Yellowhead County</x:v>
      </x:c>
      <x:c r="K318" s="63" t="str">
        <x:v>Under Construction</x:v>
      </x:c>
      <x:c r="L318" s="143"/>
      <x:c r="M318" s="179" t="n">
        <x:v>2026</x:v>
      </x:c>
      <x:c r="N318" s="179" t="n">
        <x:v>2028</x:v>
      </x:c>
      <x:c r="O318" s="63" t="str">
        <x:v>overlaps</x:v>
      </x:c>
      <x:c r="P318" s="63" t="str">
        <x:v>2027|2028</x:v>
      </x:c>
      <x:c r="Q318" s="143"/>
      <x:c r="R318" s="143"/>
      <x:c r="S318" s="154"/>
      <x:c r="T318" s="154"/>
      <x:c r="U318" s="63" t="str">
        <x:v>reported</x:v>
      </x:c>
      <x:c r="V318" s="63" t="str">
        <x:v>ALBERTA_MAJOR_PROJECTS</x:v>
      </x:c>
      <x:c r="W318" s="63" t="str">
        <x:v>observed</x:v>
      </x:c>
      <x:c r="X318" s="155" t="n">
        <x:v>46265</x:v>
      </x:c>
      <x:c r="Y318" s="63" t="str">
        <x:v>https://www.majorprojects.alberta.ca/</x:v>
      </x:c>
    </x:row>
    <x:row r="319">
      <x:c r="A319" s="63" t="str">
        <x:v>ABMP_10901</x:v>
      </x:c>
      <x:c r="B319" s="63" t="str">
        <x:v>Highway 40X SW Grande Prairie Bypass (Stage 1)</x:v>
      </x:c>
      <x:c r="C319" s="63" t="str">
        <x:v>Roads Transit And Airports</x:v>
      </x:c>
      <x:c r="D319" s="63" t="str">
        <x:v>inferred</x:v>
      </x:c>
      <x:c r="E319" s="63" t="str">
        <x:v>Roadwork</x:v>
      </x:c>
      <x:c r="F319" s="63" t="str">
        <x:v>Infrastructure</x:v>
      </x:c>
      <x:c r="G319" s="63" t="str">
        <x:v>Alberta Transportation and Economic Corridors</x:v>
      </x:c>
      <x:c r="H319" s="63" t="str">
        <x:v>Government Or Public Institution Signal</x:v>
      </x:c>
      <x:c r="I319" s="63" t="str">
        <x:v>inferred</x:v>
      </x:c>
      <x:c r="J319" s="63" t="str">
        <x:v>Grande Prairie|Grande Prairie County No. 1</x:v>
      </x:c>
      <x:c r="K319" s="63" t="str">
        <x:v>Proposed</x:v>
      </x:c>
      <x:c r="L319" s="143"/>
      <x:c r="M319" s="179" t="n">
        <x:v>2026</x:v>
      </x:c>
      <x:c r="N319" s="179"/>
      <x:c r="O319" s="63" t="str">
        <x:v>indeterminate_incomplete_schedule</x:v>
      </x:c>
      <x:c r="P319" s="63" t="str"/>
      <x:c r="Q319" s="143"/>
      <x:c r="R319" s="143"/>
      <x:c r="S319" s="154"/>
      <x:c r="T319" s="154"/>
      <x:c r="U319" s="63" t="str">
        <x:v>reported</x:v>
      </x:c>
      <x:c r="V319" s="63" t="str">
        <x:v>ALBERTA_MAJOR_PROJECTS</x:v>
      </x:c>
      <x:c r="W319" s="63" t="str">
        <x:v>observed</x:v>
      </x:c>
      <x:c r="X319" s="155" t="n">
        <x:v>46265</x:v>
      </x:c>
      <x:c r="Y319" s="63" t="str">
        <x:v>https://www.majorprojects.alberta.ca/</x:v>
      </x:c>
    </x:row>
    <x:row r="320">
      <x:c r="A320" s="63" t="str">
        <x:v>ABMP_11337</x:v>
      </x:c>
      <x:c r="B320" s="63" t="str">
        <x:v>Highway 43 &amp; 49 Intersection Roundabout (Valleyview)</x:v>
      </x:c>
      <x:c r="C320" s="63" t="str">
        <x:v>Roads Transit And Airports</x:v>
      </x:c>
      <x:c r="D320" s="63" t="str">
        <x:v>inferred</x:v>
      </x:c>
      <x:c r="E320" s="63" t="str">
        <x:v>Roadwork</x:v>
      </x:c>
      <x:c r="F320" s="63" t="str">
        <x:v>Infrastructure</x:v>
      </x:c>
      <x:c r="G320" s="63" t="str">
        <x:v>Alberta Transportation and Economic Corridors</x:v>
      </x:c>
      <x:c r="H320" s="63" t="str">
        <x:v>Government Or Public Institution Signal</x:v>
      </x:c>
      <x:c r="I320" s="63" t="str">
        <x:v>inferred</x:v>
      </x:c>
      <x:c r="J320" s="63" t="str">
        <x:v>Valleyview</x:v>
      </x:c>
      <x:c r="K320" s="63" t="str">
        <x:v>Under Construction</x:v>
      </x:c>
      <x:c r="L320" s="143"/>
      <x:c r="M320" s="179" t="n">
        <x:v>2025</x:v>
      </x:c>
      <x:c r="N320" s="179" t="n">
        <x:v>2029</x:v>
      </x:c>
      <x:c r="O320" s="63" t="str">
        <x:v>overlaps</x:v>
      </x:c>
      <x:c r="P320" s="63" t="str">
        <x:v>2027|2028|2029</x:v>
      </x:c>
      <x:c r="Q320" s="143"/>
      <x:c r="R320" s="143"/>
      <x:c r="S320" s="154" t="n">
        <x:v>-117.2823</x:v>
      </x:c>
      <x:c r="T320" s="154" t="n">
        <x:v>55.0616</x:v>
      </x:c>
      <x:c r="U320" s="63" t="str">
        <x:v>reported</x:v>
      </x:c>
      <x:c r="V320" s="63" t="str">
        <x:v>ALBERTA_MAJOR_PROJECTS</x:v>
      </x:c>
      <x:c r="W320" s="63" t="str">
        <x:v>observed</x:v>
      </x:c>
      <x:c r="X320" s="155" t="n">
        <x:v>46265</x:v>
      </x:c>
      <x:c r="Y320" s="63" t="str">
        <x:v>https://www.majorprojects.alberta.ca/</x:v>
      </x:c>
    </x:row>
    <x:row r="321">
      <x:c r="A321" s="63" t="str">
        <x:v>ABMP_10637</x:v>
      </x:c>
      <x:c r="B321" s="63" t="str">
        <x:v>Highway 43 Repaving (NW of Fox Creek)</x:v>
      </x:c>
      <x:c r="C321" s="63" t="str">
        <x:v>Roads Transit And Airports</x:v>
      </x:c>
      <x:c r="D321" s="63" t="str">
        <x:v>inferred</x:v>
      </x:c>
      <x:c r="E321" s="63" t="str">
        <x:v>Roadwork</x:v>
      </x:c>
      <x:c r="F321" s="63" t="str">
        <x:v>Infrastructure</x:v>
      </x:c>
      <x:c r="G321" s="63" t="str">
        <x:v>Alberta Transportation and Economic Corridors</x:v>
      </x:c>
      <x:c r="H321" s="63" t="str">
        <x:v>Government Or Public Institution Signal</x:v>
      </x:c>
      <x:c r="I321" s="63" t="str">
        <x:v>inferred</x:v>
      </x:c>
      <x:c r="J321" s="63" t="str">
        <x:v>Greenview No. 16</x:v>
      </x:c>
      <x:c r="K321" s="63" t="str">
        <x:v>Under Construction</x:v>
      </x:c>
      <x:c r="L321" s="143"/>
      <x:c r="M321" s="179" t="n">
        <x:v>2024</x:v>
      </x:c>
      <x:c r="N321" s="179"/>
      <x:c r="O321" s="63" t="str">
        <x:v>indeterminate_incomplete_schedule</x:v>
      </x:c>
      <x:c r="P321" s="63" t="str"/>
      <x:c r="Q321" s="143"/>
      <x:c r="R321" s="143"/>
      <x:c r="S321" s="154"/>
      <x:c r="T321" s="154"/>
      <x:c r="U321" s="63" t="str">
        <x:v>reported</x:v>
      </x:c>
      <x:c r="V321" s="63" t="str">
        <x:v>ALBERTA_MAJOR_PROJECTS</x:v>
      </x:c>
      <x:c r="W321" s="63" t="str">
        <x:v>observed</x:v>
      </x:c>
      <x:c r="X321" s="155" t="n">
        <x:v>46265</x:v>
      </x:c>
      <x:c r="Y321" s="63" t="str">
        <x:v>https://www.majorprojects.alberta.ca/</x:v>
      </x:c>
    </x:row>
    <x:row r="322">
      <x:c r="A322" s="63" t="str">
        <x:v>ABMP_11192</x:v>
      </x:c>
      <x:c r="B322" s="63" t="str">
        <x:v>Highway 44 and Highway 642 Intersection Roundabout</x:v>
      </x:c>
      <x:c r="C322" s="63" t="str">
        <x:v>Roads Transit And Airports</x:v>
      </x:c>
      <x:c r="D322" s="63" t="str">
        <x:v>inferred</x:v>
      </x:c>
      <x:c r="E322" s="63" t="str">
        <x:v>Roadwork</x:v>
      </x:c>
      <x:c r="F322" s="63" t="str">
        <x:v>Infrastructure</x:v>
      </x:c>
      <x:c r="G322" s="63" t="str">
        <x:v>Alberta Transportation and Economic Corridors</x:v>
      </x:c>
      <x:c r="H322" s="63" t="str">
        <x:v>Government Or Public Institution Signal</x:v>
      </x:c>
      <x:c r="I322" s="63" t="str">
        <x:v>inferred</x:v>
      </x:c>
      <x:c r="J322" s="63" t="str">
        <x:v>Sturgeon County</x:v>
      </x:c>
      <x:c r="K322" s="63" t="str">
        <x:v>Proposed</x:v>
      </x:c>
      <x:c r="L322" s="143"/>
      <x:c r="M322" s="179" t="n">
        <x:v>2027</x:v>
      </x:c>
      <x:c r="N322" s="179" t="n">
        <x:v>2027</x:v>
      </x:c>
      <x:c r="O322" s="63" t="str">
        <x:v>overlaps</x:v>
      </x:c>
      <x:c r="P322" s="63" t="str">
        <x:v>2027</x:v>
      </x:c>
      <x:c r="Q322" s="143"/>
      <x:c r="R322" s="143"/>
      <x:c r="S322" s="154" t="n">
        <x:v>-113.843175</x:v>
      </x:c>
      <x:c r="T322" s="154" t="n">
        <x:v>53.803382</x:v>
      </x:c>
      <x:c r="U322" s="63" t="str">
        <x:v>reported</x:v>
      </x:c>
      <x:c r="V322" s="63" t="str">
        <x:v>ALBERTA_MAJOR_PROJECTS</x:v>
      </x:c>
      <x:c r="W322" s="63" t="str">
        <x:v>observed</x:v>
      </x:c>
      <x:c r="X322" s="155" t="n">
        <x:v>46265</x:v>
      </x:c>
      <x:c r="Y322" s="63" t="str">
        <x:v>https://www.majorprojects.alberta.ca/</x:v>
      </x:c>
    </x:row>
    <x:row r="323">
      <x:c r="A323" s="63" t="str">
        <x:v>ABMP_11334</x:v>
      </x:c>
      <x:c r="B323" s="63" t="str">
        <x:v>Highway 49 Repaving (North of Valleyview)</x:v>
      </x:c>
      <x:c r="C323" s="63" t="str">
        <x:v>Roads Transit And Airports</x:v>
      </x:c>
      <x:c r="D323" s="63" t="str">
        <x:v>inferred</x:v>
      </x:c>
      <x:c r="E323" s="63" t="str">
        <x:v>Roadwork</x:v>
      </x:c>
      <x:c r="F323" s="63" t="str">
        <x:v>Infrastructure</x:v>
      </x:c>
      <x:c r="G323" s="63" t="str">
        <x:v>Alberta Transportation and Economic Corridors</x:v>
      </x:c>
      <x:c r="H323" s="63" t="str">
        <x:v>Government Or Public Institution Signal</x:v>
      </x:c>
      <x:c r="I323" s="63" t="str">
        <x:v>inferred</x:v>
      </x:c>
      <x:c r="J323" s="63" t="str">
        <x:v>Greenview No. 16</x:v>
      </x:c>
      <x:c r="K323" s="63" t="str">
        <x:v>Under Construction</x:v>
      </x:c>
      <x:c r="L323" s="143"/>
      <x:c r="M323" s="179" t="n">
        <x:v>2025</x:v>
      </x:c>
      <x:c r="N323" s="179" t="n">
        <x:v>2029</x:v>
      </x:c>
      <x:c r="O323" s="63" t="str">
        <x:v>overlaps</x:v>
      </x:c>
      <x:c r="P323" s="63" t="str">
        <x:v>2027|2028|2029</x:v>
      </x:c>
      <x:c r="Q323" s="143"/>
      <x:c r="R323" s="143"/>
      <x:c r="S323" s="154"/>
      <x:c r="T323" s="154"/>
      <x:c r="U323" s="63" t="str">
        <x:v>reported</x:v>
      </x:c>
      <x:c r="V323" s="63" t="str">
        <x:v>ALBERTA_MAJOR_PROJECTS</x:v>
      </x:c>
      <x:c r="W323" s="63" t="str">
        <x:v>observed</x:v>
      </x:c>
      <x:c r="X323" s="155" t="n">
        <x:v>46265</x:v>
      </x:c>
      <x:c r="Y323" s="63" t="str">
        <x:v>https://www.majorprojects.alberta.ca/</x:v>
      </x:c>
    </x:row>
    <x:row r="324">
      <x:c r="A324" s="63" t="str">
        <x:v>ABMP_2976</x:v>
      </x:c>
      <x:c r="B324" s="63" t="str">
        <x:v>Highway 566 and QEII Interchange Upgrades (Balzac)</x:v>
      </x:c>
      <x:c r="C324" s="63" t="str">
        <x:v>Roads Transit And Airports</x:v>
      </x:c>
      <x:c r="D324" s="63" t="str">
        <x:v>inferred</x:v>
      </x:c>
      <x:c r="E324" s="63" t="str">
        <x:v>Roadwork</x:v>
      </x:c>
      <x:c r="F324" s="63" t="str">
        <x:v>Infrastructure</x:v>
      </x:c>
      <x:c r="G324" s="63" t="str">
        <x:v>Alberta Transportation and Economic Corridors</x:v>
      </x:c>
      <x:c r="H324" s="63" t="str">
        <x:v>Government Or Public Institution Signal</x:v>
      </x:c>
      <x:c r="I324" s="63" t="str">
        <x:v>inferred</x:v>
      </x:c>
      <x:c r="J324" s="63" t="str">
        <x:v>Rocky View County</x:v>
      </x:c>
      <x:c r="K324" s="63" t="str">
        <x:v>Proposed</x:v>
      </x:c>
      <x:c r="L324" s="143" t="n">
        <x:v>92000000</x:v>
      </x:c>
      <x:c r="M324" s="179" t="n">
        <x:v>2026</x:v>
      </x:c>
      <x:c r="N324" s="179" t="n">
        <x:v>2028</x:v>
      </x:c>
      <x:c r="O324" s="63" t="str">
        <x:v>overlaps</x:v>
      </x:c>
      <x:c r="P324" s="63" t="str">
        <x:v>2027|2028</x:v>
      </x:c>
      <x:c r="Q324" s="143" t="n">
        <x:v>30666666.666666668</x:v>
      </x:c>
      <x:c r="R324" s="143" t="n">
        <x:v>61333333.333333336</x:v>
      </x:c>
      <x:c r="S324" s="154" t="n">
        <x:v>-114.001721</x:v>
      </x:c>
      <x:c r="T324" s="154" t="n">
        <x:v>51.212464</x:v>
      </x:c>
      <x:c r="U324" s="63" t="str">
        <x:v>reported</x:v>
      </x:c>
      <x:c r="V324" s="63" t="str">
        <x:v>ALBERTA_MAJOR_PROJECTS</x:v>
      </x:c>
      <x:c r="W324" s="63" t="str">
        <x:v>observed</x:v>
      </x:c>
      <x:c r="X324" s="155" t="n">
        <x:v>46265</x:v>
      </x:c>
      <x:c r="Y324" s="63" t="str">
        <x:v>https://www.majorprojects.alberta.ca/</x:v>
      </x:c>
    </x:row>
    <x:row r="325">
      <x:c r="A325" s="63" t="str">
        <x:v>ABMP_11193</x:v>
      </x:c>
      <x:c r="B325" s="63" t="str">
        <x:v>Highway 58 Bridge Replacement Over Caribou River</x:v>
      </x:c>
      <x:c r="C325" s="63" t="str">
        <x:v>Roads Transit And Airports</x:v>
      </x:c>
      <x:c r="D325" s="63" t="str">
        <x:v>inferred</x:v>
      </x:c>
      <x:c r="E325" s="63" t="str">
        <x:v>Roadwork</x:v>
      </x:c>
      <x:c r="F325" s="63" t="str">
        <x:v>Infrastructure</x:v>
      </x:c>
      <x:c r="G325" s="63" t="str">
        <x:v>Alberta Transportation and Economic Corridors</x:v>
      </x:c>
      <x:c r="H325" s="63" t="str">
        <x:v>Government Or Public Institution Signal</x:v>
      </x:c>
      <x:c r="I325" s="63" t="str">
        <x:v>inferred</x:v>
      </x:c>
      <x:c r="J325" s="63" t="str">
        <x:v>Mackenzie County</x:v>
      </x:c>
      <x:c r="K325" s="63" t="str">
        <x:v>Under Construction</x:v>
      </x:c>
      <x:c r="L325" s="143"/>
      <x:c r="M325" s="179" t="n">
        <x:v>2024</x:v>
      </x:c>
      <x:c r="N325" s="179"/>
      <x:c r="O325" s="63" t="str">
        <x:v>indeterminate_incomplete_schedule</x:v>
      </x:c>
      <x:c r="P325" s="63" t="str"/>
      <x:c r="Q325" s="143"/>
      <x:c r="R325" s="143"/>
      <x:c r="S325" s="154" t="n">
        <x:v>-115.9041</x:v>
      </x:c>
      <x:c r="T325" s="154" t="n">
        <x:v>58.5187</x:v>
      </x:c>
      <x:c r="U325" s="63" t="str">
        <x:v>reported</x:v>
      </x:c>
      <x:c r="V325" s="63" t="str">
        <x:v>ALBERTA_MAJOR_PROJECTS</x:v>
      </x:c>
      <x:c r="W325" s="63" t="str">
        <x:v>observed</x:v>
      </x:c>
      <x:c r="X325" s="155" t="n">
        <x:v>46265</x:v>
      </x:c>
      <x:c r="Y325" s="63" t="str">
        <x:v>https://www.majorprojects.alberta.ca/</x:v>
      </x:c>
    </x:row>
    <x:row r="326">
      <x:c r="A326" s="63" t="str">
        <x:v>ABMP_11320</x:v>
      </x:c>
      <x:c r="B326" s="63" t="str">
        <x:v>Highway 58 Grade Widening</x:v>
      </x:c>
      <x:c r="C326" s="63" t="str">
        <x:v>Roads Transit And Airports</x:v>
      </x:c>
      <x:c r="D326" s="63" t="str">
        <x:v>inferred</x:v>
      </x:c>
      <x:c r="E326" s="63" t="str">
        <x:v>Roadwork</x:v>
      </x:c>
      <x:c r="F326" s="63" t="str">
        <x:v>Infrastructure</x:v>
      </x:c>
      <x:c r="G326" s="63" t="str">
        <x:v>Alberta Transportation and Economic Corridors</x:v>
      </x:c>
      <x:c r="H326" s="63" t="str">
        <x:v>Government Or Public Institution Signal</x:v>
      </x:c>
      <x:c r="I326" s="63" t="str">
        <x:v>inferred</x:v>
      </x:c>
      <x:c r="J326" s="63" t="str">
        <x:v>Mackenzie County</x:v>
      </x:c>
      <x:c r="K326" s="63" t="str">
        <x:v>Under Construction</x:v>
      </x:c>
      <x:c r="L326" s="143"/>
      <x:c r="M326" s="179" t="n">
        <x:v>2024</x:v>
      </x:c>
      <x:c r="N326" s="179"/>
      <x:c r="O326" s="63" t="str">
        <x:v>indeterminate_incomplete_schedule</x:v>
      </x:c>
      <x:c r="P326" s="63" t="str"/>
      <x:c r="Q326" s="143"/>
      <x:c r="R326" s="143"/>
      <x:c r="S326" s="154"/>
      <x:c r="T326" s="154"/>
      <x:c r="U326" s="63" t="str">
        <x:v>reported</x:v>
      </x:c>
      <x:c r="V326" s="63" t="str">
        <x:v>ALBERTA_MAJOR_PROJECTS</x:v>
      </x:c>
      <x:c r="W326" s="63" t="str">
        <x:v>observed</x:v>
      </x:c>
      <x:c r="X326" s="155" t="n">
        <x:v>46265</x:v>
      </x:c>
      <x:c r="Y326" s="63" t="str">
        <x:v>https://www.majorprojects.alberta.ca/</x:v>
      </x:c>
    </x:row>
    <x:row r="327">
      <x:c r="A327" s="63" t="str">
        <x:v>ABMP_11984</x:v>
      </x:c>
      <x:c r="B327" s="63" t="str">
        <x:v>Highway 58 Paving (West of John D'Or Prairie)</x:v>
      </x:c>
      <x:c r="C327" s="63" t="str">
        <x:v>Roads Transit And Airports</x:v>
      </x:c>
      <x:c r="D327" s="63" t="str">
        <x:v>inferred</x:v>
      </x:c>
      <x:c r="E327" s="63" t="str">
        <x:v>Roadwork</x:v>
      </x:c>
      <x:c r="F327" s="63" t="str">
        <x:v>Infrastructure</x:v>
      </x:c>
      <x:c r="G327" s="63" t="str">
        <x:v>Alberta Transportation and Economic Corridors</x:v>
      </x:c>
      <x:c r="H327" s="63" t="str">
        <x:v>Government Or Public Institution Signal</x:v>
      </x:c>
      <x:c r="I327" s="63" t="str">
        <x:v>inferred</x:v>
      </x:c>
      <x:c r="J327" s="63" t="str">
        <x:v>John d'Or Prairie 215|Mackenzie County</x:v>
      </x:c>
      <x:c r="K327" s="63" t="str">
        <x:v>Proposed</x:v>
      </x:c>
      <x:c r="L327" s="143"/>
      <x:c r="M327" s="179" t="n">
        <x:v>2028</x:v>
      </x:c>
      <x:c r="N327" s="179"/>
      <x:c r="O327" s="63" t="str">
        <x:v>indeterminate_incomplete_schedule</x:v>
      </x:c>
      <x:c r="P327" s="63" t="str"/>
      <x:c r="Q327" s="143"/>
      <x:c r="R327" s="143"/>
      <x:c r="S327" s="154"/>
      <x:c r="T327" s="154"/>
      <x:c r="U327" s="63" t="str">
        <x:v>reported</x:v>
      </x:c>
      <x:c r="V327" s="63" t="str">
        <x:v>ALBERTA_MAJOR_PROJECTS</x:v>
      </x:c>
      <x:c r="W327" s="63" t="str">
        <x:v>observed</x:v>
      </x:c>
      <x:c r="X327" s="155" t="n">
        <x:v>46265</x:v>
      </x:c>
      <x:c r="Y327" s="63" t="str">
        <x:v>https://www.majorprojects.alberta.ca/</x:v>
      </x:c>
    </x:row>
    <x:row r="328">
      <x:c r="A328" s="63" t="str">
        <x:v>ABMP_10629</x:v>
      </x:c>
      <x:c r="B328" s="63" t="str">
        <x:v>Highway 60 Improvement Project</x:v>
      </x:c>
      <x:c r="C328" s="63" t="str">
        <x:v>Roads Transit And Airports</x:v>
      </x:c>
      <x:c r="D328" s="63" t="str">
        <x:v>inferred</x:v>
      </x:c>
      <x:c r="E328" s="63" t="str">
        <x:v>Roadwork</x:v>
      </x:c>
      <x:c r="F328" s="63" t="str">
        <x:v>Infrastructure</x:v>
      </x:c>
      <x:c r="G328" s="63" t="str">
        <x:v>Alberta Transportation and Economic Corridors</x:v>
      </x:c>
      <x:c r="H328" s="63" t="str">
        <x:v>Government Or Public Institution Signal</x:v>
      </x:c>
      <x:c r="I328" s="63" t="str">
        <x:v>inferred</x:v>
      </x:c>
      <x:c r="J328" s="63" t="str">
        <x:v>Parkland County</x:v>
      </x:c>
      <x:c r="K328" s="63" t="str">
        <x:v>Under Construction</x:v>
      </x:c>
      <x:c r="L328" s="143"/>
      <x:c r="M328" s="179" t="n">
        <x:v>2026</x:v>
      </x:c>
      <x:c r="N328" s="179"/>
      <x:c r="O328" s="63" t="str">
        <x:v>indeterminate_incomplete_schedule</x:v>
      </x:c>
      <x:c r="P328" s="63" t="str"/>
      <x:c r="Q328" s="143"/>
      <x:c r="R328" s="143"/>
      <x:c r="S328" s="154"/>
      <x:c r="T328" s="154"/>
      <x:c r="U328" s="63" t="str">
        <x:v>reported</x:v>
      </x:c>
      <x:c r="V328" s="63" t="str">
        <x:v>ALBERTA_MAJOR_PROJECTS</x:v>
      </x:c>
      <x:c r="W328" s="63" t="str">
        <x:v>observed</x:v>
      </x:c>
      <x:c r="X328" s="155" t="n">
        <x:v>46265</x:v>
      </x:c>
      <x:c r="Y328" s="63" t="str">
        <x:v>https://www.majorprojects.alberta.ca/</x:v>
      </x:c>
    </x:row>
    <x:row r="329">
      <x:c r="A329" s="63" t="str">
        <x:v>ABMP_11321</x:v>
      </x:c>
      <x:c r="B329" s="63" t="str">
        <x:v>Highway 600 &amp; 13 Rehabilitation (Provost)</x:v>
      </x:c>
      <x:c r="C329" s="63" t="str">
        <x:v>Roads Transit And Airports</x:v>
      </x:c>
      <x:c r="D329" s="63" t="str">
        <x:v>inferred</x:v>
      </x:c>
      <x:c r="E329" s="63" t="str">
        <x:v>Roadwork</x:v>
      </x:c>
      <x:c r="F329" s="63" t="str">
        <x:v>Infrastructure</x:v>
      </x:c>
      <x:c r="G329" s="63" t="str">
        <x:v>Alberta Transportation and Economic Corridors</x:v>
      </x:c>
      <x:c r="H329" s="63" t="str">
        <x:v>Government Or Public Institution Signal</x:v>
      </x:c>
      <x:c r="I329" s="63" t="str">
        <x:v>inferred</x:v>
      </x:c>
      <x:c r="J329" s="63" t="str">
        <x:v>Provost|Provost No. 52</x:v>
      </x:c>
      <x:c r="K329" s="63" t="str">
        <x:v>Under Construction</x:v>
      </x:c>
      <x:c r="L329" s="143"/>
      <x:c r="M329" s="179" t="n">
        <x:v>2026</x:v>
      </x:c>
      <x:c r="N329" s="179" t="n">
        <x:v>2027</x:v>
      </x:c>
      <x:c r="O329" s="63" t="str">
        <x:v>overlaps</x:v>
      </x:c>
      <x:c r="P329" s="63" t="str">
        <x:v>2027</x:v>
      </x:c>
      <x:c r="Q329" s="143"/>
      <x:c r="R329" s="143"/>
      <x:c r="S329" s="154" t="n">
        <x:v>-110.23495</x:v>
      </x:c>
      <x:c r="T329" s="154" t="n">
        <x:v>52.360941</x:v>
      </x:c>
      <x:c r="U329" s="63" t="str">
        <x:v>reported</x:v>
      </x:c>
      <x:c r="V329" s="63" t="str">
        <x:v>ALBERTA_MAJOR_PROJECTS</x:v>
      </x:c>
      <x:c r="W329" s="63" t="str">
        <x:v>observed</x:v>
      </x:c>
      <x:c r="X329" s="155" t="n">
        <x:v>46265</x:v>
      </x:c>
      <x:c r="Y329" s="63" t="str">
        <x:v>https://www.majorprojects.alberta.ca/</x:v>
      </x:c>
    </x:row>
    <x:row r="330">
      <x:c r="A330" s="63" t="str">
        <x:v>ABMP_11983</x:v>
      </x:c>
      <x:c r="B330" s="63" t="str">
        <x:v>Highway 604 Upgrades (Near Gull Lake)</x:v>
      </x:c>
      <x:c r="C330" s="63" t="str">
        <x:v>Roads Transit And Airports</x:v>
      </x:c>
      <x:c r="D330" s="63" t="str">
        <x:v>inferred</x:v>
      </x:c>
      <x:c r="E330" s="63" t="str">
        <x:v>Roadwork</x:v>
      </x:c>
      <x:c r="F330" s="63" t="str">
        <x:v>Infrastructure</x:v>
      </x:c>
      <x:c r="G330" s="63" t="str">
        <x:v>Alberta Transportation and Economic Corridors</x:v>
      </x:c>
      <x:c r="H330" s="63" t="str">
        <x:v>Government Or Public Institution Signal</x:v>
      </x:c>
      <x:c r="I330" s="63" t="str">
        <x:v>inferred</x:v>
      </x:c>
      <x:c r="J330" s="63" t="str">
        <x:v>Lacombe County|Ponoka County</x:v>
      </x:c>
      <x:c r="K330" s="63" t="str">
        <x:v>Proposed</x:v>
      </x:c>
      <x:c r="L330" s="143"/>
      <x:c r="M330" s="179"/>
      <x:c r="N330" s="179"/>
      <x:c r="O330" s="63" t="str">
        <x:v>indeterminate_incomplete_schedule</x:v>
      </x:c>
      <x:c r="P330" s="63" t="str"/>
      <x:c r="Q330" s="143"/>
      <x:c r="R330" s="143"/>
      <x:c r="S330" s="154"/>
      <x:c r="T330" s="154"/>
      <x:c r="U330" s="63" t="str">
        <x:v>reported</x:v>
      </x:c>
      <x:c r="V330" s="63" t="str">
        <x:v>ALBERTA_MAJOR_PROJECTS</x:v>
      </x:c>
      <x:c r="W330" s="63" t="str">
        <x:v>observed</x:v>
      </x:c>
      <x:c r="X330" s="155" t="n">
        <x:v>46265</x:v>
      </x:c>
      <x:c r="Y330" s="63" t="str">
        <x:v>https://www.majorprojects.alberta.ca/</x:v>
      </x:c>
    </x:row>
    <x:row r="331">
      <x:c r="A331" s="63" t="str">
        <x:v>ABMP_11655</x:v>
      </x:c>
      <x:c r="B331" s="63" t="str">
        <x:v>Highway 628 Realignment</x:v>
      </x:c>
      <x:c r="C331" s="63" t="str">
        <x:v>Roads Transit And Airports</x:v>
      </x:c>
      <x:c r="D331" s="63" t="str">
        <x:v>inferred</x:v>
      </x:c>
      <x:c r="E331" s="63" t="str">
        <x:v>Roadwork</x:v>
      </x:c>
      <x:c r="F331" s="63" t="str">
        <x:v>Infrastructure</x:v>
      </x:c>
      <x:c r="G331" s="63" t="str">
        <x:v>Alberta Transportation and Economic Corridors</x:v>
      </x:c>
      <x:c r="H331" s="63" t="str">
        <x:v>Government Or Public Institution Signal</x:v>
      </x:c>
      <x:c r="I331" s="63" t="str">
        <x:v>inferred</x:v>
      </x:c>
      <x:c r="J331" s="63" t="str">
        <x:v>Parkland County|Stony Plain 135|Spruce Grove</x:v>
      </x:c>
      <x:c r="K331" s="63" t="str">
        <x:v>Proposed</x:v>
      </x:c>
      <x:c r="L331" s="143"/>
      <x:c r="M331" s="179" t="n">
        <x:v>2028</x:v>
      </x:c>
      <x:c r="N331" s="179" t="n">
        <x:v>2030</x:v>
      </x:c>
      <x:c r="O331" s="63" t="str">
        <x:v>overlaps</x:v>
      </x:c>
      <x:c r="P331" s="63" t="str">
        <x:v>2028|2029|2030</x:v>
      </x:c>
      <x:c r="Q331" s="143"/>
      <x:c r="R331" s="143"/>
      <x:c r="S331" s="154"/>
      <x:c r="T331" s="154"/>
      <x:c r="U331" s="63" t="str">
        <x:v>reported</x:v>
      </x:c>
      <x:c r="V331" s="63" t="str">
        <x:v>ALBERTA_MAJOR_PROJECTS</x:v>
      </x:c>
      <x:c r="W331" s="63" t="str">
        <x:v>observed</x:v>
      </x:c>
      <x:c r="X331" s="155" t="n">
        <x:v>46265</x:v>
      </x:c>
      <x:c r="Y331" s="63" t="str">
        <x:v>https://www.majorprojects.alberta.ca/</x:v>
      </x:c>
    </x:row>
    <x:row r="332">
      <x:c r="A332" s="63" t="str">
        <x:v>ABMP_11315</x:v>
      </x:c>
      <x:c r="B332" s="63" t="str">
        <x:v>Highway 63 Twinning on Athabasca River</x:v>
      </x:c>
      <x:c r="C332" s="63" t="str">
        <x:v>Roads Transit And Airports</x:v>
      </x:c>
      <x:c r="D332" s="63" t="str">
        <x:v>inferred</x:v>
      </x:c>
      <x:c r="E332" s="63" t="str">
        <x:v>Roadwork</x:v>
      </x:c>
      <x:c r="F332" s="63" t="str">
        <x:v>Infrastructure</x:v>
      </x:c>
      <x:c r="G332" s="63" t="str">
        <x:v>Alberta Transportation and Economic Corridors</x:v>
      </x:c>
      <x:c r="H332" s="63" t="str">
        <x:v>Government Or Public Institution Signal</x:v>
      </x:c>
      <x:c r="I332" s="63" t="str">
        <x:v>inferred</x:v>
      </x:c>
      <x:c r="J332" s="63" t="str">
        <x:v>Wood Buffalo</x:v>
      </x:c>
      <x:c r="K332" s="63" t="str">
        <x:v>Under Construction</x:v>
      </x:c>
      <x:c r="L332" s="143"/>
      <x:c r="M332" s="179" t="n">
        <x:v>2026</x:v>
      </x:c>
      <x:c r="N332" s="179" t="n">
        <x:v>2028</x:v>
      </x:c>
      <x:c r="O332" s="63" t="str">
        <x:v>overlaps</x:v>
      </x:c>
      <x:c r="P332" s="63" t="str">
        <x:v>2027|2028</x:v>
      </x:c>
      <x:c r="Q332" s="143"/>
      <x:c r="R332" s="143"/>
      <x:c r="S332" s="154"/>
      <x:c r="T332" s="154"/>
      <x:c r="U332" s="63" t="str">
        <x:v>reported</x:v>
      </x:c>
      <x:c r="V332" s="63" t="str">
        <x:v>ALBERTA_MAJOR_PROJECTS</x:v>
      </x:c>
      <x:c r="W332" s="63" t="str">
        <x:v>observed</x:v>
      </x:c>
      <x:c r="X332" s="155" t="n">
        <x:v>46265</x:v>
      </x:c>
      <x:c r="Y332" s="63" t="str">
        <x:v>https://www.majorprojects.alberta.ca/</x:v>
      </x:c>
    </x:row>
    <x:row r="333">
      <x:c r="A333" s="63" t="str">
        <x:v>ABMP_11197</x:v>
      </x:c>
      <x:c r="B333" s="63" t="str">
        <x:v>Highway 644 Grade Widening Project</x:v>
      </x:c>
      <x:c r="C333" s="63" t="str">
        <x:v>Roads Transit And Airports</x:v>
      </x:c>
      <x:c r="D333" s="63" t="str">
        <x:v>inferred</x:v>
      </x:c>
      <x:c r="E333" s="63" t="str">
        <x:v>Roadwork</x:v>
      </x:c>
      <x:c r="F333" s="63" t="str">
        <x:v>Infrastructure</x:v>
      </x:c>
      <x:c r="G333" s="63" t="str">
        <x:v>Alberta Transportation and Economic Corridors</x:v>
      </x:c>
      <x:c r="H333" s="63" t="str">
        <x:v>Government Or Public Institution Signal</x:v>
      </x:c>
      <x:c r="I333" s="63" t="str">
        <x:v>inferred</x:v>
      </x:c>
      <x:c r="J333" s="63" t="str">
        <x:v>Sturgeon County|Redwater</x:v>
      </x:c>
      <x:c r="K333" s="63" t="str">
        <x:v>Proposed</x:v>
      </x:c>
      <x:c r="L333" s="143"/>
      <x:c r="M333" s="179" t="n">
        <x:v>2027</x:v>
      </x:c>
      <x:c r="N333" s="179" t="n">
        <x:v>2029</x:v>
      </x:c>
      <x:c r="O333" s="63" t="str">
        <x:v>overlaps</x:v>
      </x:c>
      <x:c r="P333" s="63" t="str">
        <x:v>2027|2028|2029</x:v>
      </x:c>
      <x:c r="Q333" s="143"/>
      <x:c r="R333" s="143"/>
      <x:c r="S333" s="154"/>
      <x:c r="T333" s="154"/>
      <x:c r="U333" s="63" t="str">
        <x:v>reported</x:v>
      </x:c>
      <x:c r="V333" s="63" t="str">
        <x:v>ALBERTA_MAJOR_PROJECTS</x:v>
      </x:c>
      <x:c r="W333" s="63" t="str">
        <x:v>observed</x:v>
      </x:c>
      <x:c r="X333" s="155" t="n">
        <x:v>46265</x:v>
      </x:c>
      <x:c r="Y333" s="63" t="str">
        <x:v>https://www.majorprojects.alberta.ca/</x:v>
      </x:c>
    </x:row>
    <x:row r="334">
      <x:c r="A334" s="63" t="str">
        <x:v>ABMP_11288</x:v>
      </x:c>
      <x:c r="B334" s="63" t="str">
        <x:v>Highway 686 Extension to Fort McMurray</x:v>
      </x:c>
      <x:c r="C334" s="63" t="str">
        <x:v>Roads Transit And Airports</x:v>
      </x:c>
      <x:c r="D334" s="63" t="str">
        <x:v>inferred</x:v>
      </x:c>
      <x:c r="E334" s="63" t="str">
        <x:v>Roadwork</x:v>
      </x:c>
      <x:c r="F334" s="63" t="str">
        <x:v>Infrastructure</x:v>
      </x:c>
      <x:c r="G334" s="63" t="str">
        <x:v>Alberta Transportation and Economic Corridors</x:v>
      </x:c>
      <x:c r="H334" s="63" t="str">
        <x:v>Government Or Public Institution Signal</x:v>
      </x:c>
      <x:c r="I334" s="63" t="str">
        <x:v>inferred</x:v>
      </x:c>
      <x:c r="J334" s="63" t="str">
        <x:v>Opportunity No. 17|Wood Buffalo</x:v>
      </x:c>
      <x:c r="K334" s="63" t="str">
        <x:v>Proposed</x:v>
      </x:c>
      <x:c r="L334" s="143"/>
      <x:c r="M334" s="179"/>
      <x:c r="N334" s="179"/>
      <x:c r="O334" s="63" t="str">
        <x:v>indeterminate_incomplete_schedule</x:v>
      </x:c>
      <x:c r="P334" s="63" t="str"/>
      <x:c r="Q334" s="143"/>
      <x:c r="R334" s="143"/>
      <x:c r="S334" s="154"/>
      <x:c r="T334" s="154"/>
      <x:c r="U334" s="63" t="str">
        <x:v>reported</x:v>
      </x:c>
      <x:c r="V334" s="63" t="str">
        <x:v>ALBERTA_MAJOR_PROJECTS</x:v>
      </x:c>
      <x:c r="W334" s="63" t="str">
        <x:v>observed</x:v>
      </x:c>
      <x:c r="X334" s="155" t="n">
        <x:v>46265</x:v>
      </x:c>
      <x:c r="Y334" s="63" t="str">
        <x:v>https://www.majorprojects.alberta.ca/</x:v>
      </x:c>
    </x:row>
    <x:row r="335">
      <x:c r="A335" s="63" t="str">
        <x:v>ABMP_11339</x:v>
      </x:c>
      <x:c r="B335" s="63" t="str">
        <x:v>Highway 733 Repaving (South of Wanham)</x:v>
      </x:c>
      <x:c r="C335" s="63" t="str">
        <x:v>Roads Transit And Airports</x:v>
      </x:c>
      <x:c r="D335" s="63" t="str">
        <x:v>inferred</x:v>
      </x:c>
      <x:c r="E335" s="63" t="str">
        <x:v>Roadwork</x:v>
      </x:c>
      <x:c r="F335" s="63" t="str">
        <x:v>Infrastructure</x:v>
      </x:c>
      <x:c r="G335" s="63" t="str">
        <x:v>Alberta Transportation and Economic Corridors</x:v>
      </x:c>
      <x:c r="H335" s="63" t="str">
        <x:v>Government Or Public Institution Signal</x:v>
      </x:c>
      <x:c r="I335" s="63" t="str">
        <x:v>inferred</x:v>
      </x:c>
      <x:c r="J335" s="63" t="str">
        <x:v>Birch Hills County|Grande Prairie County No. 1</x:v>
      </x:c>
      <x:c r="K335" s="63" t="str">
        <x:v>Under Construction</x:v>
      </x:c>
      <x:c r="L335" s="143"/>
      <x:c r="M335" s="179" t="n">
        <x:v>2024</x:v>
      </x:c>
      <x:c r="N335" s="179"/>
      <x:c r="O335" s="63" t="str">
        <x:v>indeterminate_incomplete_schedule</x:v>
      </x:c>
      <x:c r="P335" s="63" t="str"/>
      <x:c r="Q335" s="143"/>
      <x:c r="R335" s="143"/>
      <x:c r="S335" s="154"/>
      <x:c r="T335" s="154"/>
      <x:c r="U335" s="63" t="str">
        <x:v>reported</x:v>
      </x:c>
      <x:c r="V335" s="63" t="str">
        <x:v>ALBERTA_MAJOR_PROJECTS</x:v>
      </x:c>
      <x:c r="W335" s="63" t="str">
        <x:v>observed</x:v>
      </x:c>
      <x:c r="X335" s="155" t="n">
        <x:v>46265</x:v>
      </x:c>
      <x:c r="Y335" s="63" t="str">
        <x:v>https://www.majorprojects.alberta.ca/</x:v>
      </x:c>
    </x:row>
    <x:row r="336">
      <x:c r="A336" s="63" t="str">
        <x:v>ABMP_11980</x:v>
      </x:c>
      <x:c r="B336" s="63" t="str">
        <x:v>Highway 791 Paving Project</x:v>
      </x:c>
      <x:c r="C336" s="63" t="str">
        <x:v>Roads Transit And Airports</x:v>
      </x:c>
      <x:c r="D336" s="63" t="str">
        <x:v>inferred</x:v>
      </x:c>
      <x:c r="E336" s="63" t="str">
        <x:v>Roadwork</x:v>
      </x:c>
      <x:c r="F336" s="63" t="str">
        <x:v>Infrastructure</x:v>
      </x:c>
      <x:c r="G336" s="63" t="str">
        <x:v>Alberta Transportation and Economic Corridors</x:v>
      </x:c>
      <x:c r="H336" s="63" t="str">
        <x:v>Government Or Public Institution Signal</x:v>
      </x:c>
      <x:c r="I336" s="63" t="str">
        <x:v>inferred</x:v>
      </x:c>
      <x:c r="J336" s="63" t="str">
        <x:v>Red Deer County</x:v>
      </x:c>
      <x:c r="K336" s="63" t="str">
        <x:v>Under Construction</x:v>
      </x:c>
      <x:c r="L336" s="143"/>
      <x:c r="M336" s="179" t="n">
        <x:v>2026</x:v>
      </x:c>
      <x:c r="N336" s="179" t="n">
        <x:v>2027</x:v>
      </x:c>
      <x:c r="O336" s="63" t="str">
        <x:v>overlaps</x:v>
      </x:c>
      <x:c r="P336" s="63" t="str">
        <x:v>2027</x:v>
      </x:c>
      <x:c r="Q336" s="143"/>
      <x:c r="R336" s="143"/>
      <x:c r="S336" s="154"/>
      <x:c r="T336" s="154"/>
      <x:c r="U336" s="63" t="str">
        <x:v>reported</x:v>
      </x:c>
      <x:c r="V336" s="63" t="str">
        <x:v>ALBERTA_MAJOR_PROJECTS</x:v>
      </x:c>
      <x:c r="W336" s="63" t="str">
        <x:v>observed</x:v>
      </x:c>
      <x:c r="X336" s="155" t="n">
        <x:v>46265</x:v>
      </x:c>
      <x:c r="Y336" s="63" t="str">
        <x:v>https://www.majorprojects.alberta.ca/</x:v>
      </x:c>
    </x:row>
    <x:row r="337">
      <x:c r="A337" s="63" t="str">
        <x:v>ABMP_11985</x:v>
      </x:c>
      <x:c r="B337" s="63" t="str">
        <x:v>Highway 8 Bridge over Elbow River</x:v>
      </x:c>
      <x:c r="C337" s="63" t="str">
        <x:v>Roads Transit And Airports</x:v>
      </x:c>
      <x:c r="D337" s="63" t="str">
        <x:v>inferred</x:v>
      </x:c>
      <x:c r="E337" s="63" t="str">
        <x:v>Roadwork</x:v>
      </x:c>
      <x:c r="F337" s="63" t="str">
        <x:v>Infrastructure</x:v>
      </x:c>
      <x:c r="G337" s="63" t="str">
        <x:v>Alberta Transportation and Economic Corridors</x:v>
      </x:c>
      <x:c r="H337" s="63" t="str">
        <x:v>Government Or Public Institution Signal</x:v>
      </x:c>
      <x:c r="I337" s="63" t="str">
        <x:v>inferred</x:v>
      </x:c>
      <x:c r="J337" s="63" t="str">
        <x:v>Rocky View County</x:v>
      </x:c>
      <x:c r="K337" s="63" t="str">
        <x:v>Under Construction</x:v>
      </x:c>
      <x:c r="L337" s="143"/>
      <x:c r="M337" s="179" t="n">
        <x:v>2025</x:v>
      </x:c>
      <x:c r="N337" s="179" t="n">
        <x:v>2027</x:v>
      </x:c>
      <x:c r="O337" s="63" t="str">
        <x:v>overlaps</x:v>
      </x:c>
      <x:c r="P337" s="63" t="str">
        <x:v>2027</x:v>
      </x:c>
      <x:c r="Q337" s="143"/>
      <x:c r="R337" s="143"/>
      <x:c r="S337" s="154" t="n">
        <x:v>-114.241333</x:v>
      </x:c>
      <x:c r="T337" s="154" t="n">
        <x:v>51.017489</x:v>
      </x:c>
      <x:c r="U337" s="63" t="str">
        <x:v>reported</x:v>
      </x:c>
      <x:c r="V337" s="63" t="str">
        <x:v>ALBERTA_MAJOR_PROJECTS</x:v>
      </x:c>
      <x:c r="W337" s="63" t="str">
        <x:v>observed</x:v>
      </x:c>
      <x:c r="X337" s="155" t="n">
        <x:v>46265</x:v>
      </x:c>
      <x:c r="Y337" s="63" t="str">
        <x:v>https://www.majorprojects.alberta.ca/</x:v>
      </x:c>
    </x:row>
    <x:row r="338">
      <x:c r="A338" s="63" t="str">
        <x:v>ABMP_10549</x:v>
      </x:c>
      <x:c r="B338" s="63" t="str">
        <x:v>Highway 813 Athabasca River Bridge Replacement</x:v>
      </x:c>
      <x:c r="C338" s="63" t="str">
        <x:v>Roads Transit And Airports</x:v>
      </x:c>
      <x:c r="D338" s="63" t="str">
        <x:v>inferred</x:v>
      </x:c>
      <x:c r="E338" s="63" t="str">
        <x:v>Roadwork</x:v>
      </x:c>
      <x:c r="F338" s="63" t="str">
        <x:v>Infrastructure</x:v>
      </x:c>
      <x:c r="G338" s="63" t="str">
        <x:v>Alberta Transportation and Economic Corridors</x:v>
      </x:c>
      <x:c r="H338" s="63" t="str">
        <x:v>Government Or Public Institution Signal</x:v>
      </x:c>
      <x:c r="I338" s="63" t="str">
        <x:v>inferred</x:v>
      </x:c>
      <x:c r="J338" s="63" t="str">
        <x:v>Athabasca</x:v>
      </x:c>
      <x:c r="K338" s="63" t="str">
        <x:v>Under Construction</x:v>
      </x:c>
      <x:c r="L338" s="143" t="n">
        <x:v>70000000</x:v>
      </x:c>
      <x:c r="M338" s="179" t="n">
        <x:v>2022</x:v>
      </x:c>
      <x:c r="N338" s="179" t="n">
        <x:v>2026</x:v>
      </x:c>
      <x:c r="O338" s="63" t="str">
        <x:v>outside_window</x:v>
      </x:c>
      <x:c r="P338" s="63" t="str"/>
      <x:c r="Q338" s="143" t="n">
        <x:v>14000000</x:v>
      </x:c>
      <x:c r="R338" s="143" t="n">
        <x:v>0</x:v>
      </x:c>
      <x:c r="S338" s="154" t="n">
        <x:v>-113.27467815687966</x:v>
      </x:c>
      <x:c r="T338" s="154" t="n">
        <x:v>54.728187869683815</x:v>
      </x:c>
      <x:c r="U338" s="63" t="str">
        <x:v>reported</x:v>
      </x:c>
      <x:c r="V338" s="63" t="str">
        <x:v>ALBERTA_MAJOR_PROJECTS</x:v>
      </x:c>
      <x:c r="W338" s="63" t="str">
        <x:v>observed</x:v>
      </x:c>
      <x:c r="X338" s="155" t="n">
        <x:v>46265</x:v>
      </x:c>
      <x:c r="Y338" s="63" t="str">
        <x:v>https://www.majorprojects.alberta.ca/</x:v>
      </x:c>
    </x:row>
    <x:row r="339">
      <x:c r="A339" s="63" t="str">
        <x:v>ABMP_11304</x:v>
      </x:c>
      <x:c r="B339" s="63" t="str">
        <x:v>Highway 834 Grade Widening</x:v>
      </x:c>
      <x:c r="C339" s="63" t="str">
        <x:v>Roads Transit And Airports</x:v>
      </x:c>
      <x:c r="D339" s="63" t="str">
        <x:v>inferred</x:v>
      </x:c>
      <x:c r="E339" s="63" t="str">
        <x:v>Roadwork</x:v>
      </x:c>
      <x:c r="F339" s="63" t="str">
        <x:v>Infrastructure</x:v>
      </x:c>
      <x:c r="G339" s="63" t="str">
        <x:v>Alberta Transportation and Economic Corridors</x:v>
      </x:c>
      <x:c r="H339" s="63" t="str">
        <x:v>Government Or Public Institution Signal</x:v>
      </x:c>
      <x:c r="I339" s="63" t="str">
        <x:v>inferred</x:v>
      </x:c>
      <x:c r="J339" s="63" t="str">
        <x:v>Beaver County|Lamont County</x:v>
      </x:c>
      <x:c r="K339" s="63" t="str">
        <x:v>Under Construction</x:v>
      </x:c>
      <x:c r="L339" s="143"/>
      <x:c r="M339" s="179" t="n">
        <x:v>2025</x:v>
      </x:c>
      <x:c r="N339" s="179" t="n">
        <x:v>2026</x:v>
      </x:c>
      <x:c r="O339" s="63" t="str">
        <x:v>outside_window</x:v>
      </x:c>
      <x:c r="P339" s="63" t="str"/>
      <x:c r="Q339" s="143"/>
      <x:c r="R339" s="143"/>
      <x:c r="S339" s="154"/>
      <x:c r="T339" s="154"/>
      <x:c r="U339" s="63" t="str">
        <x:v>reported</x:v>
      </x:c>
      <x:c r="V339" s="63" t="str">
        <x:v>ALBERTA_MAJOR_PROJECTS</x:v>
      </x:c>
      <x:c r="W339" s="63" t="str">
        <x:v>observed</x:v>
      </x:c>
      <x:c r="X339" s="155" t="n">
        <x:v>46265</x:v>
      </x:c>
      <x:c r="Y339" s="63" t="str">
        <x:v>https://www.majorprojects.alberta.ca/</x:v>
      </x:c>
    </x:row>
    <x:row r="340">
      <x:c r="A340" s="63" t="str">
        <x:v>ABMP_11978</x:v>
      </x:c>
      <x:c r="B340" s="63" t="str">
        <x:v>Highway 855 &amp; 857 Resurfacing (Vegreville &amp; Mundare)</x:v>
      </x:c>
      <x:c r="C340" s="63" t="str">
        <x:v>Roads Transit And Airports</x:v>
      </x:c>
      <x:c r="D340" s="63" t="str">
        <x:v>inferred</x:v>
      </x:c>
      <x:c r="E340" s="63" t="str">
        <x:v>Roadwork</x:v>
      </x:c>
      <x:c r="F340" s="63" t="str">
        <x:v>Infrastructure</x:v>
      </x:c>
      <x:c r="G340" s="63" t="str">
        <x:v>Alberta Transportation and Economic Corridors</x:v>
      </x:c>
      <x:c r="H340" s="63" t="str">
        <x:v>Government Or Public Institution Signal</x:v>
      </x:c>
      <x:c r="I340" s="63" t="str">
        <x:v>inferred</x:v>
      </x:c>
      <x:c r="J340" s="63" t="str">
        <x:v>Lamont County|Minburn County No. 27|Mundare|Two Hills County No. 21|Vegreville</x:v>
      </x:c>
      <x:c r="K340" s="63" t="str">
        <x:v>Under Construction</x:v>
      </x:c>
      <x:c r="L340" s="143"/>
      <x:c r="M340" s="179" t="n">
        <x:v>2026</x:v>
      </x:c>
      <x:c r="N340" s="179" t="n">
        <x:v>2027</x:v>
      </x:c>
      <x:c r="O340" s="63" t="str">
        <x:v>overlaps</x:v>
      </x:c>
      <x:c r="P340" s="63" t="str">
        <x:v>2027</x:v>
      </x:c>
      <x:c r="Q340" s="143"/>
      <x:c r="R340" s="143"/>
      <x:c r="S340" s="154"/>
      <x:c r="T340" s="154"/>
      <x:c r="U340" s="63" t="str">
        <x:v>reported</x:v>
      </x:c>
      <x:c r="V340" s="63" t="str">
        <x:v>ALBERTA_MAJOR_PROJECTS</x:v>
      </x:c>
      <x:c r="W340" s="63" t="str">
        <x:v>observed</x:v>
      </x:c>
      <x:c r="X340" s="155" t="n">
        <x:v>46265</x:v>
      </x:c>
      <x:c r="Y340" s="63" t="str">
        <x:v>https://www.majorprojects.alberta.ca/</x:v>
      </x:c>
    </x:row>
    <x:row r="341">
      <x:c r="A341" s="63" t="str">
        <x:v>ABMP_4062</x:v>
      </x:c>
      <x:c r="B341" s="63" t="str">
        <x:v>Highway 881 Select Improvements</x:v>
      </x:c>
      <x:c r="C341" s="63" t="str">
        <x:v>Roads Transit And Airports</x:v>
      </x:c>
      <x:c r="D341" s="63" t="str">
        <x:v>inferred</x:v>
      </x:c>
      <x:c r="E341" s="63" t="str">
        <x:v>Roadwork</x:v>
      </x:c>
      <x:c r="F341" s="63" t="str">
        <x:v>Infrastructure</x:v>
      </x:c>
      <x:c r="G341" s="63" t="str">
        <x:v>Alberta Transportation and Economic Corridors</x:v>
      </x:c>
      <x:c r="H341" s="63" t="str">
        <x:v>Government Or Public Institution Signal</x:v>
      </x:c>
      <x:c r="I341" s="63" t="str">
        <x:v>inferred</x:v>
      </x:c>
      <x:c r="J341" s="63" t="str">
        <x:v>Lac la Biche County|Wood Buffalo</x:v>
      </x:c>
      <x:c r="K341" s="63" t="str">
        <x:v>Under Construction</x:v>
      </x:c>
      <x:c r="L341" s="143"/>
      <x:c r="M341" s="179" t="n">
        <x:v>2026</x:v>
      </x:c>
      <x:c r="N341" s="179" t="n">
        <x:v>2028</x:v>
      </x:c>
      <x:c r="O341" s="63" t="str">
        <x:v>overlaps</x:v>
      </x:c>
      <x:c r="P341" s="63" t="str">
        <x:v>2027|2028</x:v>
      </x:c>
      <x:c r="Q341" s="143"/>
      <x:c r="R341" s="143"/>
      <x:c r="S341" s="154"/>
      <x:c r="T341" s="154"/>
      <x:c r="U341" s="63" t="str">
        <x:v>reported</x:v>
      </x:c>
      <x:c r="V341" s="63" t="str">
        <x:v>ALBERTA_MAJOR_PROJECTS</x:v>
      </x:c>
      <x:c r="W341" s="63" t="str">
        <x:v>observed</x:v>
      </x:c>
      <x:c r="X341" s="155" t="n">
        <x:v>46265</x:v>
      </x:c>
      <x:c r="Y341" s="63" t="str">
        <x:v>https://www.majorprojects.alberta.ca/</x:v>
      </x:c>
    </x:row>
    <x:row r="342">
      <x:c r="A342" s="63" t="str">
        <x:v>ABMP_11332</x:v>
      </x:c>
      <x:c r="B342" s="63" t="str">
        <x:v>Highway 956 (Saskatchewan to Fort McMurray)</x:v>
      </x:c>
      <x:c r="C342" s="63" t="str">
        <x:v>Roads Transit And Airports</x:v>
      </x:c>
      <x:c r="D342" s="63" t="str">
        <x:v>inferred</x:v>
      </x:c>
      <x:c r="E342" s="63" t="str">
        <x:v>Roadwork</x:v>
      </x:c>
      <x:c r="F342" s="63" t="str">
        <x:v>Infrastructure</x:v>
      </x:c>
      <x:c r="G342" s="63" t="str">
        <x:v>Alberta Transportation and Economic Corridors</x:v>
      </x:c>
      <x:c r="H342" s="63" t="str">
        <x:v>Government Or Public Institution Signal</x:v>
      </x:c>
      <x:c r="I342" s="63" t="str">
        <x:v>inferred</x:v>
      </x:c>
      <x:c r="J342" s="63" t="str">
        <x:v>Wood Buffalo</x:v>
      </x:c>
      <x:c r="K342" s="63" t="str">
        <x:v>Proposed</x:v>
      </x:c>
      <x:c r="L342" s="143"/>
      <x:c r="M342" s="179"/>
      <x:c r="N342" s="179"/>
      <x:c r="O342" s="63" t="str">
        <x:v>indeterminate_incomplete_schedule</x:v>
      </x:c>
      <x:c r="P342" s="63" t="str"/>
      <x:c r="Q342" s="143"/>
      <x:c r="R342" s="143"/>
      <x:c r="S342" s="154"/>
      <x:c r="T342" s="154"/>
      <x:c r="U342" s="63" t="str">
        <x:v>reported</x:v>
      </x:c>
      <x:c r="V342" s="63" t="str">
        <x:v>ALBERTA_MAJOR_PROJECTS</x:v>
      </x:c>
      <x:c r="W342" s="63" t="str">
        <x:v>observed</x:v>
      </x:c>
      <x:c r="X342" s="155" t="n">
        <x:v>46265</x:v>
      </x:c>
      <x:c r="Y342" s="63" t="str">
        <x:v>https://www.majorprojects.alberta.ca/</x:v>
      </x:c>
    </x:row>
    <x:row r="343">
      <x:c r="A343" s="63" t="str">
        <x:v>ABMP_11654</x:v>
      </x:c>
      <x:c r="B343" s="63" t="str">
        <x:v>Highway Rehabilitation (Highway 520, 811 and 2)</x:v>
      </x:c>
      <x:c r="C343" s="63" t="str">
        <x:v>Roads Transit And Airports</x:v>
      </x:c>
      <x:c r="D343" s="63" t="str">
        <x:v>inferred</x:v>
      </x:c>
      <x:c r="E343" s="63" t="str">
        <x:v>Roadwork</x:v>
      </x:c>
      <x:c r="F343" s="63" t="str">
        <x:v>Infrastructure</x:v>
      </x:c>
      <x:c r="G343" s="63" t="str">
        <x:v>Alberta Transportation and Economic Corridors</x:v>
      </x:c>
      <x:c r="H343" s="63" t="str">
        <x:v>Government Or Public Institution Signal</x:v>
      </x:c>
      <x:c r="I343" s="63" t="str">
        <x:v>inferred</x:v>
      </x:c>
      <x:c r="J343" s="63" t="str">
        <x:v>Blackfalds|Claresholm|Fort Macleod|Willow Creek No. 26</x:v>
      </x:c>
      <x:c r="K343" s="63" t="str">
        <x:v>Proposed</x:v>
      </x:c>
      <x:c r="L343" s="143"/>
      <x:c r="M343" s="179" t="n">
        <x:v>2027</x:v>
      </x:c>
      <x:c r="N343" s="179" t="n">
        <x:v>2028</x:v>
      </x:c>
      <x:c r="O343" s="63" t="str">
        <x:v>overlaps</x:v>
      </x:c>
      <x:c r="P343" s="63" t="str">
        <x:v>2027|2028</x:v>
      </x:c>
      <x:c r="Q343" s="143"/>
      <x:c r="R343" s="143"/>
      <x:c r="S343" s="154" t="n">
        <x:v>-113.578628454</x:v>
      </x:c>
      <x:c r="T343" s="154" t="n">
        <x:v>50.0192323059</x:v>
      </x:c>
      <x:c r="U343" s="63" t="str">
        <x:v>reported</x:v>
      </x:c>
      <x:c r="V343" s="63" t="str">
        <x:v>ALBERTA_MAJOR_PROJECTS</x:v>
      </x:c>
      <x:c r="W343" s="63" t="str">
        <x:v>observed</x:v>
      </x:c>
      <x:c r="X343" s="155" t="n">
        <x:v>46265</x:v>
      </x:c>
      <x:c r="Y343" s="63" t="str">
        <x:v>https://www.majorprojects.alberta.ca/</x:v>
      </x:c>
    </x:row>
    <x:row r="344">
      <x:c r="A344" s="63" t="str">
        <x:v>ABMP_11678</x:v>
      </x:c>
      <x:c r="B344" s="63" t="str">
        <x:v>Highway Rehabilitation (Hwy 16 and Hwy 47)</x:v>
      </x:c>
      <x:c r="C344" s="63" t="str">
        <x:v>Roads Transit And Airports</x:v>
      </x:c>
      <x:c r="D344" s="63" t="str">
        <x:v>inferred</x:v>
      </x:c>
      <x:c r="E344" s="63" t="str">
        <x:v>Roadwork</x:v>
      </x:c>
      <x:c r="F344" s="63" t="str">
        <x:v>Infrastructure</x:v>
      </x:c>
      <x:c r="G344" s="63" t="str">
        <x:v>Alberta Transportation and Economic Corridors</x:v>
      </x:c>
      <x:c r="H344" s="63" t="str">
        <x:v>Government Or Public Institution Signal</x:v>
      </x:c>
      <x:c r="I344" s="63" t="str">
        <x:v>inferred</x:v>
      </x:c>
      <x:c r="J344" s="63" t="str">
        <x:v>Edson|Yellowhead County</x:v>
      </x:c>
      <x:c r="K344" s="63" t="str">
        <x:v>Under Construction</x:v>
      </x:c>
      <x:c r="L344" s="143"/>
      <x:c r="M344" s="179" t="n">
        <x:v>2026</x:v>
      </x:c>
      <x:c r="N344" s="179" t="n">
        <x:v>2027</x:v>
      </x:c>
      <x:c r="O344" s="63" t="str">
        <x:v>overlaps</x:v>
      </x:c>
      <x:c r="P344" s="63" t="str">
        <x:v>2027</x:v>
      </x:c>
      <x:c r="Q344" s="143"/>
      <x:c r="R344" s="143"/>
      <x:c r="S344" s="154"/>
      <x:c r="T344" s="154"/>
      <x:c r="U344" s="63" t="str">
        <x:v>reported</x:v>
      </x:c>
      <x:c r="V344" s="63" t="str">
        <x:v>ALBERTA_MAJOR_PROJECTS</x:v>
      </x:c>
      <x:c r="W344" s="63" t="str">
        <x:v>observed</x:v>
      </x:c>
      <x:c r="X344" s="155" t="n">
        <x:v>46265</x:v>
      </x:c>
      <x:c r="Y344" s="63" t="str">
        <x:v>https://www.majorprojects.alberta.ca/</x:v>
      </x:c>
    </x:row>
    <x:row r="345">
      <x:c r="A345" s="63" t="str">
        <x:v>ABMP_11675</x:v>
      </x:c>
      <x:c r="B345" s="63" t="str">
        <x:v>Highway Rehabilitation (Hwy 2)</x:v>
      </x:c>
      <x:c r="C345" s="63" t="str">
        <x:v>Roads Transit And Airports</x:v>
      </x:c>
      <x:c r="D345" s="63" t="str">
        <x:v>inferred</x:v>
      </x:c>
      <x:c r="E345" s="63" t="str">
        <x:v>Roadwork</x:v>
      </x:c>
      <x:c r="F345" s="63" t="str">
        <x:v>Infrastructure</x:v>
      </x:c>
      <x:c r="G345" s="63" t="str">
        <x:v>Alberta Transportation and Economic Corridors</x:v>
      </x:c>
      <x:c r="H345" s="63" t="str">
        <x:v>Government Or Public Institution Signal</x:v>
      </x:c>
      <x:c r="I345" s="63" t="str">
        <x:v>inferred</x:v>
      </x:c>
      <x:c r="J345" s="63" t="str">
        <x:v>Edmonton|Leduc|Leduc County</x:v>
      </x:c>
      <x:c r="K345" s="63" t="str">
        <x:v>Proposed</x:v>
      </x:c>
      <x:c r="L345" s="143"/>
      <x:c r="M345" s="179" t="n">
        <x:v>2027</x:v>
      </x:c>
      <x:c r="N345" s="179" t="n">
        <x:v>2027</x:v>
      </x:c>
      <x:c r="O345" s="63" t="str">
        <x:v>overlaps</x:v>
      </x:c>
      <x:c r="P345" s="63" t="str">
        <x:v>2027</x:v>
      </x:c>
      <x:c r="Q345" s="143"/>
      <x:c r="R345" s="143"/>
      <x:c r="S345" s="154"/>
      <x:c r="T345" s="154"/>
      <x:c r="U345" s="63" t="str">
        <x:v>reported</x:v>
      </x:c>
      <x:c r="V345" s="63" t="str">
        <x:v>ALBERTA_MAJOR_PROJECTS</x:v>
      </x:c>
      <x:c r="W345" s="63" t="str">
        <x:v>observed</x:v>
      </x:c>
      <x:c r="X345" s="155" t="n">
        <x:v>46265</x:v>
      </x:c>
      <x:c r="Y345" s="63" t="str">
        <x:v>https://www.majorprojects.alberta.ca/</x:v>
      </x:c>
    </x:row>
    <x:row r="346">
      <x:c r="A346" s="63" t="str">
        <x:v>ABMP_11676</x:v>
      </x:c>
      <x:c r="B346" s="63" t="str">
        <x:v>Highway Rehabilitation (Hwy 679 and Hwy 2)</x:v>
      </x:c>
      <x:c r="C346" s="63" t="str">
        <x:v>Roads Transit And Airports</x:v>
      </x:c>
      <x:c r="D346" s="63" t="str">
        <x:v>inferred</x:v>
      </x:c>
      <x:c r="E346" s="63" t="str">
        <x:v>Roadwork</x:v>
      </x:c>
      <x:c r="F346" s="63" t="str">
        <x:v>Infrastructure</x:v>
      </x:c>
      <x:c r="G346" s="63" t="str">
        <x:v>Alberta Transportation and Economic Corridors</x:v>
      </x:c>
      <x:c r="H346" s="63" t="str">
        <x:v>Government Or Public Institution Signal</x:v>
      </x:c>
      <x:c r="I346" s="63" t="str">
        <x:v>inferred</x:v>
      </x:c>
      <x:c r="J346" s="63" t="str">
        <x:v>Big Lakes County|High Prairie</x:v>
      </x:c>
      <x:c r="K346" s="63" t="str">
        <x:v>Proposed</x:v>
      </x:c>
      <x:c r="L346" s="143"/>
      <x:c r="M346" s="179" t="n">
        <x:v>2027</x:v>
      </x:c>
      <x:c r="N346" s="179" t="n">
        <x:v>2027</x:v>
      </x:c>
      <x:c r="O346" s="63" t="str">
        <x:v>overlaps</x:v>
      </x:c>
      <x:c r="P346" s="63" t="str">
        <x:v>2027</x:v>
      </x:c>
      <x:c r="Q346" s="143"/>
      <x:c r="R346" s="143"/>
      <x:c r="S346" s="154"/>
      <x:c r="T346" s="154"/>
      <x:c r="U346" s="63" t="str">
        <x:v>reported</x:v>
      </x:c>
      <x:c r="V346" s="63" t="str">
        <x:v>ALBERTA_MAJOR_PROJECTS</x:v>
      </x:c>
      <x:c r="W346" s="63" t="str">
        <x:v>observed</x:v>
      </x:c>
      <x:c r="X346" s="155" t="n">
        <x:v>46265</x:v>
      </x:c>
      <x:c r="Y346" s="63" t="str">
        <x:v>https://www.majorprojects.alberta.ca/</x:v>
      </x:c>
    </x:row>
    <x:row r="347">
      <x:c r="A347" s="63" t="str">
        <x:v>ABMP_11660</x:v>
      </x:c>
      <x:c r="B347" s="63" t="str">
        <x:v>Highway Repaving (Hwy 16 &amp; 759)</x:v>
      </x:c>
      <x:c r="C347" s="63" t="str">
        <x:v>Roads Transit And Airports</x:v>
      </x:c>
      <x:c r="D347" s="63" t="str">
        <x:v>inferred</x:v>
      </x:c>
      <x:c r="E347" s="63" t="str">
        <x:v>Roadwork</x:v>
      </x:c>
      <x:c r="F347" s="63" t="str">
        <x:v>Infrastructure</x:v>
      </x:c>
      <x:c r="G347" s="63" t="str">
        <x:v>Alberta Transportation and Economic Corridors</x:v>
      </x:c>
      <x:c r="H347" s="63" t="str">
        <x:v>Government Or Public Institution Signal</x:v>
      </x:c>
      <x:c r="I347" s="63" t="str">
        <x:v>inferred</x:v>
      </x:c>
      <x:c r="J347" s="63" t="str">
        <x:v>Parkland County|Wabamun</x:v>
      </x:c>
      <x:c r="K347" s="63" t="str">
        <x:v>Proposed</x:v>
      </x:c>
      <x:c r="L347" s="143"/>
      <x:c r="M347" s="179" t="n">
        <x:v>2027</x:v>
      </x:c>
      <x:c r="N347" s="179" t="n">
        <x:v>2027</x:v>
      </x:c>
      <x:c r="O347" s="63" t="str">
        <x:v>overlaps</x:v>
      </x:c>
      <x:c r="P347" s="63" t="str">
        <x:v>2027</x:v>
      </x:c>
      <x:c r="Q347" s="143"/>
      <x:c r="R347" s="143"/>
      <x:c r="S347" s="154"/>
      <x:c r="T347" s="154"/>
      <x:c r="U347" s="63" t="str">
        <x:v>reported</x:v>
      </x:c>
      <x:c r="V347" s="63" t="str">
        <x:v>ALBERTA_MAJOR_PROJECTS</x:v>
      </x:c>
      <x:c r="W347" s="63" t="str">
        <x:v>observed</x:v>
      </x:c>
      <x:c r="X347" s="155" t="n">
        <x:v>46265</x:v>
      </x:c>
      <x:c r="Y347" s="63" t="str">
        <x:v>https://www.majorprojects.alberta.ca/</x:v>
      </x:c>
    </x:row>
    <x:row r="348">
      <x:c r="A348" s="63" t="str">
        <x:v>ABMP_4368</x:v>
      </x:c>
      <x:c r="B348" s="63" t="str">
        <x:v>La Crete Bridge (Highway 697)</x:v>
      </x:c>
      <x:c r="C348" s="63" t="str">
        <x:v>Roads Transit And Airports</x:v>
      </x:c>
      <x:c r="D348" s="63" t="str">
        <x:v>inferred</x:v>
      </x:c>
      <x:c r="E348" s="63" t="str">
        <x:v>Roadwork</x:v>
      </x:c>
      <x:c r="F348" s="63" t="str">
        <x:v>Infrastructure</x:v>
      </x:c>
      <x:c r="G348" s="63" t="str">
        <x:v>Alberta Transportation and Economic Corridors</x:v>
      </x:c>
      <x:c r="H348" s="63" t="str">
        <x:v>Government Or Public Institution Signal</x:v>
      </x:c>
      <x:c r="I348" s="63" t="str">
        <x:v>inferred</x:v>
      </x:c>
      <x:c r="J348" s="63" t="str">
        <x:v>Northern Lights County</x:v>
      </x:c>
      <x:c r="K348" s="63" t="str">
        <x:v>Proposed</x:v>
      </x:c>
      <x:c r="L348" s="143" t="n">
        <x:v>200000000</x:v>
      </x:c>
      <x:c r="M348" s="179" t="n">
        <x:v>2026</x:v>
      </x:c>
      <x:c r="N348" s="179" t="n">
        <x:v>2030</x:v>
      </x:c>
      <x:c r="O348" s="63" t="str">
        <x:v>overlaps</x:v>
      </x:c>
      <x:c r="P348" s="63" t="str">
        <x:v>2027|2028|2029|2030</x:v>
      </x:c>
      <x:c r="Q348" s="143" t="n">
        <x:v>40000000</x:v>
      </x:c>
      <x:c r="R348" s="143" t="n">
        <x:v>160000000</x:v>
      </x:c>
      <x:c r="S348" s="154" t="n">
        <x:v>-117.14613241528328</x:v>
      </x:c>
      <x:c r="T348" s="154" t="n">
        <x:v>57.973183026329814</x:v>
      </x:c>
      <x:c r="U348" s="63" t="str">
        <x:v>reported</x:v>
      </x:c>
      <x:c r="V348" s="63" t="str">
        <x:v>ALBERTA_MAJOR_PROJECTS</x:v>
      </x:c>
      <x:c r="W348" s="63" t="str">
        <x:v>observed</x:v>
      </x:c>
      <x:c r="X348" s="155" t="n">
        <x:v>46265</x:v>
      </x:c>
      <x:c r="Y348" s="63" t="str">
        <x:v>https://www.majorprojects.alberta.ca/</x:v>
      </x:c>
    </x:row>
    <x:row r="349">
      <x:c r="A349" s="63" t="str">
        <x:v>ABMP_11982</x:v>
      </x:c>
      <x:c r="B349" s="63" t="str">
        <x:v>Lethbridge Northern Headworks Irrigation Rehabilitation</x:v>
      </x:c>
      <x:c r="C349" s="63" t="str">
        <x:v>Roads Transit And Airports</x:v>
      </x:c>
      <x:c r="D349" s="63" t="str">
        <x:v>inferred</x:v>
      </x:c>
      <x:c r="E349" s="63" t="str">
        <x:v>Roadwork</x:v>
      </x:c>
      <x:c r="F349" s="63" t="str">
        <x:v>Infrastructure</x:v>
      </x:c>
      <x:c r="G349" s="63" t="str">
        <x:v>Alberta Transportation and Economic Corridors</x:v>
      </x:c>
      <x:c r="H349" s="63" t="str">
        <x:v>Government Or Public Institution Signal</x:v>
      </x:c>
      <x:c r="I349" s="63" t="str">
        <x:v>inferred</x:v>
      </x:c>
      <x:c r="J349" s="63" t="str">
        <x:v>Piikani 147</x:v>
      </x:c>
      <x:c r="K349" s="63" t="str">
        <x:v>Proposed</x:v>
      </x:c>
      <x:c r="L349" s="143"/>
      <x:c r="M349" s="179" t="n">
        <x:v>2027</x:v>
      </x:c>
      <x:c r="N349" s="179" t="n">
        <x:v>2028</x:v>
      </x:c>
      <x:c r="O349" s="63" t="str">
        <x:v>overlaps</x:v>
      </x:c>
      <x:c r="P349" s="63" t="str">
        <x:v>2027|2028</x:v>
      </x:c>
      <x:c r="Q349" s="143"/>
      <x:c r="R349" s="143"/>
      <x:c r="S349" s="154" t="n">
        <x:v>-113.6016507804</x:v>
      </x:c>
      <x:c r="T349" s="154" t="n">
        <x:v>49.6648431816</x:v>
      </x:c>
      <x:c r="U349" s="63" t="str">
        <x:v>reported</x:v>
      </x:c>
      <x:c r="V349" s="63" t="str">
        <x:v>ALBERTA_MAJOR_PROJECTS</x:v>
      </x:c>
      <x:c r="W349" s="63" t="str">
        <x:v>observed</x:v>
      </x:c>
      <x:c r="X349" s="155" t="n">
        <x:v>46265</x:v>
      </x:c>
      <x:c r="Y349" s="63" t="str">
        <x:v>https://www.majorprojects.alberta.ca/</x:v>
      </x:c>
    </x:row>
    <x:row r="350">
      <x:c r="A350" s="63" t="str">
        <x:v>ABMP_11552</x:v>
      </x:c>
      <x:c r="B350" s="63" t="str">
        <x:v>Lufthansa Technik Engine Maintenance Facility Calgary</x:v>
      </x:c>
      <x:c r="C350" s="63" t="str">
        <x:v>Roads Transit And Airports</x:v>
      </x:c>
      <x:c r="D350" s="63" t="str">
        <x:v>inferred</x:v>
      </x:c>
      <x:c r="E350" s="63" t="str">
        <x:v>Airport</x:v>
      </x:c>
      <x:c r="F350" s="63" t="str">
        <x:v>Infrastructure</x:v>
      </x:c>
      <x:c r="G350" s="63" t="str">
        <x:v>Calgary Airport Authority</x:v>
      </x:c>
      <x:c r="H350" s="63" t="str">
        <x:v>Unresolved</x:v>
      </x:c>
      <x:c r="I350" s="63" t="str">
        <x:v>inferred</x:v>
      </x:c>
      <x:c r="J350" s="63" t="str">
        <x:v>Calgary</x:v>
      </x:c>
      <x:c r="K350" s="63" t="str">
        <x:v>Under Construction</x:v>
      </x:c>
      <x:c r="L350" s="143" t="n">
        <x:v>120000000</x:v>
      </x:c>
      <x:c r="M350" s="179" t="n">
        <x:v>2025</x:v>
      </x:c>
      <x:c r="N350" s="179" t="n">
        <x:v>2027</x:v>
      </x:c>
      <x:c r="O350" s="63" t="str">
        <x:v>overlaps</x:v>
      </x:c>
      <x:c r="P350" s="63" t="str">
        <x:v>2027</x:v>
      </x:c>
      <x:c r="Q350" s="143" t="n">
        <x:v>40000000</x:v>
      </x:c>
      <x:c r="R350" s="143" t="n">
        <x:v>40000000</x:v>
      </x:c>
      <x:c r="S350" s="154" t="n">
        <x:v>-114.007187</x:v>
      </x:c>
      <x:c r="T350" s="154" t="n">
        <x:v>51.114479</x:v>
      </x:c>
      <x:c r="U350" s="63" t="str">
        <x:v>reported</x:v>
      </x:c>
      <x:c r="V350" s="63" t="str">
        <x:v>ALBERTA_MAJOR_PROJECTS</x:v>
      </x:c>
      <x:c r="W350" s="63" t="str">
        <x:v>observed</x:v>
      </x:c>
      <x:c r="X350" s="155" t="n">
        <x:v>46265</x:v>
      </x:c>
      <x:c r="Y350" s="63" t="str">
        <x:v>https://www.majorprojects.alberta.ca/</x:v>
      </x:c>
    </x:row>
    <x:row r="351">
      <x:c r="A351" s="63" t="str">
        <x:v>ABMP_11823</x:v>
      </x:c>
      <x:c r="B351" s="63" t="str">
        <x:v>Memorial Drive Overpass over Stoney Trail</x:v>
      </x:c>
      <x:c r="C351" s="63" t="str">
        <x:v>Roads Transit And Airports</x:v>
      </x:c>
      <x:c r="D351" s="63" t="str">
        <x:v>inferred</x:v>
      </x:c>
      <x:c r="E351" s="63" t="str">
        <x:v>Roadwork</x:v>
      </x:c>
      <x:c r="F351" s="63" t="str">
        <x:v>Infrastructure</x:v>
      </x:c>
      <x:c r="G351" s="63" t="str">
        <x:v>City of Calgary</x:v>
      </x:c>
      <x:c r="H351" s="63" t="str">
        <x:v>Government Or Public Institution Signal</x:v>
      </x:c>
      <x:c r="I351" s="63" t="str">
        <x:v>inferred</x:v>
      </x:c>
      <x:c r="J351" s="63" t="str">
        <x:v>Calgary</x:v>
      </x:c>
      <x:c r="K351" s="63" t="str">
        <x:v>Under Construction</x:v>
      </x:c>
      <x:c r="L351" s="143" t="n">
        <x:v>70000000</x:v>
      </x:c>
      <x:c r="M351" s="179" t="n">
        <x:v>2026</x:v>
      </x:c>
      <x:c r="N351" s="179" t="n">
        <x:v>2028</x:v>
      </x:c>
      <x:c r="O351" s="63" t="str">
        <x:v>overlaps</x:v>
      </x:c>
      <x:c r="P351" s="63" t="str">
        <x:v>2027|2028</x:v>
      </x:c>
      <x:c r="Q351" s="143" t="n">
        <x:v>23333333.333333332</x:v>
      </x:c>
      <x:c r="R351" s="143" t="n">
        <x:v>46666666.666666664</x:v>
      </x:c>
      <x:c r="S351" s="154" t="n">
        <x:v>-113.920584</x:v>
      </x:c>
      <x:c r="T351" s="154" t="n">
        <x:v>51.053125</x:v>
      </x:c>
      <x:c r="U351" s="63" t="str">
        <x:v>reported</x:v>
      </x:c>
      <x:c r="V351" s="63" t="str">
        <x:v>ALBERTA_MAJOR_PROJECTS</x:v>
      </x:c>
      <x:c r="W351" s="63" t="str">
        <x:v>observed</x:v>
      </x:c>
      <x:c r="X351" s="155" t="n">
        <x:v>46265</x:v>
      </x:c>
      <x:c r="Y351" s="63" t="str">
        <x:v>https://www.majorprojects.alberta.ca/</x:v>
      </x:c>
    </x:row>
    <x:row r="352">
      <x:c r="A352" s="63" t="str">
        <x:v>ABMP_11231</x:v>
      </x:c>
      <x:c r="B352" s="63" t="str">
        <x:v>Meyokumin Neighbourhood and Alley Reconstruction</x:v>
      </x:c>
      <x:c r="C352" s="63" t="str">
        <x:v>Roads Transit And Airports</x:v>
      </x:c>
      <x:c r="D352" s="63" t="str">
        <x:v>inferred</x:v>
      </x:c>
      <x:c r="E352" s="63" t="str">
        <x:v>Roadwork</x:v>
      </x:c>
      <x:c r="F352" s="63" t="str">
        <x:v>Infrastructure</x:v>
      </x:c>
      <x:c r="G352" s="63" t="str">
        <x:v>City of Edmonton</x:v>
      </x:c>
      <x:c r="H352" s="63" t="str">
        <x:v>Government Or Public Institution Signal</x:v>
      </x:c>
      <x:c r="I352" s="63" t="str">
        <x:v>inferred</x:v>
      </x:c>
      <x:c r="J352" s="63" t="str">
        <x:v>Edmonton</x:v>
      </x:c>
      <x:c r="K352" s="63" t="str">
        <x:v>Under Construction</x:v>
      </x:c>
      <x:c r="L352" s="143" t="n">
        <x:v>40500000</x:v>
      </x:c>
      <x:c r="M352" s="179" t="n">
        <x:v>2024</x:v>
      </x:c>
      <x:c r="N352" s="179" t="n">
        <x:v>2026</x:v>
      </x:c>
      <x:c r="O352" s="63" t="str">
        <x:v>outside_window</x:v>
      </x:c>
      <x:c r="P352" s="63" t="str"/>
      <x:c r="Q352" s="143" t="n">
        <x:v>13500000</x:v>
      </x:c>
      <x:c r="R352" s="143" t="n">
        <x:v>0</x:v>
      </x:c>
      <x:c r="S352" s="154" t="n">
        <x:v>-113.424504</x:v>
      </x:c>
      <x:c r="T352" s="154" t="n">
        <x:v>53.45122</x:v>
      </x:c>
      <x:c r="U352" s="63" t="str">
        <x:v>reported</x:v>
      </x:c>
      <x:c r="V352" s="63" t="str">
        <x:v>ALBERTA_MAJOR_PROJECTS</x:v>
      </x:c>
      <x:c r="W352" s="63" t="str">
        <x:v>observed</x:v>
      </x:c>
      <x:c r="X352" s="155" t="n">
        <x:v>46265</x:v>
      </x:c>
      <x:c r="Y352" s="63" t="str">
        <x:v>https://www.majorprojects.alberta.ca/</x:v>
      </x:c>
    </x:row>
    <x:row r="353">
      <x:c r="A353" s="63" t="str">
        <x:v>ABMP_11975</x:v>
      </x:c>
      <x:c r="B353" s="63" t="str">
        <x:v>Michichi Creek Bridge Replacement</x:v>
      </x:c>
      <x:c r="C353" s="63" t="str">
        <x:v>Roads Transit And Airports</x:v>
      </x:c>
      <x:c r="D353" s="63" t="str">
        <x:v>inferred</x:v>
      </x:c>
      <x:c r="E353" s="63" t="str">
        <x:v>Roadwork</x:v>
      </x:c>
      <x:c r="F353" s="63" t="str">
        <x:v>Infrastructure</x:v>
      </x:c>
      <x:c r="G353" s="63" t="str">
        <x:v>Alberta Transportation and Economic Corridors</x:v>
      </x:c>
      <x:c r="H353" s="63" t="str">
        <x:v>Government Or Public Institution Signal</x:v>
      </x:c>
      <x:c r="I353" s="63" t="str">
        <x:v>inferred</x:v>
      </x:c>
      <x:c r="J353" s="63" t="str">
        <x:v>Drumheller</x:v>
      </x:c>
      <x:c r="K353" s="63" t="str">
        <x:v>Proposed</x:v>
      </x:c>
      <x:c r="L353" s="143"/>
      <x:c r="M353" s="179" t="n">
        <x:v>2028</x:v>
      </x:c>
      <x:c r="N353" s="179" t="n">
        <x:v>2029</x:v>
      </x:c>
      <x:c r="O353" s="63" t="str">
        <x:v>overlaps</x:v>
      </x:c>
      <x:c r="P353" s="63" t="str">
        <x:v>2028|2029</x:v>
      </x:c>
      <x:c r="Q353" s="143"/>
      <x:c r="R353" s="143"/>
      <x:c r="S353" s="154" t="n">
        <x:v>-112.7167773637</x:v>
      </x:c>
      <x:c r="T353" s="154" t="n">
        <x:v>51.4714452283</x:v>
      </x:c>
      <x:c r="U353" s="63" t="str">
        <x:v>reported</x:v>
      </x:c>
      <x:c r="V353" s="63" t="str">
        <x:v>ALBERTA_MAJOR_PROJECTS</x:v>
      </x:c>
      <x:c r="W353" s="63" t="str">
        <x:v>observed</x:v>
      </x:c>
      <x:c r="X353" s="155" t="n">
        <x:v>46265</x:v>
      </x:c>
      <x:c r="Y353" s="63" t="str">
        <x:v>https://www.majorprojects.alberta.ca/</x:v>
      </x:c>
    </x:row>
    <x:row r="354">
      <x:c r="A354" s="63" t="str">
        <x:v>ABMP_11905</x:v>
      </x:c>
      <x:c r="B354" s="63" t="str">
        <x:v>Mill Creek Trestle Bridge Replacement</x:v>
      </x:c>
      <x:c r="C354" s="63" t="str">
        <x:v>Roads Transit And Airports</x:v>
      </x:c>
      <x:c r="D354" s="63" t="str">
        <x:v>inferred</x:v>
      </x:c>
      <x:c r="E354" s="63" t="str">
        <x:v>Roadwork</x:v>
      </x:c>
      <x:c r="F354" s="63" t="str">
        <x:v>Infrastructure</x:v>
      </x:c>
      <x:c r="G354" s="63" t="str">
        <x:v>City of Edmonton</x:v>
      </x:c>
      <x:c r="H354" s="63" t="str">
        <x:v>Government Or Public Institution Signal</x:v>
      </x:c>
      <x:c r="I354" s="63" t="str">
        <x:v>inferred</x:v>
      </x:c>
      <x:c r="J354" s="63" t="str">
        <x:v>Edmonton</x:v>
      </x:c>
      <x:c r="K354" s="63" t="str">
        <x:v>Under Construction</x:v>
      </x:c>
      <x:c r="L354" s="143" t="n">
        <x:v>22800000</x:v>
      </x:c>
      <x:c r="M354" s="179" t="n">
        <x:v>2025</x:v>
      </x:c>
      <x:c r="N354" s="179" t="n">
        <x:v>2026</x:v>
      </x:c>
      <x:c r="O354" s="63" t="str">
        <x:v>outside_window</x:v>
      </x:c>
      <x:c r="P354" s="63" t="str"/>
      <x:c r="Q354" s="143" t="n">
        <x:v>11400000</x:v>
      </x:c>
      <x:c r="R354" s="143" t="n">
        <x:v>0</x:v>
      </x:c>
      <x:c r="S354" s="154" t="n">
        <x:v>-113.469635</x:v>
      </x:c>
      <x:c r="T354" s="154" t="n">
        <x:v>53.512396</x:v>
      </x:c>
      <x:c r="U354" s="63" t="str">
        <x:v>reported</x:v>
      </x:c>
      <x:c r="V354" s="63" t="str">
        <x:v>ALBERTA_MAJOR_PROJECTS</x:v>
      </x:c>
      <x:c r="W354" s="63" t="str">
        <x:v>observed</x:v>
      </x:c>
      <x:c r="X354" s="155" t="n">
        <x:v>46265</x:v>
      </x:c>
      <x:c r="Y354" s="63" t="str">
        <x:v>https://www.majorprojects.alberta.ca/</x:v>
      </x:c>
    </x:row>
    <x:row r="355">
      <x:c r="A355" s="63" t="str">
        <x:v>ABMP_11172</x:v>
      </x:c>
      <x:c r="B355" s="63" t="str">
        <x:v>Nikoodi Road Rehabilitation</x:v>
      </x:c>
      <x:c r="C355" s="63" t="str">
        <x:v>Roads Transit And Airports</x:v>
      </x:c>
      <x:c r="D355" s="63" t="str">
        <x:v>inferred</x:v>
      </x:c>
      <x:c r="E355" s="63" t="str">
        <x:v>Roadwork</x:v>
      </x:c>
      <x:c r="F355" s="63" t="str">
        <x:v>Infrastructure</x:v>
      </x:c>
      <x:c r="G355" s="63" t="str">
        <x:v>Alberta Transportation and Economic Corridors</x:v>
      </x:c>
      <x:c r="H355" s="63" t="str">
        <x:v>Government Or Public Institution Signal</x:v>
      </x:c>
      <x:c r="I355" s="63" t="str">
        <x:v>inferred</x:v>
      </x:c>
      <x:c r="J355" s="63" t="str">
        <x:v>Lac Ste. Anne County</x:v>
      </x:c>
      <x:c r="K355" s="63" t="str">
        <x:v>Under Construction</x:v>
      </x:c>
      <x:c r="L355" s="143"/>
      <x:c r="M355" s="179" t="n">
        <x:v>2026</x:v>
      </x:c>
      <x:c r="N355" s="179" t="n">
        <x:v>2027</x:v>
      </x:c>
      <x:c r="O355" s="63" t="str">
        <x:v>overlaps</x:v>
      </x:c>
      <x:c r="P355" s="63" t="str">
        <x:v>2027</x:v>
      </x:c>
      <x:c r="Q355" s="143"/>
      <x:c r="R355" s="143"/>
      <x:c r="S355" s="154" t="n">
        <x:v>-114.5096</x:v>
      </x:c>
      <x:c r="T355" s="154" t="n">
        <x:v>53.7842</x:v>
      </x:c>
      <x:c r="U355" s="63" t="str">
        <x:v>reported</x:v>
      </x:c>
      <x:c r="V355" s="63" t="str">
        <x:v>ALBERTA_MAJOR_PROJECTS</x:v>
      </x:c>
      <x:c r="W355" s="63" t="str">
        <x:v>observed</x:v>
      </x:c>
      <x:c r="X355" s="155" t="n">
        <x:v>46265</x:v>
      </x:c>
      <x:c r="Y355" s="63" t="str">
        <x:v>https://www.majorprojects.alberta.ca/</x:v>
      </x:c>
    </x:row>
    <x:row r="356">
      <x:c r="A356" s="63" t="str">
        <x:v>ABMP_10905</x:v>
      </x:c>
      <x:c r="B356" s="63" t="str">
        <x:v>Ottewell Neighbourhood Renewal</x:v>
      </x:c>
      <x:c r="C356" s="63" t="str">
        <x:v>Roads Transit And Airports</x:v>
      </x:c>
      <x:c r="D356" s="63" t="str">
        <x:v>inferred</x:v>
      </x:c>
      <x:c r="E356" s="63" t="str">
        <x:v>Roadwork</x:v>
      </x:c>
      <x:c r="F356" s="63" t="str">
        <x:v>Infrastructure</x:v>
      </x:c>
      <x:c r="G356" s="63" t="str">
        <x:v>City of Edmonton</x:v>
      </x:c>
      <x:c r="H356" s="63" t="str">
        <x:v>Government Or Public Institution Signal</x:v>
      </x:c>
      <x:c r="I356" s="63" t="str">
        <x:v>inferred</x:v>
      </x:c>
      <x:c r="J356" s="63" t="str">
        <x:v>Edmonton</x:v>
      </x:c>
      <x:c r="K356" s="63" t="str">
        <x:v>Under Construction</x:v>
      </x:c>
      <x:c r="L356" s="143" t="n">
        <x:v>94200000</x:v>
      </x:c>
      <x:c r="M356" s="179" t="n">
        <x:v>2023</x:v>
      </x:c>
      <x:c r="N356" s="179" t="n">
        <x:v>2027</x:v>
      </x:c>
      <x:c r="O356" s="63" t="str">
        <x:v>overlaps</x:v>
      </x:c>
      <x:c r="P356" s="63" t="str">
        <x:v>2027</x:v>
      </x:c>
      <x:c r="Q356" s="143" t="n">
        <x:v>18840000</x:v>
      </x:c>
      <x:c r="R356" s="143" t="n">
        <x:v>18840000</x:v>
      </x:c>
      <x:c r="S356" s="154" t="n">
        <x:v>-113.430176</x:v>
      </x:c>
      <x:c r="T356" s="154" t="n">
        <x:v>53.532834</x:v>
      </x:c>
      <x:c r="U356" s="63" t="str">
        <x:v>reported</x:v>
      </x:c>
      <x:c r="V356" s="63" t="str">
        <x:v>ALBERTA_MAJOR_PROJECTS</x:v>
      </x:c>
      <x:c r="W356" s="63" t="str">
        <x:v>observed</x:v>
      </x:c>
      <x:c r="X356" s="155" t="n">
        <x:v>46265</x:v>
      </x:c>
      <x:c r="Y356" s="63" t="str">
        <x:v>https://www.majorprojects.alberta.ca/</x:v>
      </x:c>
    </x:row>
    <x:row r="357">
      <x:c r="A357" s="63" t="str">
        <x:v>ABMP_12049</x:v>
      </x:c>
      <x:c r="B357" s="63" t="str">
        <x:v>Overlander Neighbourhood Renewal</x:v>
      </x:c>
      <x:c r="C357" s="63" t="str">
        <x:v>Roads Transit And Airports</x:v>
      </x:c>
      <x:c r="D357" s="63" t="str">
        <x:v>inferred</x:v>
      </x:c>
      <x:c r="E357" s="63" t="str">
        <x:v>Roadwork</x:v>
      </x:c>
      <x:c r="F357" s="63" t="str">
        <x:v>Infrastructure</x:v>
      </x:c>
      <x:c r="G357" s="63" t="str">
        <x:v>City of Edmonton</x:v>
      </x:c>
      <x:c r="H357" s="63" t="str">
        <x:v>Government Or Public Institution Signal</x:v>
      </x:c>
      <x:c r="I357" s="63" t="str">
        <x:v>inferred</x:v>
      </x:c>
      <x:c r="J357" s="63" t="str">
        <x:v>Edmonton</x:v>
      </x:c>
      <x:c r="K357" s="63" t="str">
        <x:v>Under Construction</x:v>
      </x:c>
      <x:c r="L357" s="143" t="n">
        <x:v>25100000</x:v>
      </x:c>
      <x:c r="M357" s="179" t="n">
        <x:v>2025</x:v>
      </x:c>
      <x:c r="N357" s="179" t="n">
        <x:v>2026</x:v>
      </x:c>
      <x:c r="O357" s="63" t="str">
        <x:v>outside_window</x:v>
      </x:c>
      <x:c r="P357" s="63" t="str"/>
      <x:c r="Q357" s="143" t="n">
        <x:v>12550000</x:v>
      </x:c>
      <x:c r="R357" s="143" t="n">
        <x:v>0</x:v>
      </x:c>
      <x:c r="S357" s="154" t="n">
        <x:v>-113.390956</x:v>
      </x:c>
      <x:c r="T357" s="154" t="n">
        <x:v>53.581583</x:v>
      </x:c>
      <x:c r="U357" s="63" t="str">
        <x:v>reported</x:v>
      </x:c>
      <x:c r="V357" s="63" t="str">
        <x:v>ALBERTA_MAJOR_PROJECTS</x:v>
      </x:c>
      <x:c r="W357" s="63" t="str">
        <x:v>observed</x:v>
      </x:c>
      <x:c r="X357" s="155" t="n">
        <x:v>46265</x:v>
      </x:c>
      <x:c r="Y357" s="63" t="str">
        <x:v>https://www.majorprojects.alberta.ca/</x:v>
      </x:c>
    </x:row>
    <x:row r="358">
      <x:c r="A358" s="63" t="str">
        <x:v>ABMP_11851</x:v>
      </x:c>
      <x:c r="B358" s="63" t="str">
        <x:v>Oyen Airport Runway Widening and Expansion</x:v>
      </x:c>
      <x:c r="C358" s="63" t="str">
        <x:v>Roads Transit And Airports</x:v>
      </x:c>
      <x:c r="D358" s="63" t="str">
        <x:v>inferred</x:v>
      </x:c>
      <x:c r="E358" s="63" t="str">
        <x:v>Airport</x:v>
      </x:c>
      <x:c r="F358" s="63" t="str">
        <x:v>Infrastructure</x:v>
      </x:c>
      <x:c r="G358" s="63" t="str">
        <x:v>Town of Oyen</x:v>
      </x:c>
      <x:c r="H358" s="63" t="str">
        <x:v>Government Or Public Institution Signal</x:v>
      </x:c>
      <x:c r="I358" s="63" t="str">
        <x:v>inferred</x:v>
      </x:c>
      <x:c r="J358" s="63" t="str">
        <x:v>Oyen</x:v>
      </x:c>
      <x:c r="K358" s="63" t="str">
        <x:v>Proposed</x:v>
      </x:c>
      <x:c r="L358" s="143" t="n">
        <x:v>6300000</x:v>
      </x:c>
      <x:c r="M358" s="179"/>
      <x:c r="N358" s="179"/>
      <x:c r="O358" s="63" t="str">
        <x:v>indeterminate_incomplete_schedule</x:v>
      </x:c>
      <x:c r="P358" s="63" t="str"/>
      <x:c r="Q358" s="143"/>
      <x:c r="R358" s="143"/>
      <x:c r="S358" s="154" t="n">
        <x:v>-110.490952</x:v>
      </x:c>
      <x:c r="T358" s="154" t="n">
        <x:v>51.334887</x:v>
      </x:c>
      <x:c r="U358" s="63" t="str">
        <x:v>reported</x:v>
      </x:c>
      <x:c r="V358" s="63" t="str">
        <x:v>ALBERTA_MAJOR_PROJECTS</x:v>
      </x:c>
      <x:c r="W358" s="63" t="str">
        <x:v>observed</x:v>
      </x:c>
      <x:c r="X358" s="155" t="n">
        <x:v>46265</x:v>
      </x:c>
      <x:c r="Y358" s="63" t="str">
        <x:v>https://www.majorprojects.alberta.ca/</x:v>
      </x:c>
    </x:row>
    <x:row r="359">
      <x:c r="A359" s="63" t="str">
        <x:v>ABMP_10615</x:v>
      </x:c>
      <x:c r="B359" s="63" t="str">
        <x:v>Peerless Creek Bridge Replacement &amp; Associated Roadwork</x:v>
      </x:c>
      <x:c r="C359" s="63" t="str">
        <x:v>Roads Transit And Airports</x:v>
      </x:c>
      <x:c r="D359" s="63" t="str">
        <x:v>inferred</x:v>
      </x:c>
      <x:c r="E359" s="63" t="str">
        <x:v>Roadwork</x:v>
      </x:c>
      <x:c r="F359" s="63" t="str">
        <x:v>Infrastructure</x:v>
      </x:c>
      <x:c r="G359" s="63" t="str">
        <x:v>Alberta Transportation and Economic Corridors</x:v>
      </x:c>
      <x:c r="H359" s="63" t="str">
        <x:v>Government Or Public Institution Signal</x:v>
      </x:c>
      <x:c r="I359" s="63" t="str">
        <x:v>inferred</x:v>
      </x:c>
      <x:c r="J359" s="63" t="str">
        <x:v>Opportunity No. 17</x:v>
      </x:c>
      <x:c r="K359" s="63" t="str">
        <x:v>Under Construction</x:v>
      </x:c>
      <x:c r="L359" s="143"/>
      <x:c r="M359" s="179" t="n">
        <x:v>2022</x:v>
      </x:c>
      <x:c r="N359" s="179" t="n">
        <x:v>2027</x:v>
      </x:c>
      <x:c r="O359" s="63" t="str">
        <x:v>overlaps</x:v>
      </x:c>
      <x:c r="P359" s="63" t="str">
        <x:v>2027</x:v>
      </x:c>
      <x:c r="Q359" s="143"/>
      <x:c r="R359" s="143"/>
      <x:c r="S359" s="154"/>
      <x:c r="T359" s="154"/>
      <x:c r="U359" s="63" t="str">
        <x:v>reported</x:v>
      </x:c>
      <x:c r="V359" s="63" t="str">
        <x:v>ALBERTA_MAJOR_PROJECTS</x:v>
      </x:c>
      <x:c r="W359" s="63" t="str">
        <x:v>observed</x:v>
      </x:c>
      <x:c r="X359" s="155" t="n">
        <x:v>46265</x:v>
      </x:c>
      <x:c r="Y359" s="63" t="str">
        <x:v>https://www.majorprojects.alberta.ca/</x:v>
      </x:c>
    </x:row>
    <x:row r="360">
      <x:c r="A360" s="63" t="str">
        <x:v>ABMP_11658</x:v>
      </x:c>
      <x:c r="B360" s="63" t="str">
        <x:v>Rehabilitation on Highway 2 and 338 Ave</x:v>
      </x:c>
      <x:c r="C360" s="63" t="str">
        <x:v>Roads Transit And Airports</x:v>
      </x:c>
      <x:c r="D360" s="63" t="str">
        <x:v>inferred</x:v>
      </x:c>
      <x:c r="E360" s="63" t="str">
        <x:v>Roadwork</x:v>
      </x:c>
      <x:c r="F360" s="63" t="str">
        <x:v>Infrastructure</x:v>
      </x:c>
      <x:c r="G360" s="63" t="str">
        <x:v>Alberta Transportation and Economic Corridors</x:v>
      </x:c>
      <x:c r="H360" s="63" t="str">
        <x:v>Government Or Public Institution Signal</x:v>
      </x:c>
      <x:c r="I360" s="63" t="str">
        <x:v>inferred</x:v>
      </x:c>
      <x:c r="J360" s="63" t="str">
        <x:v>Foothills No. 31</x:v>
      </x:c>
      <x:c r="K360" s="63" t="str">
        <x:v>Proposed</x:v>
      </x:c>
      <x:c r="L360" s="143"/>
      <x:c r="M360" s="179"/>
      <x:c r="N360" s="179"/>
      <x:c r="O360" s="63" t="str">
        <x:v>indeterminate_incomplete_schedule</x:v>
      </x:c>
      <x:c r="P360" s="63" t="str"/>
      <x:c r="Q360" s="143"/>
      <x:c r="R360" s="143"/>
      <x:c r="S360" s="154" t="n">
        <x:v>-113.906459757</x:v>
      </x:c>
      <x:c r="T360" s="154" t="n">
        <x:v>50.7468404812</x:v>
      </x:c>
      <x:c r="U360" s="63" t="str">
        <x:v>reported</x:v>
      </x:c>
      <x:c r="V360" s="63" t="str">
        <x:v>ALBERTA_MAJOR_PROJECTS</x:v>
      </x:c>
      <x:c r="W360" s="63" t="str">
        <x:v>observed</x:v>
      </x:c>
      <x:c r="X360" s="155" t="n">
        <x:v>46265</x:v>
      </x:c>
      <x:c r="Y360" s="63" t="str">
        <x:v>https://www.majorprojects.alberta.ca/</x:v>
      </x:c>
    </x:row>
    <x:row r="361">
      <x:c r="A361" s="63" t="str">
        <x:v>ABMP_11972</x:v>
      </x:c>
      <x:c r="B361" s="63" t="str">
        <x:v>Repaving Highway 2 (Lacombe)</x:v>
      </x:c>
      <x:c r="C361" s="63" t="str">
        <x:v>Roads Transit And Airports</x:v>
      </x:c>
      <x:c r="D361" s="63" t="str">
        <x:v>inferred</x:v>
      </x:c>
      <x:c r="E361" s="63" t="str">
        <x:v>Roadwork</x:v>
      </x:c>
      <x:c r="F361" s="63" t="str">
        <x:v>Infrastructure</x:v>
      </x:c>
      <x:c r="G361" s="63" t="str">
        <x:v>Alberta Transportation and Economic Corridors</x:v>
      </x:c>
      <x:c r="H361" s="63" t="str">
        <x:v>Government Or Public Institution Signal</x:v>
      </x:c>
      <x:c r="I361" s="63" t="str">
        <x:v>inferred</x:v>
      </x:c>
      <x:c r="J361" s="63" t="str">
        <x:v>Blackfalds|Lacombe|Lacombe County|Ponoka County|Red Deer|Red Deer County</x:v>
      </x:c>
      <x:c r="K361" s="63" t="str">
        <x:v>Proposed</x:v>
      </x:c>
      <x:c r="L361" s="143"/>
      <x:c r="M361" s="179" t="n">
        <x:v>2027</x:v>
      </x:c>
      <x:c r="N361" s="179"/>
      <x:c r="O361" s="63" t="str">
        <x:v>indeterminate_incomplete_schedule</x:v>
      </x:c>
      <x:c r="P361" s="63" t="str"/>
      <x:c r="Q361" s="143"/>
      <x:c r="R361" s="143"/>
      <x:c r="S361" s="154"/>
      <x:c r="T361" s="154"/>
      <x:c r="U361" s="63" t="str">
        <x:v>reported</x:v>
      </x:c>
      <x:c r="V361" s="63" t="str">
        <x:v>ALBERTA_MAJOR_PROJECTS</x:v>
      </x:c>
      <x:c r="W361" s="63" t="str">
        <x:v>observed</x:v>
      </x:c>
      <x:c r="X361" s="155" t="n">
        <x:v>46265</x:v>
      </x:c>
      <x:c r="Y361" s="63" t="str">
        <x:v>https://www.majorprojects.alberta.ca/</x:v>
      </x:c>
    </x:row>
    <x:row r="362">
      <x:c r="A362" s="63" t="str">
        <x:v>ABMP_11639</x:v>
      </x:c>
      <x:c r="B362" s="63" t="str">
        <x:v>Repaving on Highway 2 (Between Hwy 201 and Hwy 566)</x:v>
      </x:c>
      <x:c r="C362" s="63" t="str">
        <x:v>Roads Transit And Airports</x:v>
      </x:c>
      <x:c r="D362" s="63" t="str">
        <x:v>inferred</x:v>
      </x:c>
      <x:c r="E362" s="63" t="str">
        <x:v>Roadwork</x:v>
      </x:c>
      <x:c r="F362" s="63" t="str">
        <x:v>Infrastructure</x:v>
      </x:c>
      <x:c r="G362" s="63" t="str">
        <x:v>Alberta Transportation and Economic Corridors</x:v>
      </x:c>
      <x:c r="H362" s="63" t="str">
        <x:v>Government Or Public Institution Signal</x:v>
      </x:c>
      <x:c r="I362" s="63" t="str">
        <x:v>inferred</x:v>
      </x:c>
      <x:c r="J362" s="63" t="str">
        <x:v>Calgary|Rocky View County</x:v>
      </x:c>
      <x:c r="K362" s="63" t="str">
        <x:v>Under Construction</x:v>
      </x:c>
      <x:c r="L362" s="143"/>
      <x:c r="M362" s="179" t="n">
        <x:v>2025</x:v>
      </x:c>
      <x:c r="N362" s="179" t="n">
        <x:v>2026</x:v>
      </x:c>
      <x:c r="O362" s="63" t="str">
        <x:v>outside_window</x:v>
      </x:c>
      <x:c r="P362" s="63" t="str"/>
      <x:c r="Q362" s="143"/>
      <x:c r="R362" s="143"/>
      <x:c r="S362" s="154"/>
      <x:c r="T362" s="154"/>
      <x:c r="U362" s="63" t="str">
        <x:v>reported</x:v>
      </x:c>
      <x:c r="V362" s="63" t="str">
        <x:v>ALBERTA_MAJOR_PROJECTS</x:v>
      </x:c>
      <x:c r="W362" s="63" t="str">
        <x:v>observed</x:v>
      </x:c>
      <x:c r="X362" s="155" t="n">
        <x:v>46265</x:v>
      </x:c>
      <x:c r="Y362" s="63" t="str">
        <x:v>https://www.majorprojects.alberta.ca/</x:v>
      </x:c>
    </x:row>
    <x:row r="363">
      <x:c r="A363" s="63" t="str">
        <x:v>ABMP_12103</x:v>
      </x:c>
      <x:c r="B363" s="63" t="str">
        <x:v>Repaving on Highway 2A</x:v>
      </x:c>
      <x:c r="C363" s="63" t="str">
        <x:v>Roads Transit And Airports</x:v>
      </x:c>
      <x:c r="D363" s="63" t="str">
        <x:v>inferred</x:v>
      </x:c>
      <x:c r="E363" s="63" t="str">
        <x:v>Roadwork</x:v>
      </x:c>
      <x:c r="F363" s="63" t="str">
        <x:v>Infrastructure</x:v>
      </x:c>
      <x:c r="G363" s="63" t="str">
        <x:v>Alberta Transportation and Economic Corridors</x:v>
      </x:c>
      <x:c r="H363" s="63" t="str">
        <x:v>Government Or Public Institution Signal</x:v>
      </x:c>
      <x:c r="I363" s="63" t="str">
        <x:v>inferred</x:v>
      </x:c>
      <x:c r="J363" s="63" t="str">
        <x:v>Red Deer</x:v>
      </x:c>
      <x:c r="K363" s="63" t="str">
        <x:v>Proposed</x:v>
      </x:c>
      <x:c r="L363" s="143"/>
      <x:c r="M363" s="179" t="n">
        <x:v>2027</x:v>
      </x:c>
      <x:c r="N363" s="179" t="n">
        <x:v>2027</x:v>
      </x:c>
      <x:c r="O363" s="63" t="str">
        <x:v>overlaps</x:v>
      </x:c>
      <x:c r="P363" s="63" t="str">
        <x:v>2027</x:v>
      </x:c>
      <x:c r="Q363" s="143"/>
      <x:c r="R363" s="143"/>
      <x:c r="S363" s="154"/>
      <x:c r="T363" s="154"/>
      <x:c r="U363" s="63" t="str">
        <x:v>reported</x:v>
      </x:c>
      <x:c r="V363" s="63" t="str">
        <x:v>ALBERTA_MAJOR_PROJECTS</x:v>
      </x:c>
      <x:c r="W363" s="63" t="str">
        <x:v>observed</x:v>
      </x:c>
      <x:c r="X363" s="155" t="n">
        <x:v>46265</x:v>
      </x:c>
      <x:c r="Y363" s="63" t="str">
        <x:v>https://www.majorprojects.alberta.ca/</x:v>
      </x:c>
    </x:row>
    <x:row r="364">
      <x:c r="A364" s="63" t="str">
        <x:v>ABMP_11672</x:v>
      </x:c>
      <x:c r="B364" s="63" t="str">
        <x:v>Road Rehabilitation (Highways 1, 875 and 874)</x:v>
      </x:c>
      <x:c r="C364" s="63" t="str">
        <x:v>Roads Transit And Airports</x:v>
      </x:c>
      <x:c r="D364" s="63" t="str">
        <x:v>inferred</x:v>
      </x:c>
      <x:c r="E364" s="63" t="str">
        <x:v>Roadwork</x:v>
      </x:c>
      <x:c r="F364" s="63" t="str">
        <x:v>Infrastructure</x:v>
      </x:c>
      <x:c r="G364" s="63" t="str">
        <x:v>Alberta Transportation and Economic Corridors</x:v>
      </x:c>
      <x:c r="H364" s="63" t="str">
        <x:v>Government Or Public Institution Signal</x:v>
      </x:c>
      <x:c r="I364" s="63" t="str">
        <x:v>inferred</x:v>
      </x:c>
      <x:c r="J364" s="63" t="str">
        <x:v>Cypress County|Newell County</x:v>
      </x:c>
      <x:c r="K364" s="63" t="str">
        <x:v>Under Construction</x:v>
      </x:c>
      <x:c r="L364" s="143"/>
      <x:c r="M364" s="179" t="n">
        <x:v>2026</x:v>
      </x:c>
      <x:c r="N364" s="179" t="n">
        <x:v>2026</x:v>
      </x:c>
      <x:c r="O364" s="63" t="str">
        <x:v>outside_window</x:v>
      </x:c>
      <x:c r="P364" s="63" t="str"/>
      <x:c r="Q364" s="143"/>
      <x:c r="R364" s="143"/>
      <x:c r="S364" s="154"/>
      <x:c r="T364" s="154"/>
      <x:c r="U364" s="63" t="str">
        <x:v>reported</x:v>
      </x:c>
      <x:c r="V364" s="63" t="str">
        <x:v>ALBERTA_MAJOR_PROJECTS</x:v>
      </x:c>
      <x:c r="W364" s="63" t="str">
        <x:v>observed</x:v>
      </x:c>
      <x:c r="X364" s="155" t="n">
        <x:v>46265</x:v>
      </x:c>
      <x:c r="Y364" s="63" t="str">
        <x:v>https://www.majorprojects.alberta.ca/</x:v>
      </x:c>
    </x:row>
    <x:row r="365">
      <x:c r="A365" s="63" t="str">
        <x:v>ABMP_12102</x:v>
      </x:c>
      <x:c r="B365" s="63" t="str">
        <x:v>Road Rehabilitation (Highways 58 and 88)</x:v>
      </x:c>
      <x:c r="C365" s="63" t="str">
        <x:v>Roads Transit And Airports</x:v>
      </x:c>
      <x:c r="D365" s="63" t="str">
        <x:v>inferred</x:v>
      </x:c>
      <x:c r="E365" s="63" t="str">
        <x:v>Roadwork</x:v>
      </x:c>
      <x:c r="F365" s="63" t="str">
        <x:v>Infrastructure</x:v>
      </x:c>
      <x:c r="G365" s="63" t="str">
        <x:v>Alberta Transportation and Economic Corridors</x:v>
      </x:c>
      <x:c r="H365" s="63" t="str">
        <x:v>Government Or Public Institution Signal</x:v>
      </x:c>
      <x:c r="I365" s="63" t="str">
        <x:v>inferred</x:v>
      </x:c>
      <x:c r="J365" s="63" t="str">
        <x:v>John d'Or Prairie 215|Mackenzie County</x:v>
      </x:c>
      <x:c r="K365" s="63" t="str">
        <x:v>Under Construction</x:v>
      </x:c>
      <x:c r="L365" s="143"/>
      <x:c r="M365" s="179" t="n">
        <x:v>2026</x:v>
      </x:c>
      <x:c r="N365" s="179" t="n">
        <x:v>2030</x:v>
      </x:c>
      <x:c r="O365" s="63" t="str">
        <x:v>overlaps</x:v>
      </x:c>
      <x:c r="P365" s="63" t="str">
        <x:v>2027|2028|2029|2030</x:v>
      </x:c>
      <x:c r="Q365" s="143"/>
      <x:c r="R365" s="143"/>
      <x:c r="S365" s="154"/>
      <x:c r="T365" s="154"/>
      <x:c r="U365" s="63" t="str">
        <x:v>reported</x:v>
      </x:c>
      <x:c r="V365" s="63" t="str">
        <x:v>ALBERTA_MAJOR_PROJECTS</x:v>
      </x:c>
      <x:c r="W365" s="63" t="str">
        <x:v>observed</x:v>
      </x:c>
      <x:c r="X365" s="155" t="n">
        <x:v>46265</x:v>
      </x:c>
      <x:c r="Y365" s="63" t="str">
        <x:v>https://www.majorprojects.alberta.ca/</x:v>
      </x:c>
    </x:row>
    <x:row r="366">
      <x:c r="A366" s="63" t="str">
        <x:v>ABMP_11316</x:v>
      </x:c>
      <x:c r="B366" s="63" t="str">
        <x:v>Sound Attenuation, Southwest Calgary Ring Road</x:v>
      </x:c>
      <x:c r="C366" s="63" t="str">
        <x:v>Roads Transit And Airports</x:v>
      </x:c>
      <x:c r="D366" s="63" t="str">
        <x:v>inferred</x:v>
      </x:c>
      <x:c r="E366" s="63" t="str">
        <x:v>Roadwork</x:v>
      </x:c>
      <x:c r="F366" s="63" t="str">
        <x:v>Infrastructure</x:v>
      </x:c>
      <x:c r="G366" s="63" t="str">
        <x:v>Alberta Transportation and Economic Corridors</x:v>
      </x:c>
      <x:c r="H366" s="63" t="str">
        <x:v>Government Or Public Institution Signal</x:v>
      </x:c>
      <x:c r="I366" s="63" t="str">
        <x:v>inferred</x:v>
      </x:c>
      <x:c r="J366" s="63" t="str">
        <x:v>Calgary|Tsuu T'ina Nation 145 (Sarcee 145)</x:v>
      </x:c>
      <x:c r="K366" s="63" t="str">
        <x:v>Under Construction</x:v>
      </x:c>
      <x:c r="L366" s="143"/>
      <x:c r="M366" s="179" t="n">
        <x:v>2025</x:v>
      </x:c>
      <x:c r="N366" s="179" t="n">
        <x:v>2026</x:v>
      </x:c>
      <x:c r="O366" s="63" t="str">
        <x:v>outside_window</x:v>
      </x:c>
      <x:c r="P366" s="63" t="str"/>
      <x:c r="Q366" s="143"/>
      <x:c r="R366" s="143"/>
      <x:c r="S366" s="154"/>
      <x:c r="T366" s="154"/>
      <x:c r="U366" s="63" t="str">
        <x:v>reported</x:v>
      </x:c>
      <x:c r="V366" s="63" t="str">
        <x:v>ALBERTA_MAJOR_PROJECTS</x:v>
      </x:c>
      <x:c r="W366" s="63" t="str">
        <x:v>observed</x:v>
      </x:c>
      <x:c r="X366" s="155" t="n">
        <x:v>46265</x:v>
      </x:c>
      <x:c r="Y366" s="63" t="str">
        <x:v>https://www.majorprojects.alberta.ca/</x:v>
      </x:c>
    </x:row>
    <x:row r="367">
      <x:c r="A367" s="63" t="str">
        <x:v>ABMP_11307</x:v>
      </x:c>
      <x:c r="B367" s="63" t="str">
        <x:v>Southeast Edmonton Transit Garage</x:v>
      </x:c>
      <x:c r="C367" s="63" t="str">
        <x:v>Roads Transit And Airports</x:v>
      </x:c>
      <x:c r="D367" s="63" t="str">
        <x:v>inferred</x:v>
      </x:c>
      <x:c r="E367" s="63" t="str">
        <x:v>Transit</x:v>
      </x:c>
      <x:c r="F367" s="63" t="str">
        <x:v>Infrastructure</x:v>
      </x:c>
      <x:c r="G367" s="63" t="str">
        <x:v>City of Edmonton</x:v>
      </x:c>
      <x:c r="H367" s="63" t="str">
        <x:v>Government Or Public Institution Signal</x:v>
      </x:c>
      <x:c r="I367" s="63" t="str">
        <x:v>inferred</x:v>
      </x:c>
      <x:c r="J367" s="63" t="str">
        <x:v>Edmonton</x:v>
      </x:c>
      <x:c r="K367" s="63" t="str">
        <x:v>Proposed</x:v>
      </x:c>
      <x:c r="L367" s="143" t="n">
        <x:v>432000000</x:v>
      </x:c>
      <x:c r="M367" s="179"/>
      <x:c r="N367" s="179"/>
      <x:c r="O367" s="63" t="str">
        <x:v>indeterminate_incomplete_schedule</x:v>
      </x:c>
      <x:c r="P367" s="63" t="str"/>
      <x:c r="Q367" s="143"/>
      <x:c r="R367" s="143"/>
      <x:c r="S367" s="154" t="n">
        <x:v>-113.488276</x:v>
      </x:c>
      <x:c r="T367" s="154" t="n">
        <x:v>53.412972</x:v>
      </x:c>
      <x:c r="U367" s="63" t="str">
        <x:v>reported</x:v>
      </x:c>
      <x:c r="V367" s="63" t="str">
        <x:v>ALBERTA_MAJOR_PROJECTS</x:v>
      </x:c>
      <x:c r="W367" s="63" t="str">
        <x:v>observed</x:v>
      </x:c>
      <x:c r="X367" s="155" t="n">
        <x:v>46265</x:v>
      </x:c>
      <x:c r="Y367" s="63" t="str">
        <x:v>https://www.majorprojects.alberta.ca/</x:v>
      </x:c>
    </x:row>
    <x:row r="368">
      <x:c r="A368" s="63" t="str">
        <x:v>ABMP_3991</x:v>
      </x:c>
      <x:c r="B368" s="63" t="str">
        <x:v>Terwillegar Drive Expressway</x:v>
      </x:c>
      <x:c r="C368" s="63" t="str">
        <x:v>Roads Transit And Airports</x:v>
      </x:c>
      <x:c r="D368" s="63" t="str">
        <x:v>inferred</x:v>
      </x:c>
      <x:c r="E368" s="63" t="str">
        <x:v>Roadwork</x:v>
      </x:c>
      <x:c r="F368" s="63" t="str">
        <x:v>Infrastructure</x:v>
      </x:c>
      <x:c r="G368" s="63" t="str">
        <x:v>City of Edmonton</x:v>
      </x:c>
      <x:c r="H368" s="63" t="str">
        <x:v>Government Or Public Institution Signal</x:v>
      </x:c>
      <x:c r="I368" s="63" t="str">
        <x:v>inferred</x:v>
      </x:c>
      <x:c r="J368" s="63" t="str">
        <x:v>Edmonton</x:v>
      </x:c>
      <x:c r="K368" s="63" t="str">
        <x:v>Under Construction</x:v>
      </x:c>
      <x:c r="L368" s="143" t="n">
        <x:v>284700000</x:v>
      </x:c>
      <x:c r="M368" s="179" t="n">
        <x:v>2021</x:v>
      </x:c>
      <x:c r="N368" s="179" t="n">
        <x:v>2027</x:v>
      </x:c>
      <x:c r="O368" s="63" t="str">
        <x:v>overlaps</x:v>
      </x:c>
      <x:c r="P368" s="63" t="str">
        <x:v>2027</x:v>
      </x:c>
      <x:c r="Q368" s="143" t="n">
        <x:v>40671428.571428575</x:v>
      </x:c>
      <x:c r="R368" s="143" t="n">
        <x:v>40671428.571428575</x:v>
      </x:c>
      <x:c r="S368" s="154"/>
      <x:c r="T368" s="154"/>
      <x:c r="U368" s="63" t="str">
        <x:v>reported</x:v>
      </x:c>
      <x:c r="V368" s="63" t="str">
        <x:v>ALBERTA_MAJOR_PROJECTS</x:v>
      </x:c>
      <x:c r="W368" s="63" t="str">
        <x:v>observed</x:v>
      </x:c>
      <x:c r="X368" s="155" t="n">
        <x:v>46265</x:v>
      </x:c>
      <x:c r="Y368" s="63" t="str">
        <x:v>https://www.majorprojects.alberta.ca/</x:v>
      </x:c>
    </x:row>
    <x:row r="369">
      <x:c r="A369" s="63" t="str">
        <x:v>ABMP_11934</x:v>
      </x:c>
      <x:c r="B369" s="63" t="str">
        <x:v>Township Road 250 Realignment</x:v>
      </x:c>
      <x:c r="C369" s="63" t="str">
        <x:v>Roads Transit And Airports</x:v>
      </x:c>
      <x:c r="D369" s="63" t="str">
        <x:v>inferred</x:v>
      </x:c>
      <x:c r="E369" s="63" t="str">
        <x:v>Roadwork</x:v>
      </x:c>
      <x:c r="F369" s="63" t="str">
        <x:v>Infrastructure</x:v>
      </x:c>
      <x:c r="G369" s="63" t="str">
        <x:v>Rocky View County</x:v>
      </x:c>
      <x:c r="H369" s="63" t="str">
        <x:v>Unresolved</x:v>
      </x:c>
      <x:c r="I369" s="63" t="str">
        <x:v>inferred</x:v>
      </x:c>
      <x:c r="J369" s="63" t="str">
        <x:v>Rocky View County</x:v>
      </x:c>
      <x:c r="K369" s="63" t="str">
        <x:v>Under Construction</x:v>
      </x:c>
      <x:c r="L369" s="143" t="n">
        <x:v>21300000</x:v>
      </x:c>
      <x:c r="M369" s="179" t="n">
        <x:v>2026</x:v>
      </x:c>
      <x:c r="N369" s="179"/>
      <x:c r="O369" s="63" t="str">
        <x:v>indeterminate_incomplete_schedule</x:v>
      </x:c>
      <x:c r="P369" s="63" t="str"/>
      <x:c r="Q369" s="143"/>
      <x:c r="R369" s="143"/>
      <x:c r="S369" s="154" t="n">
        <x:v>-113.865137</x:v>
      </x:c>
      <x:c r="T369" s="154" t="n">
        <x:v>51.095841</x:v>
      </x:c>
      <x:c r="U369" s="63" t="str">
        <x:v>reported</x:v>
      </x:c>
      <x:c r="V369" s="63" t="str">
        <x:v>ALBERTA_MAJOR_PROJECTS</x:v>
      </x:c>
      <x:c r="W369" s="63" t="str">
        <x:v>observed</x:v>
      </x:c>
      <x:c r="X369" s="155" t="n">
        <x:v>46265</x:v>
      </x:c>
      <x:c r="Y369" s="63" t="str">
        <x:v>https://www.majorprojects.alberta.ca/</x:v>
      </x:c>
    </x:row>
    <x:row r="370">
      <x:c r="A370" s="63" t="str">
        <x:v>ABMP_11901</x:v>
      </x:c>
      <x:c r="B370" s="63" t="str">
        <x:v>TransCanada Sanitary Trunk</x:v>
      </x:c>
      <x:c r="C370" s="63" t="str">
        <x:v>Roads Transit And Airports</x:v>
      </x:c>
      <x:c r="D370" s="63" t="str">
        <x:v>inferred</x:v>
      </x:c>
      <x:c r="E370" s="63" t="str">
        <x:v>Roadwork</x:v>
      </x:c>
      <x:c r="F370" s="63" t="str">
        <x:v>Infrastructure</x:v>
      </x:c>
      <x:c r="G370" s="63" t="str">
        <x:v>City of Calgary</x:v>
      </x:c>
      <x:c r="H370" s="63" t="str">
        <x:v>Government Or Public Institution Signal</x:v>
      </x:c>
      <x:c r="I370" s="63" t="str">
        <x:v>inferred</x:v>
      </x:c>
      <x:c r="J370" s="63" t="str">
        <x:v>Calgary|Rocky View County</x:v>
      </x:c>
      <x:c r="K370" s="63" t="str">
        <x:v>Under Construction</x:v>
      </x:c>
      <x:c r="L370" s="143" t="n">
        <x:v>136500000</x:v>
      </x:c>
      <x:c r="M370" s="179" t="n">
        <x:v>2025</x:v>
      </x:c>
      <x:c r="N370" s="179" t="n">
        <x:v>2028</x:v>
      </x:c>
      <x:c r="O370" s="63" t="str">
        <x:v>overlaps</x:v>
      </x:c>
      <x:c r="P370" s="63" t="str">
        <x:v>2027|2028</x:v>
      </x:c>
      <x:c r="Q370" s="143" t="n">
        <x:v>34125000</x:v>
      </x:c>
      <x:c r="R370" s="143" t="n">
        <x:v>68250000</x:v>
      </x:c>
      <x:c r="S370" s="154"/>
      <x:c r="T370" s="154"/>
      <x:c r="U370" s="63" t="str">
        <x:v>approximate</x:v>
      </x:c>
      <x:c r="V370" s="63" t="str">
        <x:v>ALBERTA_MAJOR_PROJECTS</x:v>
      </x:c>
      <x:c r="W370" s="63" t="str">
        <x:v>observed</x:v>
      </x:c>
      <x:c r="X370" s="155" t="n">
        <x:v>46265</x:v>
      </x:c>
      <x:c r="Y370" s="63" t="str">
        <x:v>https://www.majorprojects.alberta.ca/</x:v>
      </x:c>
    </x:row>
    <x:row r="371">
      <x:c r="A371" s="63" t="str">
        <x:v>ABMP_3692</x:v>
      </x:c>
      <x:c r="B371" s="63" t="str">
        <x:v>Valley Line West LRT</x:v>
      </x:c>
      <x:c r="C371" s="63" t="str">
        <x:v>Roads Transit And Airports</x:v>
      </x:c>
      <x:c r="D371" s="63" t="str">
        <x:v>inferred</x:v>
      </x:c>
      <x:c r="E371" s="63" t="str">
        <x:v>Transit</x:v>
      </x:c>
      <x:c r="F371" s="63" t="str">
        <x:v>Infrastructure</x:v>
      </x:c>
      <x:c r="G371" s="63" t="str">
        <x:v>City of Edmonton</x:v>
      </x:c>
      <x:c r="H371" s="63" t="str">
        <x:v>Government Or Public Institution Signal</x:v>
      </x:c>
      <x:c r="I371" s="63" t="str">
        <x:v>inferred</x:v>
      </x:c>
      <x:c r="J371" s="63" t="str">
        <x:v>Edmonton</x:v>
      </x:c>
      <x:c r="K371" s="63" t="str">
        <x:v>Under Construction</x:v>
      </x:c>
      <x:c r="L371" s="143" t="n">
        <x:v>2670000000</x:v>
      </x:c>
      <x:c r="M371" s="179" t="n">
        <x:v>2022</x:v>
      </x:c>
      <x:c r="N371" s="179" t="n">
        <x:v>2028</x:v>
      </x:c>
      <x:c r="O371" s="63" t="str">
        <x:v>overlaps</x:v>
      </x:c>
      <x:c r="P371" s="63" t="str">
        <x:v>2027|2028</x:v>
      </x:c>
      <x:c r="Q371" s="143" t="n">
        <x:v>381428571.4285714</x:v>
      </x:c>
      <x:c r="R371" s="143" t="n">
        <x:v>762857142.8571428</x:v>
      </x:c>
      <x:c r="S371" s="154"/>
      <x:c r="T371" s="154"/>
      <x:c r="U371" s="63" t="str">
        <x:v>reported</x:v>
      </x:c>
      <x:c r="V371" s="63" t="str">
        <x:v>ALBERTA_MAJOR_PROJECTS</x:v>
      </x:c>
      <x:c r="W371" s="63" t="str">
        <x:v>observed</x:v>
      </x:c>
      <x:c r="X371" s="155" t="n">
        <x:v>46265</x:v>
      </x:c>
      <x:c r="Y371" s="63" t="str">
        <x:v>https://www.majorprojects.alberta.ca/</x:v>
      </x:c>
    </x:row>
    <x:row r="372">
      <x:c r="A372" s="63" t="str">
        <x:v>ABMP_11970</x:v>
      </x:c>
      <x:c r="B372" s="63" t="str">
        <x:v>Vermilion River Bridge Replacement on Highway 897</x:v>
      </x:c>
      <x:c r="C372" s="63" t="str">
        <x:v>Roads Transit And Airports</x:v>
      </x:c>
      <x:c r="D372" s="63" t="str">
        <x:v>inferred</x:v>
      </x:c>
      <x:c r="E372" s="63" t="str">
        <x:v>Roadwork</x:v>
      </x:c>
      <x:c r="F372" s="63" t="str">
        <x:v>Infrastructure</x:v>
      </x:c>
      <x:c r="G372" s="63" t="str">
        <x:v>Alberta Transportation and Economic Corridors</x:v>
      </x:c>
      <x:c r="H372" s="63" t="str">
        <x:v>Government Or Public Institution Signal</x:v>
      </x:c>
      <x:c r="I372" s="63" t="str">
        <x:v>inferred</x:v>
      </x:c>
      <x:c r="J372" s="63" t="str">
        <x:v>Vermilion River County</x:v>
      </x:c>
      <x:c r="K372" s="63" t="str">
        <x:v>Under Construction</x:v>
      </x:c>
      <x:c r="L372" s="143"/>
      <x:c r="M372" s="179" t="n">
        <x:v>2026</x:v>
      </x:c>
      <x:c r="N372" s="179" t="n">
        <x:v>2027</x:v>
      </x:c>
      <x:c r="O372" s="63" t="str">
        <x:v>overlaps</x:v>
      </x:c>
      <x:c r="P372" s="63" t="str">
        <x:v>2027</x:v>
      </x:c>
      <x:c r="Q372" s="143"/>
      <x:c r="R372" s="143"/>
      <x:c r="S372" s="154" t="n">
        <x:v>-110.336616</x:v>
      </x:c>
      <x:c r="T372" s="154" t="n">
        <x:v>53.655334</x:v>
      </x:c>
      <x:c r="U372" s="63" t="str">
        <x:v>reported</x:v>
      </x:c>
      <x:c r="V372" s="63" t="str">
        <x:v>ALBERTA_MAJOR_PROJECTS</x:v>
      </x:c>
      <x:c r="W372" s="63" t="str">
        <x:v>observed</x:v>
      </x:c>
      <x:c r="X372" s="155" t="n">
        <x:v>46265</x:v>
      </x:c>
      <x:c r="Y372" s="63" t="str">
        <x:v>https://www.majorprojects.alberta.ca/</x:v>
      </x:c>
    </x:row>
    <x:row r="373">
      <x:c r="A373" s="63" t="str">
        <x:v>ABMP_11938</x:v>
      </x:c>
      <x:c r="B373" s="63" t="str">
        <x:v>Waskasoo Creek Bridge Replacement (Gaetz Avenue)</x:v>
      </x:c>
      <x:c r="C373" s="63" t="str">
        <x:v>Roads Transit And Airports</x:v>
      </x:c>
      <x:c r="D373" s="63" t="str">
        <x:v>inferred</x:v>
      </x:c>
      <x:c r="E373" s="63" t="str">
        <x:v>Roadwork</x:v>
      </x:c>
      <x:c r="F373" s="63" t="str">
        <x:v>Infrastructure</x:v>
      </x:c>
      <x:c r="G373" s="63" t="str">
        <x:v>City of Red Deer</x:v>
      </x:c>
      <x:c r="H373" s="63" t="str">
        <x:v>Government Or Public Institution Signal</x:v>
      </x:c>
      <x:c r="I373" s="63" t="str">
        <x:v>inferred</x:v>
      </x:c>
      <x:c r="J373" s="63" t="str">
        <x:v>Red Deer</x:v>
      </x:c>
      <x:c r="K373" s="63" t="str">
        <x:v>Under Construction</x:v>
      </x:c>
      <x:c r="L373" s="143" t="n">
        <x:v>10000000</x:v>
      </x:c>
      <x:c r="M373" s="179" t="n">
        <x:v>2026</x:v>
      </x:c>
      <x:c r="N373" s="179" t="n">
        <x:v>2026</x:v>
      </x:c>
      <x:c r="O373" s="63" t="str">
        <x:v>outside_window</x:v>
      </x:c>
      <x:c r="P373" s="63" t="str"/>
      <x:c r="Q373" s="143" t="n">
        <x:v>10000000</x:v>
      </x:c>
      <x:c r="R373" s="143" t="n">
        <x:v>0</x:v>
      </x:c>
      <x:c r="S373" s="154" t="n">
        <x:v>-113.81412162714385</x:v>
      </x:c>
      <x:c r="T373" s="154" t="n">
        <x:v>52.263242623804764</x:v>
      </x:c>
      <x:c r="U373" s="63" t="str">
        <x:v>reported</x:v>
      </x:c>
      <x:c r="V373" s="63" t="str">
        <x:v>ALBERTA_MAJOR_PROJECTS</x:v>
      </x:c>
      <x:c r="W373" s="63" t="str">
        <x:v>observed</x:v>
      </x:c>
      <x:c r="X373" s="155" t="n">
        <x:v>46265</x:v>
      </x:c>
      <x:c r="Y373" s="63" t="str">
        <x:v>https://www.majorprojects.alberta.ca/</x:v>
      </x:c>
    </x:row>
    <x:row r="374">
      <x:c r="A374" s="63" t="str">
        <x:v>ABMP_11832</x:v>
      </x:c>
      <x:c r="B374" s="63" t="str">
        <x:v>Wellington Bridge Replacement</x:v>
      </x:c>
      <x:c r="C374" s="63" t="str">
        <x:v>Roads Transit And Airports</x:v>
      </x:c>
      <x:c r="D374" s="63" t="str">
        <x:v>inferred</x:v>
      </x:c>
      <x:c r="E374" s="63" t="str">
        <x:v>Roadwork</x:v>
      </x:c>
      <x:c r="F374" s="63" t="str">
        <x:v>Infrastructure</x:v>
      </x:c>
      <x:c r="G374" s="63" t="str">
        <x:v>City of Edmonton</x:v>
      </x:c>
      <x:c r="H374" s="63" t="str">
        <x:v>Government Or Public Institution Signal</x:v>
      </x:c>
      <x:c r="I374" s="63" t="str">
        <x:v>inferred</x:v>
      </x:c>
      <x:c r="J374" s="63" t="str">
        <x:v>Edmonton</x:v>
      </x:c>
      <x:c r="K374" s="63" t="str">
        <x:v>Under Construction</x:v>
      </x:c>
      <x:c r="L374" s="143" t="n">
        <x:v>29000000</x:v>
      </x:c>
      <x:c r="M374" s="179" t="n">
        <x:v>2025</x:v>
      </x:c>
      <x:c r="N374" s="179" t="n">
        <x:v>2026</x:v>
      </x:c>
      <x:c r="O374" s="63" t="str">
        <x:v>outside_window</x:v>
      </x:c>
      <x:c r="P374" s="63" t="str"/>
      <x:c r="Q374" s="143" t="n">
        <x:v>14500000</x:v>
      </x:c>
      <x:c r="R374" s="143" t="n">
        <x:v>0</x:v>
      </x:c>
      <x:c r="S374" s="154" t="n">
        <x:v>-113.547964</x:v>
      </x:c>
      <x:c r="T374" s="154" t="n">
        <x:v>53.543046</x:v>
      </x:c>
      <x:c r="U374" s="63" t="str">
        <x:v>reported</x:v>
      </x:c>
      <x:c r="V374" s="63" t="str">
        <x:v>ALBERTA_MAJOR_PROJECTS</x:v>
      </x:c>
      <x:c r="W374" s="63" t="str">
        <x:v>observed</x:v>
      </x:c>
      <x:c r="X374" s="155" t="n">
        <x:v>46265</x:v>
      </x:c>
      <x:c r="Y374" s="63" t="str">
        <x:v>https://www.majorprojects.alberta.ca/</x:v>
      </x:c>
    </x:row>
    <x:row r="375">
      <x:c r="A375" s="63" t="str">
        <x:v>ABMP_11293</x:v>
      </x:c>
      <x:c r="B375" s="63" t="str">
        <x:v>Westlock Access Control Rehabilitation (Highways 18 &amp; 44)</x:v>
      </x:c>
      <x:c r="C375" s="63" t="str">
        <x:v>Roads Transit And Airports</x:v>
      </x:c>
      <x:c r="D375" s="63" t="str">
        <x:v>inferred</x:v>
      </x:c>
      <x:c r="E375" s="63" t="str">
        <x:v>Roadwork</x:v>
      </x:c>
      <x:c r="F375" s="63" t="str">
        <x:v>Infrastructure</x:v>
      </x:c>
      <x:c r="G375" s="63" t="str">
        <x:v>Alberta Transportation and Economic Corridors</x:v>
      </x:c>
      <x:c r="H375" s="63" t="str">
        <x:v>Government Or Public Institution Signal</x:v>
      </x:c>
      <x:c r="I375" s="63" t="str">
        <x:v>inferred</x:v>
      </x:c>
      <x:c r="J375" s="63" t="str">
        <x:v>Westlock|Westlock County</x:v>
      </x:c>
      <x:c r="K375" s="63" t="str">
        <x:v>Proposed</x:v>
      </x:c>
      <x:c r="L375" s="143"/>
      <x:c r="M375" s="179" t="n">
        <x:v>2027</x:v>
      </x:c>
      <x:c r="N375" s="179" t="n">
        <x:v>2029</x:v>
      </x:c>
      <x:c r="O375" s="63" t="str">
        <x:v>overlaps</x:v>
      </x:c>
      <x:c r="P375" s="63" t="str">
        <x:v>2027|2028|2029</x:v>
      </x:c>
      <x:c r="Q375" s="143"/>
      <x:c r="R375" s="143"/>
      <x:c r="S375" s="154"/>
      <x:c r="T375" s="154"/>
      <x:c r="U375" s="63" t="str">
        <x:v>reported</x:v>
      </x:c>
      <x:c r="V375" s="63" t="str">
        <x:v>ALBERTA_MAJOR_PROJECTS</x:v>
      </x:c>
      <x:c r="W375" s="63" t="str">
        <x:v>observed</x:v>
      </x:c>
      <x:c r="X375" s="155" t="n">
        <x:v>46265</x:v>
      </x:c>
      <x:c r="Y375" s="63" t="str">
        <x:v>https://www.majorprojects.alberta.ca/</x:v>
      </x:c>
    </x:row>
    <x:row r="376">
      <x:c r="A376" s="63" t="str">
        <x:v>ABMP_2507</x:v>
      </x:c>
      <x:c r="B376" s="63" t="str">
        <x:v>Yellowhead Trail Freeway Conversion</x:v>
      </x:c>
      <x:c r="C376" s="63" t="str">
        <x:v>Roads Transit And Airports</x:v>
      </x:c>
      <x:c r="D376" s="63" t="str">
        <x:v>inferred</x:v>
      </x:c>
      <x:c r="E376" s="63" t="str">
        <x:v>Roadwork</x:v>
      </x:c>
      <x:c r="F376" s="63" t="str">
        <x:v>Infrastructure</x:v>
      </x:c>
      <x:c r="G376" s="63" t="str">
        <x:v>City of Edmonton</x:v>
      </x:c>
      <x:c r="H376" s="63" t="str">
        <x:v>Government Or Public Institution Signal</x:v>
      </x:c>
      <x:c r="I376" s="63" t="str">
        <x:v>inferred</x:v>
      </x:c>
      <x:c r="J376" s="63" t="str">
        <x:v>Edmonton</x:v>
      </x:c>
      <x:c r="K376" s="63" t="str">
        <x:v>Under Construction</x:v>
      </x:c>
      <x:c r="L376" s="143" t="n">
        <x:v>1105000000</x:v>
      </x:c>
      <x:c r="M376" s="179" t="n">
        <x:v>2019</x:v>
      </x:c>
      <x:c r="N376" s="179" t="n">
        <x:v>2027</x:v>
      </x:c>
      <x:c r="O376" s="63" t="str">
        <x:v>overlaps</x:v>
      </x:c>
      <x:c r="P376" s="63" t="str">
        <x:v>2027</x:v>
      </x:c>
      <x:c r="Q376" s="143" t="n">
        <x:v>122777777.77777778</x:v>
      </x:c>
      <x:c r="R376" s="143" t="n">
        <x:v>122777777.77777778</x:v>
      </x:c>
      <x:c r="S376" s="154"/>
      <x:c r="T376" s="154"/>
      <x:c r="U376" s="63" t="str">
        <x:v>reported</x:v>
      </x:c>
      <x:c r="V376" s="63" t="str">
        <x:v>ALBERTA_MAJOR_PROJECTS</x:v>
      </x:c>
      <x:c r="W376" s="63" t="str">
        <x:v>observed</x:v>
      </x:c>
      <x:c r="X376" s="155" t="n">
        <x:v>46265</x:v>
      </x:c>
      <x:c r="Y376" s="63" t="str">
        <x:v>https://www.majorprojects.alberta.ca/</x:v>
      </x:c>
    </x:row>
    <x:row r="377">
      <x:c r="A377" s="63" t="str">
        <x:v>ABMP_12149</x:v>
      </x:c>
      <x:c r="B377" s="63" t="str">
        <x:v>10-12 Catholic School in Ambleton (Calgary)</x:v>
      </x:c>
      <x:c r="C377" s="63" t="str">
        <x:v>Schools And Postsecondary</x:v>
      </x:c>
      <x:c r="D377" s="63" t="str">
        <x:v>inferred</x:v>
      </x:c>
      <x:c r="E377" s="63" t="str">
        <x:v>School</x:v>
      </x:c>
      <x:c r="F377" s="63" t="str">
        <x:v>Institutional</x:v>
      </x:c>
      <x:c r="G377" s="63" t="str">
        <x:v>Alberta Infrastructure</x:v>
      </x:c>
      <x:c r="H377" s="63" t="str">
        <x:v>Government Or Public Institution Signal</x:v>
      </x:c>
      <x:c r="I377" s="63" t="str">
        <x:v>inferred</x:v>
      </x:c>
      <x:c r="J377" s="63" t="str">
        <x:v>Calgary</x:v>
      </x:c>
      <x:c r="K377" s="63" t="str">
        <x:v>Proposed</x:v>
      </x:c>
      <x:c r="L377" s="143"/>
      <x:c r="M377" s="179"/>
      <x:c r="N377" s="179"/>
      <x:c r="O377" s="63" t="str">
        <x:v>indeterminate_incomplete_schedule</x:v>
      </x:c>
      <x:c r="P377" s="63" t="str"/>
      <x:c r="Q377" s="143"/>
      <x:c r="R377" s="143"/>
      <x:c r="S377" s="154" t="n">
        <x:v>-114.11483614467895</x:v>
      </x:c>
      <x:c r="T377" s="154" t="n">
        <x:v>51.18860138901608</x:v>
      </x:c>
      <x:c r="U377" s="63" t="str">
        <x:v>approximate</x:v>
      </x:c>
      <x:c r="V377" s="63" t="str">
        <x:v>ALBERTA_MAJOR_PROJECTS</x:v>
      </x:c>
      <x:c r="W377" s="63" t="str">
        <x:v>observed</x:v>
      </x:c>
      <x:c r="X377" s="155" t="n">
        <x:v>46265</x:v>
      </x:c>
      <x:c r="Y377" s="63" t="str">
        <x:v>https://www.majorprojects.alberta.ca/</x:v>
      </x:c>
    </x:row>
    <x:row r="378">
      <x:c r="A378" s="63" t="str">
        <x:v>ABMP_12148</x:v>
      </x:c>
      <x:c r="B378" s="63" t="str">
        <x:v>10-12 Catholic School in Windermere-Glenridding Heights (Edmonton)</x:v>
      </x:c>
      <x:c r="C378" s="63" t="str">
        <x:v>Schools And Postsecondary</x:v>
      </x:c>
      <x:c r="D378" s="63" t="str">
        <x:v>inferred</x:v>
      </x:c>
      <x:c r="E378" s="63" t="str">
        <x:v>School</x:v>
      </x:c>
      <x:c r="F378" s="63" t="str">
        <x:v>Institutional</x:v>
      </x:c>
      <x:c r="G378" s="63" t="str">
        <x:v>Alberta Infrastructure</x:v>
      </x:c>
      <x:c r="H378" s="63" t="str">
        <x:v>Government Or Public Institution Signal</x:v>
      </x:c>
      <x:c r="I378" s="63" t="str">
        <x:v>inferred</x:v>
      </x:c>
      <x:c r="J378" s="63" t="str">
        <x:v>Edmonton</x:v>
      </x:c>
      <x:c r="K378" s="63" t="str">
        <x:v>Proposed</x:v>
      </x:c>
      <x:c r="L378" s="143"/>
      <x:c r="M378" s="179"/>
      <x:c r="N378" s="179"/>
      <x:c r="O378" s="63" t="str">
        <x:v>indeterminate_incomplete_schedule</x:v>
      </x:c>
      <x:c r="P378" s="63" t="str"/>
      <x:c r="Q378" s="143"/>
      <x:c r="R378" s="143"/>
      <x:c r="S378" s="154" t="n">
        <x:v>-113.60206010004657</x:v>
      </x:c>
      <x:c r="T378" s="154" t="n">
        <x:v>53.41993032664957</x:v>
      </x:c>
      <x:c r="U378" s="63" t="str">
        <x:v>approximate</x:v>
      </x:c>
      <x:c r="V378" s="63" t="str">
        <x:v>ALBERTA_MAJOR_PROJECTS</x:v>
      </x:c>
      <x:c r="W378" s="63" t="str">
        <x:v>observed</x:v>
      </x:c>
      <x:c r="X378" s="155" t="n">
        <x:v>46265</x:v>
      </x:c>
      <x:c r="Y378" s="63" t="str">
        <x:v>https://www.majorprojects.alberta.ca/</x:v>
      </x:c>
    </x:row>
    <x:row r="379">
      <x:c r="A379" s="63" t="str">
        <x:v>ABMP_12135</x:v>
      </x:c>
      <x:c r="B379" s="63" t="str">
        <x:v>10-12 High School (Sylvan Lake)</x:v>
      </x:c>
      <x:c r="C379" s="63" t="str">
        <x:v>Schools And Postsecondary</x:v>
      </x:c>
      <x:c r="D379" s="63" t="str">
        <x:v>inferred</x:v>
      </x:c>
      <x:c r="E379" s="63" t="str">
        <x:v>School</x:v>
      </x:c>
      <x:c r="F379" s="63" t="str">
        <x:v>Institutional</x:v>
      </x:c>
      <x:c r="G379" s="63" t="str">
        <x:v>Alberta Infrastructure</x:v>
      </x:c>
      <x:c r="H379" s="63" t="str">
        <x:v>Government Or Public Institution Signal</x:v>
      </x:c>
      <x:c r="I379" s="63" t="str">
        <x:v>inferred</x:v>
      </x:c>
      <x:c r="J379" s="63" t="str">
        <x:v>Sylvan Lake</x:v>
      </x:c>
      <x:c r="K379" s="63" t="str">
        <x:v>Proposed</x:v>
      </x:c>
      <x:c r="L379" s="143"/>
      <x:c r="M379" s="179"/>
      <x:c r="N379" s="179"/>
      <x:c r="O379" s="63" t="str">
        <x:v>indeterminate_incomplete_schedule</x:v>
      </x:c>
      <x:c r="P379" s="63" t="str"/>
      <x:c r="Q379" s="143"/>
      <x:c r="R379" s="143"/>
      <x:c r="S379" s="154" t="n">
        <x:v>-114.0940647698976</x:v>
      </x:c>
      <x:c r="T379" s="154" t="n">
        <x:v>52.29118372395844</x:v>
      </x:c>
      <x:c r="U379" s="63" t="str">
        <x:v>approximate</x:v>
      </x:c>
      <x:c r="V379" s="63" t="str">
        <x:v>ALBERTA_MAJOR_PROJECTS</x:v>
      </x:c>
      <x:c r="W379" s="63" t="str">
        <x:v>observed</x:v>
      </x:c>
      <x:c r="X379" s="155" t="n">
        <x:v>46265</x:v>
      </x:c>
      <x:c r="Y379" s="63" t="str">
        <x:v>https://www.majorprojects.alberta.ca/</x:v>
      </x:c>
    </x:row>
    <x:row r="380">
      <x:c r="A380" s="63" t="str">
        <x:v>ABMP_12156</x:v>
      </x:c>
      <x:c r="B380" s="63" t="str">
        <x:v>5-9 School in Legacy (Calgary)</x:v>
      </x:c>
      <x:c r="C380" s="63" t="str">
        <x:v>Schools And Postsecondary</x:v>
      </x:c>
      <x:c r="D380" s="63" t="str">
        <x:v>inferred</x:v>
      </x:c>
      <x:c r="E380" s="63" t="str">
        <x:v>School</x:v>
      </x:c>
      <x:c r="F380" s="63" t="str">
        <x:v>Institutional</x:v>
      </x:c>
      <x:c r="G380" s="63" t="str">
        <x:v>Alberta Infrastructure</x:v>
      </x:c>
      <x:c r="H380" s="63" t="str">
        <x:v>Government Or Public Institution Signal</x:v>
      </x:c>
      <x:c r="I380" s="63" t="str">
        <x:v>inferred</x:v>
      </x:c>
      <x:c r="J380" s="63" t="str">
        <x:v>Calgary</x:v>
      </x:c>
      <x:c r="K380" s="63" t="str">
        <x:v>Proposed</x:v>
      </x:c>
      <x:c r="L380" s="143"/>
      <x:c r="M380" s="179"/>
      <x:c r="N380" s="179"/>
      <x:c r="O380" s="63" t="str">
        <x:v>indeterminate_incomplete_schedule</x:v>
      </x:c>
      <x:c r="P380" s="63" t="str"/>
      <x:c r="Q380" s="143"/>
      <x:c r="R380" s="143"/>
      <x:c r="S380" s="154" t="n">
        <x:v>-113.99404672596803</x:v>
      </x:c>
      <x:c r="T380" s="154" t="n">
        <x:v>50.86113653220375</x:v>
      </x:c>
      <x:c r="U380" s="63" t="str">
        <x:v>approximate</x:v>
      </x:c>
      <x:c r="V380" s="63" t="str">
        <x:v>ALBERTA_MAJOR_PROJECTS</x:v>
      </x:c>
      <x:c r="W380" s="63" t="str">
        <x:v>observed</x:v>
      </x:c>
      <x:c r="X380" s="155" t="n">
        <x:v>46265</x:v>
      </x:c>
      <x:c r="Y380" s="63" t="str">
        <x:v>https://www.majorprojects.alberta.ca/</x:v>
      </x:c>
    </x:row>
    <x:row r="381">
      <x:c r="A381" s="63" t="str">
        <x:v>ABMP_12160</x:v>
      </x:c>
      <x:c r="B381" s="63" t="str">
        <x:v>7-12 Fort Sask High &amp; Rudolph Henning Jr. High Schools Replacement (Fort Saskatchewan)</x:v>
      </x:c>
      <x:c r="C381" s="63" t="str">
        <x:v>Schools And Postsecondary</x:v>
      </x:c>
      <x:c r="D381" s="63" t="str">
        <x:v>inferred</x:v>
      </x:c>
      <x:c r="E381" s="63" t="str">
        <x:v>School</x:v>
      </x:c>
      <x:c r="F381" s="63" t="str">
        <x:v>Institutional</x:v>
      </x:c>
      <x:c r="G381" s="63" t="str">
        <x:v>Alberta Infrastructure</x:v>
      </x:c>
      <x:c r="H381" s="63" t="str">
        <x:v>Government Or Public Institution Signal</x:v>
      </x:c>
      <x:c r="I381" s="63" t="str">
        <x:v>inferred</x:v>
      </x:c>
      <x:c r="J381" s="63" t="str">
        <x:v>Fort Saskatchewan</x:v>
      </x:c>
      <x:c r="K381" s="63" t="str">
        <x:v>Proposed</x:v>
      </x:c>
      <x:c r="L381" s="143"/>
      <x:c r="M381" s="179"/>
      <x:c r="N381" s="179"/>
      <x:c r="O381" s="63" t="str">
        <x:v>indeterminate_incomplete_schedule</x:v>
      </x:c>
      <x:c r="P381" s="63" t="str"/>
      <x:c r="Q381" s="143"/>
      <x:c r="R381" s="143"/>
      <x:c r="S381" s="154" t="n">
        <x:v>-113.22433463159444</x:v>
      </x:c>
      <x:c r="T381" s="154" t="n">
        <x:v>53.69730046082673</x:v>
      </x:c>
      <x:c r="U381" s="63" t="str">
        <x:v>reported</x:v>
      </x:c>
      <x:c r="V381" s="63" t="str">
        <x:v>ALBERTA_MAJOR_PROJECTS</x:v>
      </x:c>
      <x:c r="W381" s="63" t="str">
        <x:v>observed</x:v>
      </x:c>
      <x:c r="X381" s="155" t="n">
        <x:v>46265</x:v>
      </x:c>
      <x:c r="Y381" s="63" t="str">
        <x:v>https://www.majorprojects.alberta.ca/</x:v>
      </x:c>
    </x:row>
    <x:row r="382">
      <x:c r="A382" s="63" t="str">
        <x:v>ABMP_12138</x:v>
      </x:c>
      <x:c r="B382" s="63" t="str">
        <x:v>7-9 Francophone School in Coral Spring (Calgary)</x:v>
      </x:c>
      <x:c r="C382" s="63" t="str">
        <x:v>Schools And Postsecondary</x:v>
      </x:c>
      <x:c r="D382" s="63" t="str">
        <x:v>inferred</x:v>
      </x:c>
      <x:c r="E382" s="63" t="str">
        <x:v>School</x:v>
      </x:c>
      <x:c r="F382" s="63" t="str">
        <x:v>Institutional</x:v>
      </x:c>
      <x:c r="G382" s="63" t="str">
        <x:v>Alberta Infrastructure</x:v>
      </x:c>
      <x:c r="H382" s="63" t="str">
        <x:v>Government Or Public Institution Signal</x:v>
      </x:c>
      <x:c r="I382" s="63" t="str">
        <x:v>inferred</x:v>
      </x:c>
      <x:c r="J382" s="63" t="str">
        <x:v>Calgary</x:v>
      </x:c>
      <x:c r="K382" s="63" t="str">
        <x:v>Proposed</x:v>
      </x:c>
      <x:c r="L382" s="143"/>
      <x:c r="M382" s="179"/>
      <x:c r="N382" s="179"/>
      <x:c r="O382" s="63" t="str">
        <x:v>indeterminate_incomplete_schedule</x:v>
      </x:c>
      <x:c r="P382" s="63" t="str"/>
      <x:c r="Q382" s="143"/>
      <x:c r="R382" s="143"/>
      <x:c r="S382" s="154" t="n">
        <x:v>-113.92415979394156</x:v>
      </x:c>
      <x:c r="T382" s="154" t="n">
        <x:v>51.10400087631128</x:v>
      </x:c>
      <x:c r="U382" s="63" t="str">
        <x:v>approximate</x:v>
      </x:c>
      <x:c r="V382" s="63" t="str">
        <x:v>ALBERTA_MAJOR_PROJECTS</x:v>
      </x:c>
      <x:c r="W382" s="63" t="str">
        <x:v>observed</x:v>
      </x:c>
      <x:c r="X382" s="155" t="n">
        <x:v>46265</x:v>
      </x:c>
      <x:c r="Y382" s="63" t="str">
        <x:v>https://www.majorprojects.alberta.ca/</x:v>
      </x:c>
    </x:row>
    <x:row r="383">
      <x:c r="A383" s="63" t="str">
        <x:v>ABMP_12145</x:v>
      </x:c>
      <x:c r="B383" s="63" t="str">
        <x:v>9-12 Catholic School (Sylvan Lake)</x:v>
      </x:c>
      <x:c r="C383" s="63" t="str">
        <x:v>Schools And Postsecondary</x:v>
      </x:c>
      <x:c r="D383" s="63" t="str">
        <x:v>inferred</x:v>
      </x:c>
      <x:c r="E383" s="63" t="str">
        <x:v>School</x:v>
      </x:c>
      <x:c r="F383" s="63" t="str">
        <x:v>Institutional</x:v>
      </x:c>
      <x:c r="G383" s="63" t="str">
        <x:v>Alberta Infrastructure</x:v>
      </x:c>
      <x:c r="H383" s="63" t="str">
        <x:v>Government Or Public Institution Signal</x:v>
      </x:c>
      <x:c r="I383" s="63" t="str">
        <x:v>inferred</x:v>
      </x:c>
      <x:c r="J383" s="63" t="str">
        <x:v>Sylvan Lake</x:v>
      </x:c>
      <x:c r="K383" s="63" t="str">
        <x:v>Proposed</x:v>
      </x:c>
      <x:c r="L383" s="143"/>
      <x:c r="M383" s="179"/>
      <x:c r="N383" s="179"/>
      <x:c r="O383" s="63" t="str">
        <x:v>indeterminate_incomplete_schedule</x:v>
      </x:c>
      <x:c r="P383" s="63" t="str"/>
      <x:c r="Q383" s="143"/>
      <x:c r="R383" s="143"/>
      <x:c r="S383" s="154" t="n">
        <x:v>-114.0809910320158</x:v>
      </x:c>
      <x:c r="T383" s="154" t="n">
        <x:v>52.304013238656275</x:v>
      </x:c>
      <x:c r="U383" s="63" t="str">
        <x:v>approximate</x:v>
      </x:c>
      <x:c r="V383" s="63" t="str">
        <x:v>ALBERTA_MAJOR_PROJECTS</x:v>
      </x:c>
      <x:c r="W383" s="63" t="str">
        <x:v>observed</x:v>
      </x:c>
      <x:c r="X383" s="155" t="n">
        <x:v>46265</x:v>
      </x:c>
      <x:c r="Y383" s="63" t="str">
        <x:v>https://www.majorprojects.alberta.ca/</x:v>
      </x:c>
    </x:row>
    <x:row r="384">
      <x:c r="A384" s="63" t="str">
        <x:v>ABMP_12139</x:v>
      </x:c>
      <x:c r="B384" s="63" t="str">
        <x:v>9-12 School in Horse Creek (Cochrane)</x:v>
      </x:c>
      <x:c r="C384" s="63" t="str">
        <x:v>Schools And Postsecondary</x:v>
      </x:c>
      <x:c r="D384" s="63" t="str">
        <x:v>inferred</x:v>
      </x:c>
      <x:c r="E384" s="63" t="str">
        <x:v>School</x:v>
      </x:c>
      <x:c r="F384" s="63" t="str">
        <x:v>Institutional</x:v>
      </x:c>
      <x:c r="G384" s="63" t="str">
        <x:v>Alberta Infrastructure</x:v>
      </x:c>
      <x:c r="H384" s="63" t="str">
        <x:v>Government Or Public Institution Signal</x:v>
      </x:c>
      <x:c r="I384" s="63" t="str">
        <x:v>inferred</x:v>
      </x:c>
      <x:c r="J384" s="63" t="str">
        <x:v>Cochrane</x:v>
      </x:c>
      <x:c r="K384" s="63" t="str">
        <x:v>Proposed</x:v>
      </x:c>
      <x:c r="L384" s="143" t="n">
        <x:v>9100000</x:v>
      </x:c>
      <x:c r="M384" s="179"/>
      <x:c r="N384" s="179"/>
      <x:c r="O384" s="63" t="str">
        <x:v>indeterminate_incomplete_schedule</x:v>
      </x:c>
      <x:c r="P384" s="63" t="str"/>
      <x:c r="Q384" s="143"/>
      <x:c r="R384" s="143"/>
      <x:c r="S384" s="154" t="n">
        <x:v>-114.48254967776292</x:v>
      </x:c>
      <x:c r="T384" s="154" t="n">
        <x:v>51.19629501243552</x:v>
      </x:c>
      <x:c r="U384" s="63" t="str">
        <x:v>approximate</x:v>
      </x:c>
      <x:c r="V384" s="63" t="str">
        <x:v>ALBERTA_MAJOR_PROJECTS</x:v>
      </x:c>
      <x:c r="W384" s="63" t="str">
        <x:v>observed</x:v>
      </x:c>
      <x:c r="X384" s="155" t="n">
        <x:v>46265</x:v>
      </x:c>
      <x:c r="Y384" s="63" t="str">
        <x:v>https://www.majorprojects.alberta.ca/</x:v>
      </x:c>
    </x:row>
    <x:row r="385">
      <x:c r="A385" s="63" t="str">
        <x:v>ABMP_12146</x:v>
      </x:c>
      <x:c r="B385" s="63" t="str">
        <x:v>Addition to 10-12 Joane Cardinal-Schubert High School (Calgary)</x:v>
      </x:c>
      <x:c r="C385" s="63" t="str">
        <x:v>Schools And Postsecondary</x:v>
      </x:c>
      <x:c r="D385" s="63" t="str">
        <x:v>inferred</x:v>
      </x:c>
      <x:c r="E385" s="63" t="str">
        <x:v>School</x:v>
      </x:c>
      <x:c r="F385" s="63" t="str">
        <x:v>Institutional</x:v>
      </x:c>
      <x:c r="G385" s="63" t="str">
        <x:v>Alberta Infrastructure</x:v>
      </x:c>
      <x:c r="H385" s="63" t="str">
        <x:v>Government Or Public Institution Signal</x:v>
      </x:c>
      <x:c r="I385" s="63" t="str">
        <x:v>inferred</x:v>
      </x:c>
      <x:c r="J385" s="63" t="str">
        <x:v>Calgary</x:v>
      </x:c>
      <x:c r="K385" s="63" t="str">
        <x:v>Proposed</x:v>
      </x:c>
      <x:c r="L385" s="143"/>
      <x:c r="M385" s="179"/>
      <x:c r="N385" s="179"/>
      <x:c r="O385" s="63" t="str">
        <x:v>indeterminate_incomplete_schedule</x:v>
      </x:c>
      <x:c r="P385" s="63" t="str"/>
      <x:c r="Q385" s="143"/>
      <x:c r="R385" s="143"/>
      <x:c r="S385" s="154" t="n">
        <x:v>-113.94490666058503</x:v>
      </x:c>
      <x:c r="T385" s="154" t="n">
        <x:v>50.87810301183813</x:v>
      </x:c>
      <x:c r="U385" s="63" t="str">
        <x:v>approximate</x:v>
      </x:c>
      <x:c r="V385" s="63" t="str">
        <x:v>ALBERTA_MAJOR_PROJECTS</x:v>
      </x:c>
      <x:c r="W385" s="63" t="str">
        <x:v>observed</x:v>
      </x:c>
      <x:c r="X385" s="155" t="n">
        <x:v>46265</x:v>
      </x:c>
      <x:c r="Y385" s="63" t="str">
        <x:v>https://www.majorprojects.alberta.ca/</x:v>
      </x:c>
    </x:row>
    <x:row r="386">
      <x:c r="A386" s="63" t="str">
        <x:v>ABMP_11041</x:v>
      </x:c>
      <x:c r="B386" s="63" t="str">
        <x:v>Al Rashid Islamic Elementary School</x:v>
      </x:c>
      <x:c r="C386" s="63" t="str">
        <x:v>Schools And Postsecondary</x:v>
      </x:c>
      <x:c r="D386" s="63" t="str">
        <x:v>inferred</x:v>
      </x:c>
      <x:c r="E386" s="63" t="str">
        <x:v>School</x:v>
      </x:c>
      <x:c r="F386" s="63" t="str">
        <x:v>Institutional</x:v>
      </x:c>
      <x:c r="G386" s="63" t="str">
        <x:v>The Edmonton Islamic Academy</x:v>
      </x:c>
      <x:c r="H386" s="63" t="str">
        <x:v>Unresolved</x:v>
      </x:c>
      <x:c r="I386" s="63" t="str">
        <x:v>inferred</x:v>
      </x:c>
      <x:c r="J386" s="63" t="str">
        <x:v>Edmonton</x:v>
      </x:c>
      <x:c r="K386" s="63" t="str">
        <x:v>Under Construction</x:v>
      </x:c>
      <x:c r="L386" s="143" t="n">
        <x:v>80000000</x:v>
      </x:c>
      <x:c r="M386" s="179" t="n">
        <x:v>2025</x:v>
      </x:c>
      <x:c r="N386" s="179" t="n">
        <x:v>2026</x:v>
      </x:c>
      <x:c r="O386" s="63" t="str">
        <x:v>outside_window</x:v>
      </x:c>
      <x:c r="P386" s="63" t="str"/>
      <x:c r="Q386" s="143" t="n">
        <x:v>40000000</x:v>
      </x:c>
      <x:c r="R386" s="143" t="n">
        <x:v>0</x:v>
      </x:c>
      <x:c r="S386" s="154" t="n">
        <x:v>-113.539729</x:v>
      </x:c>
      <x:c r="T386" s="154" t="n">
        <x:v>53.612957</x:v>
      </x:c>
      <x:c r="U386" s="63" t="str">
        <x:v>reported</x:v>
      </x:c>
      <x:c r="V386" s="63" t="str">
        <x:v>ALBERTA_MAJOR_PROJECTS</x:v>
      </x:c>
      <x:c r="W386" s="63" t="str">
        <x:v>observed</x:v>
      </x:c>
      <x:c r="X386" s="155" t="n">
        <x:v>46265</x:v>
      </x:c>
      <x:c r="Y386" s="63" t="str">
        <x:v>https://www.majorprojects.alberta.ca/</x:v>
      </x:c>
    </x:row>
    <x:row r="387">
      <x:c r="A387" s="63" t="str">
        <x:v>ABMP_11595</x:v>
      </x:c>
      <x:c r="B387" s="63" t="str">
        <x:v>Alberta Classical Academy Currie Campus Expansion</x:v>
      </x:c>
      <x:c r="C387" s="63" t="str">
        <x:v>Schools And Postsecondary</x:v>
      </x:c>
      <x:c r="D387" s="63" t="str">
        <x:v>inferred</x:v>
      </x:c>
      <x:c r="E387" s="63" t="str">
        <x:v>School</x:v>
      </x:c>
      <x:c r="F387" s="63" t="str">
        <x:v>Institutional</x:v>
      </x:c>
      <x:c r="G387" s="63" t="str">
        <x:v>Alberta Classical Academy</x:v>
      </x:c>
      <x:c r="H387" s="63" t="str">
        <x:v>Unresolved</x:v>
      </x:c>
      <x:c r="I387" s="63" t="str">
        <x:v>inferred</x:v>
      </x:c>
      <x:c r="J387" s="63" t="str">
        <x:v>Calgary</x:v>
      </x:c>
      <x:c r="K387" s="63" t="str">
        <x:v>Proposed</x:v>
      </x:c>
      <x:c r="L387" s="143" t="n">
        <x:v>13000000</x:v>
      </x:c>
      <x:c r="M387" s="179"/>
      <x:c r="N387" s="179"/>
      <x:c r="O387" s="63" t="str">
        <x:v>indeterminate_incomplete_schedule</x:v>
      </x:c>
      <x:c r="P387" s="63" t="str"/>
      <x:c r="Q387" s="143"/>
      <x:c r="R387" s="143"/>
      <x:c r="S387" s="154" t="n">
        <x:v>-114.119207</x:v>
      </x:c>
      <x:c r="T387" s="154" t="n">
        <x:v>51.017153</x:v>
      </x:c>
      <x:c r="U387" s="63" t="str">
        <x:v>reported</x:v>
      </x:c>
      <x:c r="V387" s="63" t="str">
        <x:v>ALBERTA_MAJOR_PROJECTS</x:v>
      </x:c>
      <x:c r="W387" s="63" t="str">
        <x:v>observed</x:v>
      </x:c>
      <x:c r="X387" s="155" t="n">
        <x:v>46265</x:v>
      </x:c>
      <x:c r="Y387" s="63" t="str">
        <x:v>https://www.majorprojects.alberta.ca/</x:v>
      </x:c>
    </x:row>
    <x:row r="388">
      <x:c r="A388" s="63" t="str">
        <x:v>ABMP_11435</x:v>
      </x:c>
      <x:c r="B388" s="63" t="str">
        <x:v>Annie Gale Middle School Modernization</x:v>
      </x:c>
      <x:c r="C388" s="63" t="str">
        <x:v>Schools And Postsecondary</x:v>
      </x:c>
      <x:c r="D388" s="63" t="str">
        <x:v>inferred</x:v>
      </x:c>
      <x:c r="E388" s="63" t="str">
        <x:v>School</x:v>
      </x:c>
      <x:c r="F388" s="63" t="str">
        <x:v>Institutional</x:v>
      </x:c>
      <x:c r="G388" s="63" t="str">
        <x:v>Alberta Infrastructure</x:v>
      </x:c>
      <x:c r="H388" s="63" t="str">
        <x:v>Government Or Public Institution Signal</x:v>
      </x:c>
      <x:c r="I388" s="63" t="str">
        <x:v>inferred</x:v>
      </x:c>
      <x:c r="J388" s="63" t="str">
        <x:v>Calgary</x:v>
      </x:c>
      <x:c r="K388" s="63" t="str">
        <x:v>Proposed</x:v>
      </x:c>
      <x:c r="L388" s="143" t="n">
        <x:v>38600000</x:v>
      </x:c>
      <x:c r="M388" s="179"/>
      <x:c r="N388" s="179" t="n">
        <x:v>2028</x:v>
      </x:c>
      <x:c r="O388" s="63" t="str">
        <x:v>indeterminate_incomplete_schedule</x:v>
      </x:c>
      <x:c r="P388" s="63" t="str"/>
      <x:c r="Q388" s="143"/>
      <x:c r="R388" s="143"/>
      <x:c r="S388" s="154" t="n">
        <x:v>-113.969</x:v>
      </x:c>
      <x:c r="T388" s="154" t="n">
        <x:v>51.08903687</x:v>
      </x:c>
      <x:c r="U388" s="63" t="str">
        <x:v>reported</x:v>
      </x:c>
      <x:c r="V388" s="63" t="str">
        <x:v>ALBERTA_MAJOR_PROJECTS</x:v>
      </x:c>
      <x:c r="W388" s="63" t="str">
        <x:v>observed</x:v>
      </x:c>
      <x:c r="X388" s="155" t="n">
        <x:v>46265</x:v>
      </x:c>
      <x:c r="Y388" s="63" t="str">
        <x:v>https://www.majorprojects.alberta.ca/</x:v>
      </x:c>
    </x:row>
    <x:row r="389">
      <x:c r="A389" s="63" t="str">
        <x:v>ABMP_4385</x:v>
      </x:c>
      <x:c r="B389" s="63" t="str">
        <x:v>Athabasca Delta School Replacement</x:v>
      </x:c>
      <x:c r="C389" s="63" t="str">
        <x:v>Schools And Postsecondary</x:v>
      </x:c>
      <x:c r="D389" s="63" t="str">
        <x:v>inferred</x:v>
      </x:c>
      <x:c r="E389" s="63" t="str">
        <x:v>School</x:v>
      </x:c>
      <x:c r="F389" s="63" t="str">
        <x:v>Institutional</x:v>
      </x:c>
      <x:c r="G389" s="63" t="str">
        <x:v>Alberta Infrastructure</x:v>
      </x:c>
      <x:c r="H389" s="63" t="str">
        <x:v>Government Or Public Institution Signal</x:v>
      </x:c>
      <x:c r="I389" s="63" t="str">
        <x:v>inferred</x:v>
      </x:c>
      <x:c r="J389" s="63" t="str">
        <x:v>Wood Buffalo</x:v>
      </x:c>
      <x:c r="K389" s="63" t="str">
        <x:v>Proposed</x:v>
      </x:c>
      <x:c r="L389" s="143" t="n">
        <x:v>25500000</x:v>
      </x:c>
      <x:c r="M389" s="179"/>
      <x:c r="N389" s="179"/>
      <x:c r="O389" s="63" t="str">
        <x:v>indeterminate_incomplete_schedule</x:v>
      </x:c>
      <x:c r="P389" s="63" t="str"/>
      <x:c r="Q389" s="143"/>
      <x:c r="R389" s="143"/>
      <x:c r="S389" s="154" t="n">
        <x:v>-111.149</x:v>
      </x:c>
      <x:c r="T389" s="154" t="n">
        <x:v>58.719368</x:v>
      </x:c>
      <x:c r="U389" s="63" t="str">
        <x:v>approximate</x:v>
      </x:c>
      <x:c r="V389" s="63" t="str">
        <x:v>ALBERTA_MAJOR_PROJECTS</x:v>
      </x:c>
      <x:c r="W389" s="63" t="str">
        <x:v>observed</x:v>
      </x:c>
      <x:c r="X389" s="155" t="n">
        <x:v>46265</x:v>
      </x:c>
      <x:c r="Y389" s="63" t="str">
        <x:v>https://www.majorprojects.alberta.ca/</x:v>
      </x:c>
    </x:row>
    <x:row r="390">
      <x:c r="A390" s="63" t="str">
        <x:v>ABMP_11464</x:v>
      </x:c>
      <x:c r="B390" s="63" t="str">
        <x:v>Barrhead Composite High School Modernization</x:v>
      </x:c>
      <x:c r="C390" s="63" t="str">
        <x:v>Schools And Postsecondary</x:v>
      </x:c>
      <x:c r="D390" s="63" t="str">
        <x:v>inferred</x:v>
      </x:c>
      <x:c r="E390" s="63" t="str">
        <x:v>School</x:v>
      </x:c>
      <x:c r="F390" s="63" t="str">
        <x:v>Institutional</x:v>
      </x:c>
      <x:c r="G390" s="63" t="str">
        <x:v>Alberta Infrastructure</x:v>
      </x:c>
      <x:c r="H390" s="63" t="str">
        <x:v>Government Or Public Institution Signal</x:v>
      </x:c>
      <x:c r="I390" s="63" t="str">
        <x:v>inferred</x:v>
      </x:c>
      <x:c r="J390" s="63" t="str">
        <x:v>Barrhead</x:v>
      </x:c>
      <x:c r="K390" s="63" t="str">
        <x:v>Under Construction</x:v>
      </x:c>
      <x:c r="L390" s="143" t="n">
        <x:v>68300000</x:v>
      </x:c>
      <x:c r="M390" s="179" t="n">
        <x:v>2025</x:v>
      </x:c>
      <x:c r="N390" s="179" t="n">
        <x:v>2028</x:v>
      </x:c>
      <x:c r="O390" s="63" t="str">
        <x:v>overlaps</x:v>
      </x:c>
      <x:c r="P390" s="63" t="str">
        <x:v>2027|2028</x:v>
      </x:c>
      <x:c r="Q390" s="143" t="n">
        <x:v>17075000</x:v>
      </x:c>
      <x:c r="R390" s="143" t="n">
        <x:v>34150000</x:v>
      </x:c>
      <x:c r="S390" s="154" t="n">
        <x:v>-114.407</x:v>
      </x:c>
      <x:c r="T390" s="154" t="n">
        <x:v>54.12405</x:v>
      </x:c>
      <x:c r="U390" s="63" t="str">
        <x:v>reported</x:v>
      </x:c>
      <x:c r="V390" s="63" t="str">
        <x:v>ALBERTA_MAJOR_PROJECTS</x:v>
      </x:c>
      <x:c r="W390" s="63" t="str">
        <x:v>observed</x:v>
      </x:c>
      <x:c r="X390" s="155" t="n">
        <x:v>46265</x:v>
      </x:c>
      <x:c r="Y390" s="63" t="str">
        <x:v>https://www.majorprojects.alberta.ca/</x:v>
      </x:c>
    </x:row>
    <x:row r="391">
      <x:c r="A391" s="63" t="str">
        <x:v>ABMP_11408</x:v>
      </x:c>
      <x:c r="B391" s="63" t="str">
        <x:v>Beaver Lake School Replacement</x:v>
      </x:c>
      <x:c r="C391" s="63" t="str">
        <x:v>Schools And Postsecondary</x:v>
      </x:c>
      <x:c r="D391" s="63" t="str">
        <x:v>inferred</x:v>
      </x:c>
      <x:c r="E391" s="63" t="str">
        <x:v>School</x:v>
      </x:c>
      <x:c r="F391" s="63" t="str">
        <x:v>Institutional</x:v>
      </x:c>
      <x:c r="G391" s="63" t="str">
        <x:v>Beaver Lake Cree Nation</x:v>
      </x:c>
      <x:c r="H391" s="63" t="str">
        <x:v>Unresolved</x:v>
      </x:c>
      <x:c r="I391" s="63" t="str">
        <x:v>inferred</x:v>
      </x:c>
      <x:c r="J391" s="63" t="str">
        <x:v>Beaver Lake 131</x:v>
      </x:c>
      <x:c r="K391" s="63" t="str">
        <x:v>Under Construction</x:v>
      </x:c>
      <x:c r="L391" s="143" t="n">
        <x:v>40000000</x:v>
      </x:c>
      <x:c r="M391" s="179" t="n">
        <x:v>2024</x:v>
      </x:c>
      <x:c r="N391" s="179" t="n">
        <x:v>2027</x:v>
      </x:c>
      <x:c r="O391" s="63" t="str">
        <x:v>overlaps</x:v>
      </x:c>
      <x:c r="P391" s="63" t="str">
        <x:v>2027</x:v>
      </x:c>
      <x:c r="Q391" s="143" t="n">
        <x:v>10000000</x:v>
      </x:c>
      <x:c r="R391" s="143" t="n">
        <x:v>10000000</x:v>
      </x:c>
      <x:c r="S391" s="154" t="n">
        <x:v>-111.9078</x:v>
      </x:c>
      <x:c r="T391" s="154" t="n">
        <x:v>54.67797</x:v>
      </x:c>
      <x:c r="U391" s="63" t="str">
        <x:v>reported</x:v>
      </x:c>
      <x:c r="V391" s="63" t="str">
        <x:v>ALBERTA_MAJOR_PROJECTS</x:v>
      </x:c>
      <x:c r="W391" s="63" t="str">
        <x:v>observed</x:v>
      </x:c>
      <x:c r="X391" s="155" t="n">
        <x:v>46265</x:v>
      </x:c>
      <x:c r="Y391" s="63" t="str">
        <x:v>https://www.majorprojects.alberta.ca/</x:v>
      </x:c>
    </x:row>
    <x:row r="392">
      <x:c r="A392" s="63" t="str">
        <x:v>ABMP_4396</x:v>
      </x:c>
      <x:c r="B392" s="63" t="str">
        <x:v>Bellerose Composite High School Modernization</x:v>
      </x:c>
      <x:c r="C392" s="63" t="str">
        <x:v>Schools And Postsecondary</x:v>
      </x:c>
      <x:c r="D392" s="63" t="str">
        <x:v>inferred</x:v>
      </x:c>
      <x:c r="E392" s="63" t="str">
        <x:v>School</x:v>
      </x:c>
      <x:c r="F392" s="63" t="str">
        <x:v>Institutional</x:v>
      </x:c>
      <x:c r="G392" s="63" t="str">
        <x:v>Alberta Infrastructure</x:v>
      </x:c>
      <x:c r="H392" s="63" t="str">
        <x:v>Government Or Public Institution Signal</x:v>
      </x:c>
      <x:c r="I392" s="63" t="str">
        <x:v>inferred</x:v>
      </x:c>
      <x:c r="J392" s="63" t="str">
        <x:v>St. Albert</x:v>
      </x:c>
      <x:c r="K392" s="63" t="str">
        <x:v>Under Construction</x:v>
      </x:c>
      <x:c r="L392" s="143" t="n">
        <x:v>46300000</x:v>
      </x:c>
      <x:c r="M392" s="179" t="n">
        <x:v>2024</x:v>
      </x:c>
      <x:c r="N392" s="179" t="n">
        <x:v>2026</x:v>
      </x:c>
      <x:c r="O392" s="63" t="str">
        <x:v>outside_window</x:v>
      </x:c>
      <x:c r="P392" s="63" t="str"/>
      <x:c r="Q392" s="143" t="n">
        <x:v>15433333.333333334</x:v>
      </x:c>
      <x:c r="R392" s="143" t="n">
        <x:v>0</x:v>
      </x:c>
      <x:c r="S392" s="154" t="n">
        <x:v>-113.659</x:v>
      </x:c>
      <x:c r="T392" s="154" t="n">
        <x:v>53.648015</x:v>
      </x:c>
      <x:c r="U392" s="63" t="str">
        <x:v>reported</x:v>
      </x:c>
      <x:c r="V392" s="63" t="str">
        <x:v>ALBERTA_MAJOR_PROJECTS</x:v>
      </x:c>
      <x:c r="W392" s="63" t="str">
        <x:v>observed</x:v>
      </x:c>
      <x:c r="X392" s="155" t="n">
        <x:v>46265</x:v>
      </x:c>
      <x:c r="Y392" s="63" t="str">
        <x:v>https://www.majorprojects.alberta.ca/</x:v>
      </x:c>
    </x:row>
    <x:row r="393">
      <x:c r="A393" s="63" t="str">
        <x:v>ABMP_11637</x:v>
      </x:c>
      <x:c r="B393" s="63" t="str">
        <x:v>Bishop McNally High School Modernization &amp; Addition</x:v>
      </x:c>
      <x:c r="C393" s="63" t="str">
        <x:v>Schools And Postsecondary</x:v>
      </x:c>
      <x:c r="D393" s="63" t="str">
        <x:v>inferred</x:v>
      </x:c>
      <x:c r="E393" s="63" t="str">
        <x:v>School</x:v>
      </x:c>
      <x:c r="F393" s="63" t="str">
        <x:v>Institutional</x:v>
      </x:c>
      <x:c r="G393" s="63" t="str">
        <x:v>Alberta Infrastructure</x:v>
      </x:c>
      <x:c r="H393" s="63" t="str">
        <x:v>Government Or Public Institution Signal</x:v>
      </x:c>
      <x:c r="I393" s="63" t="str">
        <x:v>inferred</x:v>
      </x:c>
      <x:c r="J393" s="63" t="str">
        <x:v>Calgary</x:v>
      </x:c>
      <x:c r="K393" s="63" t="str">
        <x:v>Proposed</x:v>
      </x:c>
      <x:c r="L393" s="143" t="n">
        <x:v>6300000</x:v>
      </x:c>
      <x:c r="M393" s="179"/>
      <x:c r="N393" s="179" t="n">
        <x:v>2031</x:v>
      </x:c>
      <x:c r="O393" s="63" t="str">
        <x:v>indeterminate_incomplete_schedule</x:v>
      </x:c>
      <x:c r="P393" s="63" t="str"/>
      <x:c r="Q393" s="143"/>
      <x:c r="R393" s="143"/>
      <x:c r="S393" s="154" t="n">
        <x:v>-113.9537424</x:v>
      </x:c>
      <x:c r="T393" s="154" t="n">
        <x:v>51.10310574</x:v>
      </x:c>
      <x:c r="U393" s="63" t="str">
        <x:v>reported</x:v>
      </x:c>
      <x:c r="V393" s="63" t="str">
        <x:v>ALBERTA_MAJOR_PROJECTS</x:v>
      </x:c>
      <x:c r="W393" s="63" t="str">
        <x:v>observed</x:v>
      </x:c>
      <x:c r="X393" s="155" t="n">
        <x:v>46265</x:v>
      </x:c>
      <x:c r="Y393" s="63" t="str">
        <x:v>https://www.majorprojects.alberta.ca/</x:v>
      </x:c>
    </x:row>
    <x:row r="394">
      <x:c r="A394" s="63" t="str">
        <x:v>ABMP_10676</x:v>
      </x:c>
      <x:c r="B394" s="63" t="str">
        <x:v>Bow Valley High School Addition &amp; Modernization</x:v>
      </x:c>
      <x:c r="C394" s="63" t="str">
        <x:v>Schools And Postsecondary</x:v>
      </x:c>
      <x:c r="D394" s="63" t="str">
        <x:v>inferred</x:v>
      </x:c>
      <x:c r="E394" s="63" t="str">
        <x:v>School</x:v>
      </x:c>
      <x:c r="F394" s="63" t="str">
        <x:v>Institutional</x:v>
      </x:c>
      <x:c r="G394" s="63" t="str">
        <x:v>Alberta Infrastructure</x:v>
      </x:c>
      <x:c r="H394" s="63" t="str">
        <x:v>Government Or Public Institution Signal</x:v>
      </x:c>
      <x:c r="I394" s="63" t="str">
        <x:v>inferred</x:v>
      </x:c>
      <x:c r="J394" s="63" t="str">
        <x:v>Cochrane</x:v>
      </x:c>
      <x:c r="K394" s="63" t="str">
        <x:v>Under Construction</x:v>
      </x:c>
      <x:c r="L394" s="143" t="n">
        <x:v>55100000</x:v>
      </x:c>
      <x:c r="M394" s="179" t="n">
        <x:v>2024</x:v>
      </x:c>
      <x:c r="N394" s="179" t="n">
        <x:v>2026</x:v>
      </x:c>
      <x:c r="O394" s="63" t="str">
        <x:v>outside_window</x:v>
      </x:c>
      <x:c r="P394" s="63" t="str"/>
      <x:c r="Q394" s="143" t="n">
        <x:v>18366666.666666668</x:v>
      </x:c>
      <x:c r="R394" s="143" t="n">
        <x:v>0</x:v>
      </x:c>
      <x:c r="S394" s="154" t="n">
        <x:v>-114.454</x:v>
      </x:c>
      <x:c r="T394" s="154" t="n">
        <x:v>51.1643727</x:v>
      </x:c>
      <x:c r="U394" s="63" t="str">
        <x:v>reported</x:v>
      </x:c>
      <x:c r="V394" s="63" t="str">
        <x:v>ALBERTA_MAJOR_PROJECTS</x:v>
      </x:c>
      <x:c r="W394" s="63" t="str">
        <x:v>observed</x:v>
      </x:c>
      <x:c r="X394" s="155" t="n">
        <x:v>46265</x:v>
      </x:c>
      <x:c r="Y394" s="63" t="str">
        <x:v>https://www.majorprojects.alberta.ca/</x:v>
      </x:c>
    </x:row>
    <x:row r="395">
      <x:c r="A395" s="63" t="str">
        <x:v>ABMP_11429</x:v>
      </x:c>
      <x:c r="B395" s="63" t="str">
        <x:v>Breton School K-12 Modernization</x:v>
      </x:c>
      <x:c r="C395" s="63" t="str">
        <x:v>Schools And Postsecondary</x:v>
      </x:c>
      <x:c r="D395" s="63" t="str">
        <x:v>inferred</x:v>
      </x:c>
      <x:c r="E395" s="63" t="str">
        <x:v>School</x:v>
      </x:c>
      <x:c r="F395" s="63" t="str">
        <x:v>Institutional</x:v>
      </x:c>
      <x:c r="G395" s="63" t="str">
        <x:v>Alberta Infrastructure</x:v>
      </x:c>
      <x:c r="H395" s="63" t="str">
        <x:v>Government Or Public Institution Signal</x:v>
      </x:c>
      <x:c r="I395" s="63" t="str">
        <x:v>inferred</x:v>
      </x:c>
      <x:c r="J395" s="63" t="str">
        <x:v>Breton</x:v>
      </x:c>
      <x:c r="K395" s="63" t="str">
        <x:v>Under Construction</x:v>
      </x:c>
      <x:c r="L395" s="143" t="n">
        <x:v>32400000</x:v>
      </x:c>
      <x:c r="M395" s="179" t="n">
        <x:v>2025</x:v>
      </x:c>
      <x:c r="N395" s="179" t="n">
        <x:v>2027</x:v>
      </x:c>
      <x:c r="O395" s="63" t="str">
        <x:v>overlaps</x:v>
      </x:c>
      <x:c r="P395" s="63" t="str">
        <x:v>2027</x:v>
      </x:c>
      <x:c r="Q395" s="143" t="n">
        <x:v>10800000</x:v>
      </x:c>
      <x:c r="R395" s="143" t="n">
        <x:v>10800000</x:v>
      </x:c>
      <x:c r="S395" s="154" t="n">
        <x:v>-114.467</x:v>
      </x:c>
      <x:c r="T395" s="154" t="n">
        <x:v>53.11013</x:v>
      </x:c>
      <x:c r="U395" s="63" t="str">
        <x:v>reported</x:v>
      </x:c>
      <x:c r="V395" s="63" t="str">
        <x:v>ALBERTA_MAJOR_PROJECTS</x:v>
      </x:c>
      <x:c r="W395" s="63" t="str">
        <x:v>observed</x:v>
      </x:c>
      <x:c r="X395" s="155" t="n">
        <x:v>46265</x:v>
      </x:c>
      <x:c r="Y395" s="63" t="str">
        <x:v>https://www.majorprojects.alberta.ca/</x:v>
      </x:c>
    </x:row>
    <x:row r="396">
      <x:c r="A396" s="63" t="str">
        <x:v>ABMP_11714</x:v>
      </x:c>
      <x:c r="B396" s="63" t="str">
        <x:v>Brooks Composite High School Modernization</x:v>
      </x:c>
      <x:c r="C396" s="63" t="str">
        <x:v>Schools And Postsecondary</x:v>
      </x:c>
      <x:c r="D396" s="63" t="str">
        <x:v>inferred</x:v>
      </x:c>
      <x:c r="E396" s="63" t="str">
        <x:v>School</x:v>
      </x:c>
      <x:c r="F396" s="63" t="str">
        <x:v>Institutional</x:v>
      </x:c>
      <x:c r="G396" s="63" t="str">
        <x:v>Alberta Infrastructure</x:v>
      </x:c>
      <x:c r="H396" s="63" t="str">
        <x:v>Government Or Public Institution Signal</x:v>
      </x:c>
      <x:c r="I396" s="63" t="str">
        <x:v>inferred</x:v>
      </x:c>
      <x:c r="J396" s="63" t="str">
        <x:v>Brooks</x:v>
      </x:c>
      <x:c r="K396" s="63" t="str">
        <x:v>Proposed</x:v>
      </x:c>
      <x:c r="L396" s="143"/>
      <x:c r="M396" s="179"/>
      <x:c r="N396" s="179" t="n">
        <x:v>2029</x:v>
      </x:c>
      <x:c r="O396" s="63" t="str">
        <x:v>indeterminate_incomplete_schedule</x:v>
      </x:c>
      <x:c r="P396" s="63" t="str"/>
      <x:c r="Q396" s="143"/>
      <x:c r="R396" s="143"/>
      <x:c r="S396" s="154" t="n">
        <x:v>-111.8868362</x:v>
      </x:c>
      <x:c r="T396" s="154" t="n">
        <x:v>50.5678672</x:v>
      </x:c>
      <x:c r="U396" s="63" t="str">
        <x:v>reported</x:v>
      </x:c>
      <x:c r="V396" s="63" t="str">
        <x:v>ALBERTA_MAJOR_PROJECTS</x:v>
      </x:c>
      <x:c r="W396" s="63" t="str">
        <x:v>observed</x:v>
      </x:c>
      <x:c r="X396" s="155" t="n">
        <x:v>46265</x:v>
      </x:c>
      <x:c r="Y396" s="63" t="str">
        <x:v>https://www.majorprojects.alberta.ca/</x:v>
      </x:c>
    </x:row>
    <x:row r="397">
      <x:c r="A397" s="63" t="str">
        <x:v>ABMP_11250</x:v>
      </x:c>
      <x:c r="B397" s="63" t="str">
        <x:v>Brooks Junior High School Replacement</x:v>
      </x:c>
      <x:c r="C397" s="63" t="str">
        <x:v>Schools And Postsecondary</x:v>
      </x:c>
      <x:c r="D397" s="63" t="str">
        <x:v>inferred</x:v>
      </x:c>
      <x:c r="E397" s="63" t="str">
        <x:v>School</x:v>
      </x:c>
      <x:c r="F397" s="63" t="str">
        <x:v>Institutional</x:v>
      </x:c>
      <x:c r="G397" s="63" t="str">
        <x:v>Alberta Infrastructure</x:v>
      </x:c>
      <x:c r="H397" s="63" t="str">
        <x:v>Government Or Public Institution Signal</x:v>
      </x:c>
      <x:c r="I397" s="63" t="str">
        <x:v>inferred</x:v>
      </x:c>
      <x:c r="J397" s="63" t="str">
        <x:v>Brooks</x:v>
      </x:c>
      <x:c r="K397" s="63" t="str">
        <x:v>Under Construction</x:v>
      </x:c>
      <x:c r="L397" s="143" t="n">
        <x:v>48300000</x:v>
      </x:c>
      <x:c r="M397" s="179" t="n">
        <x:v>2025</x:v>
      </x:c>
      <x:c r="N397" s="179"/>
      <x:c r="O397" s="63" t="str">
        <x:v>indeterminate_incomplete_schedule</x:v>
      </x:c>
      <x:c r="P397" s="63" t="str"/>
      <x:c r="Q397" s="143"/>
      <x:c r="R397" s="143"/>
      <x:c r="S397" s="154" t="n">
        <x:v>-111.892</x:v>
      </x:c>
      <x:c r="T397" s="154" t="n">
        <x:v>50.56826005</x:v>
      </x:c>
      <x:c r="U397" s="63" t="str">
        <x:v>approximate</x:v>
      </x:c>
      <x:c r="V397" s="63" t="str">
        <x:v>ALBERTA_MAJOR_PROJECTS</x:v>
      </x:c>
      <x:c r="W397" s="63" t="str">
        <x:v>observed</x:v>
      </x:c>
      <x:c r="X397" s="155" t="n">
        <x:v>46265</x:v>
      </x:c>
      <x:c r="Y397" s="63" t="str">
        <x:v>https://www.majorprojects.alberta.ca/</x:v>
      </x:c>
    </x:row>
    <x:row r="398">
      <x:c r="A398" s="63" t="str">
        <x:v>ABMP_12032</x:v>
      </x:c>
      <x:c r="B398" s="63" t="str">
        <x:v>Centre for Innovation in Manufacturing-Technology Access Centre Expansion</x:v>
      </x:c>
      <x:c r="C398" s="63" t="str">
        <x:v>Schools And Postsecondary</x:v>
      </x:c>
      <x:c r="D398" s="63" t="str">
        <x:v>inferred</x:v>
      </x:c>
      <x:c r="E398" s="63" t="str">
        <x:v>Post-Secondary</x:v>
      </x:c>
      <x:c r="F398" s="63" t="str">
        <x:v>Institutional</x:v>
      </x:c>
      <x:c r="G398" s="63" t="str">
        <x:v>Red Deer Polytechnic</x:v>
      </x:c>
      <x:c r="H398" s="63" t="str">
        <x:v>Unresolved</x:v>
      </x:c>
      <x:c r="I398" s="63" t="str">
        <x:v>inferred</x:v>
      </x:c>
      <x:c r="J398" s="63" t="str">
        <x:v>Red Deer</x:v>
      </x:c>
      <x:c r="K398" s="63" t="str">
        <x:v>Under Construction</x:v>
      </x:c>
      <x:c r="L398" s="143" t="n">
        <x:v>21300000</x:v>
      </x:c>
      <x:c r="M398" s="179" t="n">
        <x:v>2025</x:v>
      </x:c>
      <x:c r="N398" s="179" t="n">
        <x:v>2026</x:v>
      </x:c>
      <x:c r="O398" s="63" t="str">
        <x:v>outside_window</x:v>
      </x:c>
      <x:c r="P398" s="63" t="str"/>
      <x:c r="Q398" s="143" t="n">
        <x:v>10650000</x:v>
      </x:c>
      <x:c r="R398" s="143" t="n">
        <x:v>0</x:v>
      </x:c>
      <x:c r="S398" s="154" t="n">
        <x:v>-113.829494</x:v>
      </x:c>
      <x:c r="T398" s="154" t="n">
        <x:v>52.246413</x:v>
      </x:c>
      <x:c r="U398" s="63" t="str">
        <x:v>reported</x:v>
      </x:c>
      <x:c r="V398" s="63" t="str">
        <x:v>ALBERTA_MAJOR_PROJECTS</x:v>
      </x:c>
      <x:c r="W398" s="63" t="str">
        <x:v>observed</x:v>
      </x:c>
      <x:c r="X398" s="155" t="n">
        <x:v>46265</x:v>
      </x:c>
      <x:c r="Y398" s="63" t="str">
        <x:v>https://www.majorprojects.alberta.ca/</x:v>
      </x:c>
    </x:row>
    <x:row r="399">
      <x:c r="A399" s="63" t="str">
        <x:v>ABMP_11771</x:v>
      </x:c>
      <x:c r="B399" s="63" t="str">
        <x:v>Coalhurst 7-12 School Modernization</x:v>
      </x:c>
      <x:c r="C399" s="63" t="str">
        <x:v>Schools And Postsecondary</x:v>
      </x:c>
      <x:c r="D399" s="63" t="str">
        <x:v>inferred</x:v>
      </x:c>
      <x:c r="E399" s="63" t="str">
        <x:v>School</x:v>
      </x:c>
      <x:c r="F399" s="63" t="str">
        <x:v>Institutional</x:v>
      </x:c>
      <x:c r="G399" s="63" t="str">
        <x:v>Alberta Infrastructure</x:v>
      </x:c>
      <x:c r="H399" s="63" t="str">
        <x:v>Government Or Public Institution Signal</x:v>
      </x:c>
      <x:c r="I399" s="63" t="str">
        <x:v>inferred</x:v>
      </x:c>
      <x:c r="J399" s="63" t="str">
        <x:v>Coalhurst</x:v>
      </x:c>
      <x:c r="K399" s="63" t="str">
        <x:v>Proposed</x:v>
      </x:c>
      <x:c r="L399" s="143"/>
      <x:c r="M399" s="179"/>
      <x:c r="N399" s="179" t="n">
        <x:v>2029</x:v>
      </x:c>
      <x:c r="O399" s="63" t="str">
        <x:v>indeterminate_incomplete_schedule</x:v>
      </x:c>
      <x:c r="P399" s="63" t="str"/>
      <x:c r="Q399" s="143"/>
      <x:c r="R399" s="143"/>
      <x:c r="S399" s="154" t="n">
        <x:v>-112.928662</x:v>
      </x:c>
      <x:c r="T399" s="154" t="n">
        <x:v>49.748388</x:v>
      </x:c>
      <x:c r="U399" s="63" t="str">
        <x:v>reported</x:v>
      </x:c>
      <x:c r="V399" s="63" t="str">
        <x:v>ALBERTA_MAJOR_PROJECTS</x:v>
      </x:c>
      <x:c r="W399" s="63" t="str">
        <x:v>observed</x:v>
      </x:c>
      <x:c r="X399" s="155" t="n">
        <x:v>46265</x:v>
      </x:c>
      <x:c r="Y399" s="63" t="str">
        <x:v>https://www.majorprojects.alberta.ca/</x:v>
      </x:c>
    </x:row>
    <x:row r="400">
      <x:c r="A400" s="63" t="str">
        <x:v>ABMP_11882</x:v>
      </x:c>
      <x:c r="B400" s="63" t="str">
        <x:v>Concordia University - Student Dormitory</x:v>
      </x:c>
      <x:c r="C400" s="63" t="str">
        <x:v>Schools And Postsecondary</x:v>
      </x:c>
      <x:c r="D400" s="63" t="str">
        <x:v>inferred</x:v>
      </x:c>
      <x:c r="E400" s="63" t="str">
        <x:v>Post-Secondary</x:v>
      </x:c>
      <x:c r="F400" s="63" t="str">
        <x:v>Institutional</x:v>
      </x:c>
      <x:c r="G400" s="63" t="str">
        <x:v>Concordia University</x:v>
      </x:c>
      <x:c r="H400" s="63" t="str">
        <x:v>Government Or Public Institution Signal</x:v>
      </x:c>
      <x:c r="I400" s="63" t="str">
        <x:v>inferred</x:v>
      </x:c>
      <x:c r="J400" s="63" t="str">
        <x:v>Edmonton</x:v>
      </x:c>
      <x:c r="K400" s="63" t="str">
        <x:v>Under Construction</x:v>
      </x:c>
      <x:c r="L400" s="143" t="n">
        <x:v>22600000</x:v>
      </x:c>
      <x:c r="M400" s="179" t="n">
        <x:v>2025</x:v>
      </x:c>
      <x:c r="N400" s="179" t="n">
        <x:v>2027</x:v>
      </x:c>
      <x:c r="O400" s="63" t="str">
        <x:v>overlaps</x:v>
      </x:c>
      <x:c r="P400" s="63" t="str">
        <x:v>2027</x:v>
      </x:c>
      <x:c r="Q400" s="143" t="n">
        <x:v>7533333.333333333</x:v>
      </x:c>
      <x:c r="R400" s="143" t="n">
        <x:v>7533333.333333333</x:v>
      </x:c>
      <x:c r="S400" s="154" t="n">
        <x:v>-113.448429</x:v>
      </x:c>
      <x:c r="T400" s="154" t="n">
        <x:v>53.56182</x:v>
      </x:c>
      <x:c r="U400" s="63" t="str">
        <x:v>reported</x:v>
      </x:c>
      <x:c r="V400" s="63" t="str">
        <x:v>ALBERTA_MAJOR_PROJECTS</x:v>
      </x:c>
      <x:c r="W400" s="63" t="str">
        <x:v>observed</x:v>
      </x:c>
      <x:c r="X400" s="155" t="n">
        <x:v>46265</x:v>
      </x:c>
      <x:c r="Y400" s="63" t="str">
        <x:v>https://www.majorprojects.alberta.ca/</x:v>
      </x:c>
    </x:row>
    <x:row r="401">
      <x:c r="A401" s="63" t="str">
        <x:v>ABMP_11456</x:v>
      </x:c>
      <x:c r="B401" s="63" t="str">
        <x:v>Delton K-6 Replacement School</x:v>
      </x:c>
      <x:c r="C401" s="63" t="str">
        <x:v>Schools And Postsecondary</x:v>
      </x:c>
      <x:c r="D401" s="63" t="str">
        <x:v>inferred</x:v>
      </x:c>
      <x:c r="E401" s="63" t="str">
        <x:v>School</x:v>
      </x:c>
      <x:c r="F401" s="63" t="str">
        <x:v>Institutional</x:v>
      </x:c>
      <x:c r="G401" s="63" t="str">
        <x:v>Alberta Infrastructure</x:v>
      </x:c>
      <x:c r="H401" s="63" t="str">
        <x:v>Government Or Public Institution Signal</x:v>
      </x:c>
      <x:c r="I401" s="63" t="str">
        <x:v>inferred</x:v>
      </x:c>
      <x:c r="J401" s="63" t="str">
        <x:v>Edmonton</x:v>
      </x:c>
      <x:c r="K401" s="63" t="str">
        <x:v>Under Construction</x:v>
      </x:c>
      <x:c r="L401" s="143" t="n">
        <x:v>57400000</x:v>
      </x:c>
      <x:c r="M401" s="179" t="n">
        <x:v>2026</x:v>
      </x:c>
      <x:c r="N401" s="179" t="n">
        <x:v>2028</x:v>
      </x:c>
      <x:c r="O401" s="63" t="str">
        <x:v>overlaps</x:v>
      </x:c>
      <x:c r="P401" s="63" t="str">
        <x:v>2027|2028</x:v>
      </x:c>
      <x:c r="Q401" s="143" t="n">
        <x:v>19133333.333333332</x:v>
      </x:c>
      <x:c r="R401" s="143" t="n">
        <x:v>38266666.666666664</x:v>
      </x:c>
      <x:c r="S401" s="154" t="n">
        <x:v>-113.478</x:v>
      </x:c>
      <x:c r="T401" s="154" t="n">
        <x:v>53.57604609</x:v>
      </x:c>
      <x:c r="U401" s="63" t="str">
        <x:v>reported</x:v>
      </x:c>
      <x:c r="V401" s="63" t="str">
        <x:v>ALBERTA_MAJOR_PROJECTS</x:v>
      </x:c>
      <x:c r="W401" s="63" t="str">
        <x:v>observed</x:v>
      </x:c>
      <x:c r="X401" s="155" t="n">
        <x:v>46265</x:v>
      </x:c>
      <x:c r="Y401" s="63" t="str">
        <x:v>https://www.majorprojects.alberta.ca/</x:v>
      </x:c>
    </x:row>
    <x:row r="402">
      <x:c r="A402" s="63" t="str">
        <x:v>ABMP_11667</x:v>
      </x:c>
      <x:c r="B402" s="63" t="str">
        <x:v>Dr. Anne Anderson High School Addition</x:v>
      </x:c>
      <x:c r="C402" s="63" t="str">
        <x:v>Schools And Postsecondary</x:v>
      </x:c>
      <x:c r="D402" s="63" t="str">
        <x:v>inferred</x:v>
      </x:c>
      <x:c r="E402" s="63" t="str">
        <x:v>School</x:v>
      </x:c>
      <x:c r="F402" s="63" t="str">
        <x:v>Institutional</x:v>
      </x:c>
      <x:c r="G402" s="63" t="str">
        <x:v>Alberta Infrastructure</x:v>
      </x:c>
      <x:c r="H402" s="63" t="str">
        <x:v>Government Or Public Institution Signal</x:v>
      </x:c>
      <x:c r="I402" s="63" t="str">
        <x:v>inferred</x:v>
      </x:c>
      <x:c r="J402" s="63" t="str">
        <x:v>Edmonton</x:v>
      </x:c>
      <x:c r="K402" s="63" t="str">
        <x:v>Proposed</x:v>
      </x:c>
      <x:c r="L402" s="143"/>
      <x:c r="M402" s="179"/>
      <x:c r="N402" s="179"/>
      <x:c r="O402" s="63" t="str">
        <x:v>indeterminate_incomplete_schedule</x:v>
      </x:c>
      <x:c r="P402" s="63" t="str"/>
      <x:c r="Q402" s="143"/>
      <x:c r="R402" s="143"/>
      <x:c r="S402" s="154" t="n">
        <x:v>-113.54303987</x:v>
      </x:c>
      <x:c r="T402" s="154" t="n">
        <x:v>53.4020925</x:v>
      </x:c>
      <x:c r="U402" s="63" t="str">
        <x:v>reported</x:v>
      </x:c>
      <x:c r="V402" s="63" t="str">
        <x:v>ALBERTA_MAJOR_PROJECTS</x:v>
      </x:c>
      <x:c r="W402" s="63" t="str">
        <x:v>observed</x:v>
      </x:c>
      <x:c r="X402" s="155" t="n">
        <x:v>46265</x:v>
      </x:c>
      <x:c r="Y402" s="63" t="str">
        <x:v>https://www.majorprojects.alberta.ca/</x:v>
      </x:c>
    </x:row>
    <x:row r="403">
      <x:c r="A403" s="63" t="str">
        <x:v>ABMP_11596</x:v>
      </x:c>
      <x:c r="B403" s="63" t="str">
        <x:v>Eastgate K-12 School Campus Modernization</x:v>
      </x:c>
      <x:c r="C403" s="63" t="str">
        <x:v>Schools And Postsecondary</x:v>
      </x:c>
      <x:c r="D403" s="63" t="str">
        <x:v>inferred</x:v>
      </x:c>
      <x:c r="E403" s="63" t="str">
        <x:v>School</x:v>
      </x:c>
      <x:c r="F403" s="63" t="str">
        <x:v>Institutional</x:v>
      </x:c>
      <x:c r="G403" s="63" t="str">
        <x:v>Alberta Infrastructure</x:v>
      </x:c>
      <x:c r="H403" s="63" t="str">
        <x:v>Government Or Public Institution Signal</x:v>
      </x:c>
      <x:c r="I403" s="63" t="str">
        <x:v>inferred</x:v>
      </x:c>
      <x:c r="J403" s="63" t="str">
        <x:v>Edmonton</x:v>
      </x:c>
      <x:c r="K403" s="63" t="str">
        <x:v>Proposed</x:v>
      </x:c>
      <x:c r="L403" s="143" t="n">
        <x:v>7800000</x:v>
      </x:c>
      <x:c r="M403" s="179"/>
      <x:c r="N403" s="179" t="n">
        <x:v>2027</x:v>
      </x:c>
      <x:c r="O403" s="63" t="str">
        <x:v>indeterminate_incomplete_schedule</x:v>
      </x:c>
      <x:c r="P403" s="63" t="str"/>
      <x:c r="Q403" s="143"/>
      <x:c r="R403" s="143"/>
      <x:c r="S403" s="154" t="n">
        <x:v>-113.3992363</x:v>
      </x:c>
      <x:c r="T403" s="154" t="n">
        <x:v>53.51293838</x:v>
      </x:c>
      <x:c r="U403" s="63" t="str">
        <x:v>reported</x:v>
      </x:c>
      <x:c r="V403" s="63" t="str">
        <x:v>ALBERTA_MAJOR_PROJECTS</x:v>
      </x:c>
      <x:c r="W403" s="63" t="str">
        <x:v>observed</x:v>
      </x:c>
      <x:c r="X403" s="155" t="n">
        <x:v>46265</x:v>
      </x:c>
      <x:c r="Y403" s="63" t="str">
        <x:v>https://www.majorprojects.alberta.ca/</x:v>
      </x:c>
    </x:row>
    <x:row r="404">
      <x:c r="A404" s="63" t="str">
        <x:v>ABMP_11462</x:v>
      </x:c>
      <x:c r="B404" s="63" t="str">
        <x:v>Ecole Beausejour K-12 School Modernization</x:v>
      </x:c>
      <x:c r="C404" s="63" t="str">
        <x:v>Schools And Postsecondary</x:v>
      </x:c>
      <x:c r="D404" s="63" t="str">
        <x:v>inferred</x:v>
      </x:c>
      <x:c r="E404" s="63" t="str">
        <x:v>School</x:v>
      </x:c>
      <x:c r="F404" s="63" t="str">
        <x:v>Institutional</x:v>
      </x:c>
      <x:c r="G404" s="63" t="str">
        <x:v>Alberta Infrastructure</x:v>
      </x:c>
      <x:c r="H404" s="63" t="str">
        <x:v>Government Or Public Institution Signal</x:v>
      </x:c>
      <x:c r="I404" s="63" t="str">
        <x:v>inferred</x:v>
      </x:c>
      <x:c r="J404" s="63" t="str">
        <x:v>Lac la Biche County</x:v>
      </x:c>
      <x:c r="K404" s="63" t="str">
        <x:v>Proposed</x:v>
      </x:c>
      <x:c r="L404" s="143"/>
      <x:c r="M404" s="179"/>
      <x:c r="N404" s="179"/>
      <x:c r="O404" s="63" t="str">
        <x:v>indeterminate_incomplete_schedule</x:v>
      </x:c>
      <x:c r="P404" s="63" t="str"/>
      <x:c r="Q404" s="143"/>
      <x:c r="R404" s="143"/>
      <x:c r="S404" s="154" t="n">
        <x:v>-112.347</x:v>
      </x:c>
      <x:c r="T404" s="154" t="n">
        <x:v>54.84541037</x:v>
      </x:c>
      <x:c r="U404" s="63" t="str">
        <x:v>reported</x:v>
      </x:c>
      <x:c r="V404" s="63" t="str">
        <x:v>ALBERTA_MAJOR_PROJECTS</x:v>
      </x:c>
      <x:c r="W404" s="63" t="str">
        <x:v>observed</x:v>
      </x:c>
      <x:c r="X404" s="155" t="n">
        <x:v>46265</x:v>
      </x:c>
      <x:c r="Y404" s="63" t="str">
        <x:v>https://www.majorprojects.alberta.ca/</x:v>
      </x:c>
    </x:row>
    <x:row r="405">
      <x:c r="A405" s="63" t="str">
        <x:v>ABMP_11709</x:v>
      </x:c>
      <x:c r="B405" s="63" t="str">
        <x:v>Ecole Dickinsfield Modernization</x:v>
      </x:c>
      <x:c r="C405" s="63" t="str">
        <x:v>Schools And Postsecondary</x:v>
      </x:c>
      <x:c r="D405" s="63" t="str">
        <x:v>inferred</x:v>
      </x:c>
      <x:c r="E405" s="63" t="str">
        <x:v>School</x:v>
      </x:c>
      <x:c r="F405" s="63" t="str">
        <x:v>Institutional</x:v>
      </x:c>
      <x:c r="G405" s="63" t="str">
        <x:v>Alberta Infrastructure</x:v>
      </x:c>
      <x:c r="H405" s="63" t="str">
        <x:v>Government Or Public Institution Signal</x:v>
      </x:c>
      <x:c r="I405" s="63" t="str">
        <x:v>inferred</x:v>
      </x:c>
      <x:c r="J405" s="63" t="str">
        <x:v>Wood Buffalo</x:v>
      </x:c>
      <x:c r="K405" s="63" t="str">
        <x:v>Proposed</x:v>
      </x:c>
      <x:c r="L405" s="143"/>
      <x:c r="M405" s="179"/>
      <x:c r="N405" s="179"/>
      <x:c r="O405" s="63" t="str">
        <x:v>indeterminate_incomplete_schedule</x:v>
      </x:c>
      <x:c r="P405" s="63" t="str"/>
      <x:c r="Q405" s="143"/>
      <x:c r="R405" s="143"/>
      <x:c r="S405" s="154" t="n">
        <x:v>-111.46979</x:v>
      </x:c>
      <x:c r="T405" s="154" t="n">
        <x:v>56.73745</x:v>
      </x:c>
      <x:c r="U405" s="63" t="str">
        <x:v>reported</x:v>
      </x:c>
      <x:c r="V405" s="63" t="str">
        <x:v>ALBERTA_MAJOR_PROJECTS</x:v>
      </x:c>
      <x:c r="W405" s="63" t="str">
        <x:v>observed</x:v>
      </x:c>
      <x:c r="X405" s="155" t="n">
        <x:v>46265</x:v>
      </x:c>
      <x:c r="Y405" s="63" t="str">
        <x:v>https://www.majorprojects.alberta.ca/</x:v>
      </x:c>
    </x:row>
    <x:row r="406">
      <x:c r="A406" s="63" t="str">
        <x:v>ABMP_11459</x:v>
      </x:c>
      <x:c r="B406" s="63" t="str">
        <x:v>Ecole Heritage K-12 Modernization</x:v>
      </x:c>
      <x:c r="C406" s="63" t="str">
        <x:v>Schools And Postsecondary</x:v>
      </x:c>
      <x:c r="D406" s="63" t="str">
        <x:v>inferred</x:v>
      </x:c>
      <x:c r="E406" s="63" t="str">
        <x:v>School</x:v>
      </x:c>
      <x:c r="F406" s="63" t="str">
        <x:v>Institutional</x:v>
      </x:c>
      <x:c r="G406" s="63" t="str">
        <x:v>Alberta Infrastructure</x:v>
      </x:c>
      <x:c r="H406" s="63" t="str">
        <x:v>Government Or Public Institution Signal</x:v>
      </x:c>
      <x:c r="I406" s="63" t="str">
        <x:v>inferred</x:v>
      </x:c>
      <x:c r="J406" s="63" t="str">
        <x:v>Falher</x:v>
      </x:c>
      <x:c r="K406" s="63" t="str">
        <x:v>Under Construction</x:v>
      </x:c>
      <x:c r="L406" s="143" t="n">
        <x:v>32800000</x:v>
      </x:c>
      <x:c r="M406" s="179" t="n">
        <x:v>2026</x:v>
      </x:c>
      <x:c r="N406" s="179" t="n">
        <x:v>2027</x:v>
      </x:c>
      <x:c r="O406" s="63" t="str">
        <x:v>overlaps</x:v>
      </x:c>
      <x:c r="P406" s="63" t="str">
        <x:v>2027</x:v>
      </x:c>
      <x:c r="Q406" s="143" t="n">
        <x:v>16400000</x:v>
      </x:c>
      <x:c r="R406" s="143" t="n">
        <x:v>16400000</x:v>
      </x:c>
      <x:c r="S406" s="154" t="n">
        <x:v>-117.195</x:v>
      </x:c>
      <x:c r="T406" s="154" t="n">
        <x:v>55.73537847</x:v>
      </x:c>
      <x:c r="U406" s="63" t="str">
        <x:v>reported</x:v>
      </x:c>
      <x:c r="V406" s="63" t="str">
        <x:v>ALBERTA_MAJOR_PROJECTS</x:v>
      </x:c>
      <x:c r="W406" s="63" t="str">
        <x:v>observed</x:v>
      </x:c>
      <x:c r="X406" s="155" t="n">
        <x:v>46265</x:v>
      </x:c>
      <x:c r="Y406" s="63" t="str">
        <x:v>https://www.majorprojects.alberta.ca/</x:v>
      </x:c>
    </x:row>
    <x:row r="407">
      <x:c r="A407" s="63" t="str">
        <x:v>ABMP_11715</x:v>
      </x:c>
      <x:c r="B407" s="63" t="str">
        <x:v>Ecole Morinville Public School Replacement</x:v>
      </x:c>
      <x:c r="C407" s="63" t="str">
        <x:v>Schools And Postsecondary</x:v>
      </x:c>
      <x:c r="D407" s="63" t="str">
        <x:v>inferred</x:v>
      </x:c>
      <x:c r="E407" s="63" t="str">
        <x:v>School</x:v>
      </x:c>
      <x:c r="F407" s="63" t="str">
        <x:v>Institutional</x:v>
      </x:c>
      <x:c r="G407" s="63" t="str">
        <x:v>Alberta Infrastructure</x:v>
      </x:c>
      <x:c r="H407" s="63" t="str">
        <x:v>Government Or Public Institution Signal</x:v>
      </x:c>
      <x:c r="I407" s="63" t="str">
        <x:v>inferred</x:v>
      </x:c>
      <x:c r="J407" s="63" t="str">
        <x:v>Morinville</x:v>
      </x:c>
      <x:c r="K407" s="63" t="str">
        <x:v>Proposed</x:v>
      </x:c>
      <x:c r="L407" s="143"/>
      <x:c r="M407" s="179"/>
      <x:c r="N407" s="179" t="n">
        <x:v>2029</x:v>
      </x:c>
      <x:c r="O407" s="63" t="str">
        <x:v>indeterminate_incomplete_schedule</x:v>
      </x:c>
      <x:c r="P407" s="63" t="str"/>
      <x:c r="Q407" s="143"/>
      <x:c r="R407" s="143"/>
      <x:c r="S407" s="154" t="n">
        <x:v>-113.64643</x:v>
      </x:c>
      <x:c r="T407" s="154" t="n">
        <x:v>53.8047</x:v>
      </x:c>
      <x:c r="U407" s="63" t="str">
        <x:v>approximate</x:v>
      </x:c>
      <x:c r="V407" s="63" t="str">
        <x:v>ALBERTA_MAJOR_PROJECTS</x:v>
      </x:c>
      <x:c r="W407" s="63" t="str">
        <x:v>observed</x:v>
      </x:c>
      <x:c r="X407" s="155" t="n">
        <x:v>46265</x:v>
      </x:c>
      <x:c r="Y407" s="63" t="str">
        <x:v>https://www.majorprojects.alberta.ca/</x:v>
      </x:c>
    </x:row>
    <x:row r="408">
      <x:c r="A408" s="63" t="str">
        <x:v>ABMP_11409</x:v>
      </x:c>
      <x:c r="B408" s="63" t="str">
        <x:v>Ecole Sainte-Catherine Replacement</x:v>
      </x:c>
      <x:c r="C408" s="63" t="str">
        <x:v>Schools And Postsecondary</x:v>
      </x:c>
      <x:c r="D408" s="63" t="str">
        <x:v>inferred</x:v>
      </x:c>
      <x:c r="E408" s="63" t="str">
        <x:v>School</x:v>
      </x:c>
      <x:c r="F408" s="63" t="str">
        <x:v>Institutional</x:v>
      </x:c>
      <x:c r="G408" s="63" t="str">
        <x:v>Alberta Infrastructure</x:v>
      </x:c>
      <x:c r="H408" s="63" t="str">
        <x:v>Government Or Public Institution Signal</x:v>
      </x:c>
      <x:c r="I408" s="63" t="str">
        <x:v>inferred</x:v>
      </x:c>
      <x:c r="J408" s="63" t="str">
        <x:v>Lac la Biche County</x:v>
      </x:c>
      <x:c r="K408" s="63" t="str">
        <x:v>Proposed</x:v>
      </x:c>
      <x:c r="L408" s="143" t="n">
        <x:v>6100000</x:v>
      </x:c>
      <x:c r="M408" s="179"/>
      <x:c r="N408" s="179"/>
      <x:c r="O408" s="63" t="str">
        <x:v>indeterminate_incomplete_schedule</x:v>
      </x:c>
      <x:c r="P408" s="63" t="str"/>
      <x:c r="Q408" s="143"/>
      <x:c r="R408" s="143"/>
      <x:c r="S408" s="154" t="n">
        <x:v>-111.983</x:v>
      </x:c>
      <x:c r="T408" s="154" t="n">
        <x:v>54.76993243</x:v>
      </x:c>
      <x:c r="U408" s="63" t="str">
        <x:v>reported</x:v>
      </x:c>
      <x:c r="V408" s="63" t="str">
        <x:v>ALBERTA_MAJOR_PROJECTS</x:v>
      </x:c>
      <x:c r="W408" s="63" t="str">
        <x:v>observed</x:v>
      </x:c>
      <x:c r="X408" s="155" t="n">
        <x:v>46265</x:v>
      </x:c>
      <x:c r="Y408" s="63" t="str">
        <x:v>https://www.majorprojects.alberta.ca/</x:v>
      </x:c>
    </x:row>
    <x:row r="409">
      <x:c r="A409" s="63" t="str">
        <x:v>ABMP_11712</x:v>
      </x:c>
      <x:c r="B409" s="63" t="str">
        <x:v>Ecole de la Rose Sauvage Modernization</x:v>
      </x:c>
      <x:c r="C409" s="63" t="str">
        <x:v>Schools And Postsecondary</x:v>
      </x:c>
      <x:c r="D409" s="63" t="str">
        <x:v>inferred</x:v>
      </x:c>
      <x:c r="E409" s="63" t="str">
        <x:v>School</x:v>
      </x:c>
      <x:c r="F409" s="63" t="str">
        <x:v>Institutional</x:v>
      </x:c>
      <x:c r="G409" s="63" t="str">
        <x:v>Alberta Infrastructure</x:v>
      </x:c>
      <x:c r="H409" s="63" t="str">
        <x:v>Government Or Public Institution Signal</x:v>
      </x:c>
      <x:c r="I409" s="63" t="str">
        <x:v>inferred</x:v>
      </x:c>
      <x:c r="J409" s="63" t="str">
        <x:v>Calgary</x:v>
      </x:c>
      <x:c r="K409" s="63" t="str">
        <x:v>Proposed</x:v>
      </x:c>
      <x:c r="L409" s="143"/>
      <x:c r="M409" s="179"/>
      <x:c r="N409" s="179"/>
      <x:c r="O409" s="63" t="str">
        <x:v>indeterminate_incomplete_schedule</x:v>
      </x:c>
      <x:c r="P409" s="63" t="str"/>
      <x:c r="Q409" s="143"/>
      <x:c r="R409" s="143"/>
      <x:c r="S409" s="154" t="n">
        <x:v>-114.07066817</x:v>
      </x:c>
      <x:c r="T409" s="154" t="n">
        <x:v>51.07479161</x:v>
      </x:c>
      <x:c r="U409" s="63" t="str">
        <x:v>reported</x:v>
      </x:c>
      <x:c r="V409" s="63" t="str">
        <x:v>ALBERTA_MAJOR_PROJECTS</x:v>
      </x:c>
      <x:c r="W409" s="63" t="str">
        <x:v>observed</x:v>
      </x:c>
      <x:c r="X409" s="155" t="n">
        <x:v>46265</x:v>
      </x:c>
      <x:c r="Y409" s="63" t="str">
        <x:v>https://www.majorprojects.alberta.ca/</x:v>
      </x:c>
    </x:row>
    <x:row r="410">
      <x:c r="A410" s="63" t="str">
        <x:v>ABMP_11461</x:v>
      </x:c>
      <x:c r="B410" s="63" t="str">
        <x:v>Galbraith K-5 School Replacement</x:v>
      </x:c>
      <x:c r="C410" s="63" t="str">
        <x:v>Schools And Postsecondary</x:v>
      </x:c>
      <x:c r="D410" s="63" t="str">
        <x:v>inferred</x:v>
      </x:c>
      <x:c r="E410" s="63" t="str">
        <x:v>School</x:v>
      </x:c>
      <x:c r="F410" s="63" t="str">
        <x:v>Institutional</x:v>
      </x:c>
      <x:c r="G410" s="63" t="str">
        <x:v>Alberta Infrastructure</x:v>
      </x:c>
      <x:c r="H410" s="63" t="str">
        <x:v>Government Or Public Institution Signal</x:v>
      </x:c>
      <x:c r="I410" s="63" t="str">
        <x:v>inferred</x:v>
      </x:c>
      <x:c r="J410" s="63" t="str">
        <x:v>Lethbridge</x:v>
      </x:c>
      <x:c r="K410" s="63" t="str">
        <x:v>Proposed</x:v>
      </x:c>
      <x:c r="L410" s="143"/>
      <x:c r="M410" s="179"/>
      <x:c r="N410" s="179"/>
      <x:c r="O410" s="63" t="str">
        <x:v>indeterminate_incomplete_schedule</x:v>
      </x:c>
      <x:c r="P410" s="63" t="str"/>
      <x:c r="Q410" s="143"/>
      <x:c r="R410" s="143"/>
      <x:c r="S410" s="154" t="n">
        <x:v>-112.817</x:v>
      </x:c>
      <x:c r="T410" s="154" t="n">
        <x:v>49.71198456</x:v>
      </x:c>
      <x:c r="U410" s="63" t="str">
        <x:v>reported</x:v>
      </x:c>
      <x:c r="V410" s="63" t="str">
        <x:v>ALBERTA_MAJOR_PROJECTS</x:v>
      </x:c>
      <x:c r="W410" s="63" t="str">
        <x:v>observed</x:v>
      </x:c>
      <x:c r="X410" s="155" t="n">
        <x:v>46265</x:v>
      </x:c>
      <x:c r="Y410" s="63" t="str">
        <x:v>https://www.majorprojects.alberta.ca/</x:v>
      </x:c>
    </x:row>
    <x:row r="411">
      <x:c r="A411" s="63" t="str">
        <x:v>ABMP_11772</x:v>
      </x:c>
      <x:c r="B411" s="63" t="str">
        <x:v>Georges P. Vanier School Modernization</x:v>
      </x:c>
      <x:c r="C411" s="63" t="str">
        <x:v>Schools And Postsecondary</x:v>
      </x:c>
      <x:c r="D411" s="63" t="str">
        <x:v>inferred</x:v>
      </x:c>
      <x:c r="E411" s="63" t="str">
        <x:v>School</x:v>
      </x:c>
      <x:c r="F411" s="63" t="str">
        <x:v>Institutional</x:v>
      </x:c>
      <x:c r="G411" s="63" t="str">
        <x:v>Alberta Infrastructure</x:v>
      </x:c>
      <x:c r="H411" s="63" t="str">
        <x:v>Government Or Public Institution Signal</x:v>
      </x:c>
      <x:c r="I411" s="63" t="str">
        <x:v>inferred</x:v>
      </x:c>
      <x:c r="J411" s="63" t="str">
        <x:v>Donnelly</x:v>
      </x:c>
      <x:c r="K411" s="63" t="str">
        <x:v>Proposed</x:v>
      </x:c>
      <x:c r="L411" s="143"/>
      <x:c r="M411" s="179"/>
      <x:c r="N411" s="179" t="n">
        <x:v>2029</x:v>
      </x:c>
      <x:c r="O411" s="63" t="str">
        <x:v>indeterminate_incomplete_schedule</x:v>
      </x:c>
      <x:c r="P411" s="63" t="str"/>
      <x:c r="Q411" s="143"/>
      <x:c r="R411" s="143"/>
      <x:c r="S411" s="154" t="n">
        <x:v>-117.111236</x:v>
      </x:c>
      <x:c r="T411" s="154" t="n">
        <x:v>55.727351</x:v>
      </x:c>
      <x:c r="U411" s="63" t="str">
        <x:v>reported</x:v>
      </x:c>
      <x:c r="V411" s="63" t="str">
        <x:v>ALBERTA_MAJOR_PROJECTS</x:v>
      </x:c>
      <x:c r="W411" s="63" t="str">
        <x:v>observed</x:v>
      </x:c>
      <x:c r="X411" s="155" t="n">
        <x:v>46265</x:v>
      </x:c>
      <x:c r="Y411" s="63" t="str">
        <x:v>https://www.majorprojects.alberta.ca/</x:v>
      </x:c>
    </x:row>
    <x:row r="412">
      <x:c r="A412" s="63" t="str">
        <x:v>ABMP_11797</x:v>
      </x:c>
      <x:c r="B412" s="63" t="str">
        <x:v>Gobind Sarvar School Calgary - Guru Nanak Gate Campus Phase 2</x:v>
      </x:c>
      <x:c r="C412" s="63" t="str">
        <x:v>Schools And Postsecondary</x:v>
      </x:c>
      <x:c r="D412" s="63" t="str">
        <x:v>inferred</x:v>
      </x:c>
      <x:c r="E412" s="63" t="str">
        <x:v>School</x:v>
      </x:c>
      <x:c r="F412" s="63" t="str">
        <x:v>Institutional</x:v>
      </x:c>
      <x:c r="G412" s="63" t="str">
        <x:v>Gobind Sarvar School</x:v>
      </x:c>
      <x:c r="H412" s="63" t="str">
        <x:v>Unresolved</x:v>
      </x:c>
      <x:c r="I412" s="63" t="str">
        <x:v>inferred</x:v>
      </x:c>
      <x:c r="J412" s="63" t="str">
        <x:v>Calgary</x:v>
      </x:c>
      <x:c r="K412" s="63" t="str">
        <x:v>Under Construction</x:v>
      </x:c>
      <x:c r="L412" s="143"/>
      <x:c r="M412" s="179" t="n">
        <x:v>2025</x:v>
      </x:c>
      <x:c r="N412" s="179" t="n">
        <x:v>2027</x:v>
      </x:c>
      <x:c r="O412" s="63" t="str">
        <x:v>overlaps</x:v>
      </x:c>
      <x:c r="P412" s="63" t="str">
        <x:v>2027</x:v>
      </x:c>
      <x:c r="Q412" s="143"/>
      <x:c r="R412" s="143"/>
      <x:c r="S412" s="154" t="n">
        <x:v>-113.964788</x:v>
      </x:c>
      <x:c r="T412" s="154" t="n">
        <x:v>51.129262</x:v>
      </x:c>
      <x:c r="U412" s="63" t="str">
        <x:v>reported</x:v>
      </x:c>
      <x:c r="V412" s="63" t="str">
        <x:v>ALBERTA_MAJOR_PROJECTS</x:v>
      </x:c>
      <x:c r="W412" s="63" t="str">
        <x:v>observed</x:v>
      </x:c>
      <x:c r="X412" s="155" t="n">
        <x:v>46265</x:v>
      </x:c>
      <x:c r="Y412" s="63" t="str">
        <x:v>https://www.majorprojects.alberta.ca/</x:v>
      </x:c>
    </x:row>
    <x:row r="413">
      <x:c r="A413" s="63" t="str">
        <x:v>ABMP_11687</x:v>
      </x:c>
      <x:c r="B413" s="63" t="str">
        <x:v>Grande Prairie Composite High School Addition</x:v>
      </x:c>
      <x:c r="C413" s="63" t="str">
        <x:v>Schools And Postsecondary</x:v>
      </x:c>
      <x:c r="D413" s="63" t="str">
        <x:v>inferred</x:v>
      </x:c>
      <x:c r="E413" s="63" t="str">
        <x:v>School</x:v>
      </x:c>
      <x:c r="F413" s="63" t="str">
        <x:v>Institutional</x:v>
      </x:c>
      <x:c r="G413" s="63" t="str">
        <x:v>Alberta Infrastructure</x:v>
      </x:c>
      <x:c r="H413" s="63" t="str">
        <x:v>Government Or Public Institution Signal</x:v>
      </x:c>
      <x:c r="I413" s="63" t="str">
        <x:v>inferred</x:v>
      </x:c>
      <x:c r="J413" s="63" t="str">
        <x:v>Grande Prairie</x:v>
      </x:c>
      <x:c r="K413" s="63" t="str">
        <x:v>Proposed</x:v>
      </x:c>
      <x:c r="L413" s="143"/>
      <x:c r="M413" s="179"/>
      <x:c r="N413" s="179"/>
      <x:c r="O413" s="63" t="str">
        <x:v>indeterminate_incomplete_schedule</x:v>
      </x:c>
      <x:c r="P413" s="63" t="str"/>
      <x:c r="Q413" s="143"/>
      <x:c r="R413" s="143"/>
      <x:c r="S413" s="154" t="n">
        <x:v>-118.813</x:v>
      </x:c>
      <x:c r="T413" s="154" t="n">
        <x:v>55.180634</x:v>
      </x:c>
      <x:c r="U413" s="63" t="str">
        <x:v>reported</x:v>
      </x:c>
      <x:c r="V413" s="63" t="str">
        <x:v>ALBERTA_MAJOR_PROJECTS</x:v>
      </x:c>
      <x:c r="W413" s="63" t="str">
        <x:v>observed</x:v>
      </x:c>
      <x:c r="X413" s="155" t="n">
        <x:v>46265</x:v>
      </x:c>
      <x:c r="Y413" s="63" t="str">
        <x:v>https://www.majorprojects.alberta.ca/</x:v>
      </x:c>
    </x:row>
    <x:row r="414">
      <x:c r="A414" s="63" t="str">
        <x:v>ABMP_10941</x:v>
      </x:c>
      <x:c r="B414" s="63" t="str">
        <x:v>Holy Family K-12 Replacement School (Waskatenau)</x:v>
      </x:c>
      <x:c r="C414" s="63" t="str">
        <x:v>Schools And Postsecondary</x:v>
      </x:c>
      <x:c r="D414" s="63" t="str">
        <x:v>inferred</x:v>
      </x:c>
      <x:c r="E414" s="63" t="str">
        <x:v>School</x:v>
      </x:c>
      <x:c r="F414" s="63" t="str">
        <x:v>Institutional</x:v>
      </x:c>
      <x:c r="G414" s="63" t="str">
        <x:v>Alberta Infrastructure</x:v>
      </x:c>
      <x:c r="H414" s="63" t="str">
        <x:v>Government Or Public Institution Signal</x:v>
      </x:c>
      <x:c r="I414" s="63" t="str">
        <x:v>inferred</x:v>
      </x:c>
      <x:c r="J414" s="63" t="str">
        <x:v>Waskatenau</x:v>
      </x:c>
      <x:c r="K414" s="63" t="str">
        <x:v>Under Construction</x:v>
      </x:c>
      <x:c r="L414" s="143" t="n">
        <x:v>23600000</x:v>
      </x:c>
      <x:c r="M414" s="179" t="n">
        <x:v>2025</x:v>
      </x:c>
      <x:c r="N414" s="179" t="n">
        <x:v>2027</x:v>
      </x:c>
      <x:c r="O414" s="63" t="str">
        <x:v>overlaps</x:v>
      </x:c>
      <x:c r="P414" s="63" t="str">
        <x:v>2027</x:v>
      </x:c>
      <x:c r="Q414" s="143" t="n">
        <x:v>7866666.666666667</x:v>
      </x:c>
      <x:c r="R414" s="143" t="n">
        <x:v>7866666.666666667</x:v>
      </x:c>
      <x:c r="S414" s="154" t="n">
        <x:v>-112.787</x:v>
      </x:c>
      <x:c r="T414" s="154" t="n">
        <x:v>54.09547577</x:v>
      </x:c>
      <x:c r="U414" s="63" t="str">
        <x:v>reported</x:v>
      </x:c>
      <x:c r="V414" s="63" t="str">
        <x:v>ALBERTA_MAJOR_PROJECTS</x:v>
      </x:c>
      <x:c r="W414" s="63" t="str">
        <x:v>observed</x:v>
      </x:c>
      <x:c r="X414" s="155" t="n">
        <x:v>46265</x:v>
      </x:c>
      <x:c r="Y414" s="63" t="str">
        <x:v>https://www.majorprojects.alberta.ca/</x:v>
      </x:c>
    </x:row>
    <x:row r="415">
      <x:c r="A415" s="63" t="str">
        <x:v>ABMP_11431</x:v>
      </x:c>
      <x:c r="B415" s="63" t="str">
        <x:v>Holy Trinity Academy (formerly St. Francis Xavier K-9 Replacement School)</x:v>
      </x:c>
      <x:c r="C415" s="63" t="str">
        <x:v>Schools And Postsecondary</x:v>
      </x:c>
      <x:c r="D415" s="63" t="str">
        <x:v>inferred</x:v>
      </x:c>
      <x:c r="E415" s="63" t="str">
        <x:v>School</x:v>
      </x:c>
      <x:c r="F415" s="63" t="str">
        <x:v>Institutional</x:v>
      </x:c>
      <x:c r="G415" s="63" t="str">
        <x:v>Alberta Infrastructure</x:v>
      </x:c>
      <x:c r="H415" s="63" t="str">
        <x:v>Government Or Public Institution Signal</x:v>
      </x:c>
      <x:c r="I415" s="63" t="str">
        <x:v>inferred</x:v>
      </x:c>
      <x:c r="J415" s="63" t="str">
        <x:v>Medicine Hat</x:v>
      </x:c>
      <x:c r="K415" s="63" t="str">
        <x:v>Under Construction</x:v>
      </x:c>
      <x:c r="L415" s="143" t="n">
        <x:v>77400000</x:v>
      </x:c>
      <x:c r="M415" s="179" t="n">
        <x:v>2025</x:v>
      </x:c>
      <x:c r="N415" s="179" t="n">
        <x:v>2027</x:v>
      </x:c>
      <x:c r="O415" s="63" t="str">
        <x:v>overlaps</x:v>
      </x:c>
      <x:c r="P415" s="63" t="str">
        <x:v>2027</x:v>
      </x:c>
      <x:c r="Q415" s="143" t="n">
        <x:v>25800000</x:v>
      </x:c>
      <x:c r="R415" s="143" t="n">
        <x:v>25800000</x:v>
      </x:c>
      <x:c r="S415" s="154" t="n">
        <x:v>-110.678</x:v>
      </x:c>
      <x:c r="T415" s="154" t="n">
        <x:v>50.05013</x:v>
      </x:c>
      <x:c r="U415" s="63" t="str">
        <x:v>reported</x:v>
      </x:c>
      <x:c r="V415" s="63" t="str">
        <x:v>ALBERTA_MAJOR_PROJECTS</x:v>
      </x:c>
      <x:c r="W415" s="63" t="str">
        <x:v>observed</x:v>
      </x:c>
      <x:c r="X415" s="155" t="n">
        <x:v>46265</x:v>
      </x:c>
      <x:c r="Y415" s="63" t="str">
        <x:v>https://www.majorprojects.alberta.ca/</x:v>
      </x:c>
    </x:row>
    <x:row r="416">
      <x:c r="A416" s="63" t="str">
        <x:v>ABMP_11696</x:v>
      </x:c>
      <x:c r="B416" s="63" t="str">
        <x:v>Holy Trinity Catholic School 7-12 Addition</x:v>
      </x:c>
      <x:c r="C416" s="63" t="str">
        <x:v>Schools And Postsecondary</x:v>
      </x:c>
      <x:c r="D416" s="63" t="str">
        <x:v>inferred</x:v>
      </x:c>
      <x:c r="E416" s="63" t="str">
        <x:v>School</x:v>
      </x:c>
      <x:c r="F416" s="63" t="str">
        <x:v>Institutional</x:v>
      </x:c>
      <x:c r="G416" s="63" t="str">
        <x:v>Alberta Infrastructure</x:v>
      </x:c>
      <x:c r="H416" s="63" t="str">
        <x:v>Government Or Public Institution Signal</x:v>
      </x:c>
      <x:c r="I416" s="63" t="str">
        <x:v>inferred</x:v>
      </x:c>
      <x:c r="J416" s="63" t="str">
        <x:v>Wood Buffalo</x:v>
      </x:c>
      <x:c r="K416" s="63" t="str">
        <x:v>Proposed</x:v>
      </x:c>
      <x:c r="L416" s="143"/>
      <x:c r="M416" s="179"/>
      <x:c r="N416" s="179"/>
      <x:c r="O416" s="63" t="str">
        <x:v>indeterminate_incomplete_schedule</x:v>
      </x:c>
      <x:c r="P416" s="63" t="str"/>
      <x:c r="Q416" s="143"/>
      <x:c r="R416" s="143"/>
      <x:c r="S416" s="154" t="n">
        <x:v>-111.45826755</x:v>
      </x:c>
      <x:c r="T416" s="154" t="n">
        <x:v>56.75993722</x:v>
      </x:c>
      <x:c r="U416" s="63" t="str">
        <x:v>reported</x:v>
      </x:c>
      <x:c r="V416" s="63" t="str">
        <x:v>ALBERTA_MAJOR_PROJECTS</x:v>
      </x:c>
      <x:c r="W416" s="63" t="str">
        <x:v>observed</x:v>
      </x:c>
      <x:c r="X416" s="155" t="n">
        <x:v>46265</x:v>
      </x:c>
      <x:c r="Y416" s="63" t="str">
        <x:v>https://www.majorprojects.alberta.ca/</x:v>
      </x:c>
    </x:row>
    <x:row r="417">
      <x:c r="A417" s="63" t="str">
        <x:v>ABMP_12168</x:v>
      </x:c>
      <x:c r="B417" s="63" t="str">
        <x:v>John G. Diefenbaker High School Replacement (Calgary)</x:v>
      </x:c>
      <x:c r="C417" s="63" t="str">
        <x:v>Schools And Postsecondary</x:v>
      </x:c>
      <x:c r="D417" s="63" t="str">
        <x:v>inferred</x:v>
      </x:c>
      <x:c r="E417" s="63" t="str">
        <x:v>School</x:v>
      </x:c>
      <x:c r="F417" s="63" t="str">
        <x:v>Institutional</x:v>
      </x:c>
      <x:c r="G417" s="63" t="str">
        <x:v>Alberta Infrastructure</x:v>
      </x:c>
      <x:c r="H417" s="63" t="str">
        <x:v>Government Or Public Institution Signal</x:v>
      </x:c>
      <x:c r="I417" s="63" t="str">
        <x:v>inferred</x:v>
      </x:c>
      <x:c r="J417" s="63" t="str">
        <x:v>Calgary</x:v>
      </x:c>
      <x:c r="K417" s="63" t="str">
        <x:v>Proposed</x:v>
      </x:c>
      <x:c r="L417" s="143"/>
      <x:c r="M417" s="179"/>
      <x:c r="N417" s="179"/>
      <x:c r="O417" s="63" t="str">
        <x:v>indeterminate_incomplete_schedule</x:v>
      </x:c>
      <x:c r="P417" s="63" t="str"/>
      <x:c r="Q417" s="143"/>
      <x:c r="R417" s="143"/>
      <x:c r="S417" s="154" t="n">
        <x:v>-114.0702592045655</x:v>
      </x:c>
      <x:c r="T417" s="154" t="n">
        <x:v>51.11295307864191</x:v>
      </x:c>
      <x:c r="U417" s="63" t="str">
        <x:v>reported</x:v>
      </x:c>
      <x:c r="V417" s="63" t="str">
        <x:v>ALBERTA_MAJOR_PROJECTS</x:v>
      </x:c>
      <x:c r="W417" s="63" t="str">
        <x:v>observed</x:v>
      </x:c>
      <x:c r="X417" s="155" t="n">
        <x:v>46265</x:v>
      </x:c>
      <x:c r="Y417" s="63" t="str">
        <x:v>https://www.majorprojects.alberta.ca/</x:v>
      </x:c>
    </x:row>
    <x:row r="418">
      <x:c r="A418" s="63" t="str">
        <x:v>ABMP_10531</x:v>
      </x:c>
      <x:c r="B418" s="63" t="str">
        <x:v>John Ware Building Renovation (Phase 2)</x:v>
      </x:c>
      <x:c r="C418" s="63" t="str">
        <x:v>Schools And Postsecondary</x:v>
      </x:c>
      <x:c r="D418" s="63" t="str">
        <x:v>inferred</x:v>
      </x:c>
      <x:c r="E418" s="63" t="str">
        <x:v>Post-Secondary</x:v>
      </x:c>
      <x:c r="F418" s="63" t="str">
        <x:v>Institutional</x:v>
      </x:c>
      <x:c r="G418" s="63" t="str">
        <x:v>Southern Alberta Institute of Technology (SAIT)</x:v>
      </x:c>
      <x:c r="H418" s="63" t="str">
        <x:v>Government Or Public Institution Signal</x:v>
      </x:c>
      <x:c r="I418" s="63" t="str">
        <x:v>inferred</x:v>
      </x:c>
      <x:c r="J418" s="63" t="str">
        <x:v>Calgary</x:v>
      </x:c>
      <x:c r="K418" s="63" t="str">
        <x:v>Under Construction</x:v>
      </x:c>
      <x:c r="L418" s="143" t="n">
        <x:v>41000000</x:v>
      </x:c>
      <x:c r="M418" s="179" t="n">
        <x:v>2024</x:v>
      </x:c>
      <x:c r="N418" s="179" t="n">
        <x:v>2026</x:v>
      </x:c>
      <x:c r="O418" s="63" t="str">
        <x:v>outside_window</x:v>
      </x:c>
      <x:c r="P418" s="63" t="str"/>
      <x:c r="Q418" s="143" t="n">
        <x:v>13666666.666666666</x:v>
      </x:c>
      <x:c r="R418" s="143" t="n">
        <x:v>0</x:v>
      </x:c>
      <x:c r="S418" s="154" t="n">
        <x:v>-114.089275</x:v>
      </x:c>
      <x:c r="T418" s="154" t="n">
        <x:v>51.064848</x:v>
      </x:c>
      <x:c r="U418" s="63" t="str">
        <x:v>reported</x:v>
      </x:c>
      <x:c r="V418" s="63" t="str">
        <x:v>ALBERTA_MAJOR_PROJECTS</x:v>
      </x:c>
      <x:c r="W418" s="63" t="str">
        <x:v>observed</x:v>
      </x:c>
      <x:c r="X418" s="155" t="n">
        <x:v>46265</x:v>
      </x:c>
      <x:c r="Y418" s="63" t="str">
        <x:v>https://www.majorprojects.alberta.ca/</x:v>
      </x:c>
    </x:row>
    <x:row r="419">
      <x:c r="A419" s="63" t="str">
        <x:v>ABMP_12167</x:v>
      </x:c>
      <x:c r="B419" s="63" t="str">
        <x:v>K-12 Currie Campus Addition and Modernization (Calgary)</x:v>
      </x:c>
      <x:c r="C419" s="63" t="str">
        <x:v>Schools And Postsecondary</x:v>
      </x:c>
      <x:c r="D419" s="63" t="str">
        <x:v>inferred</x:v>
      </x:c>
      <x:c r="E419" s="63" t="str">
        <x:v>School</x:v>
      </x:c>
      <x:c r="F419" s="63" t="str">
        <x:v>Institutional</x:v>
      </x:c>
      <x:c r="G419" s="63" t="str">
        <x:v>Alberta Infrastructure</x:v>
      </x:c>
      <x:c r="H419" s="63" t="str">
        <x:v>Government Or Public Institution Signal</x:v>
      </x:c>
      <x:c r="I419" s="63" t="str">
        <x:v>inferred</x:v>
      </x:c>
      <x:c r="J419" s="63" t="str">
        <x:v>Calgary</x:v>
      </x:c>
      <x:c r="K419" s="63" t="str">
        <x:v>Proposed</x:v>
      </x:c>
      <x:c r="L419" s="143"/>
      <x:c r="M419" s="179"/>
      <x:c r="N419" s="179"/>
      <x:c r="O419" s="63" t="str">
        <x:v>indeterminate_incomplete_schedule</x:v>
      </x:c>
      <x:c r="P419" s="63" t="str"/>
      <x:c r="Q419" s="143"/>
      <x:c r="R419" s="143"/>
      <x:c r="S419" s="154" t="n">
        <x:v>-114.12498401223873</x:v>
      </x:c>
      <x:c r="T419" s="154" t="n">
        <x:v>51.01516282677737</x:v>
      </x:c>
      <x:c r="U419" s="63" t="str">
        <x:v>approximate</x:v>
      </x:c>
      <x:c r="V419" s="63" t="str">
        <x:v>ALBERTA_MAJOR_PROJECTS</x:v>
      </x:c>
      <x:c r="W419" s="63" t="str">
        <x:v>observed</x:v>
      </x:c>
      <x:c r="X419" s="155" t="n">
        <x:v>46265</x:v>
      </x:c>
      <x:c r="Y419" s="63" t="str">
        <x:v>https://www.majorprojects.alberta.ca/</x:v>
      </x:c>
    </x:row>
    <x:row r="420">
      <x:c r="A420" s="63" t="str">
        <x:v>ABMP_12129</x:v>
      </x:c>
      <x:c r="B420" s="63" t="str">
        <x:v>K-12 Francophone School (Stoney Plain)</x:v>
      </x:c>
      <x:c r="C420" s="63" t="str">
        <x:v>Schools And Postsecondary</x:v>
      </x:c>
      <x:c r="D420" s="63" t="str">
        <x:v>inferred</x:v>
      </x:c>
      <x:c r="E420" s="63" t="str">
        <x:v>School</x:v>
      </x:c>
      <x:c r="F420" s="63" t="str">
        <x:v>Institutional</x:v>
      </x:c>
      <x:c r="G420" s="63" t="str">
        <x:v>Alberta Infrastructure</x:v>
      </x:c>
      <x:c r="H420" s="63" t="str">
        <x:v>Government Or Public Institution Signal</x:v>
      </x:c>
      <x:c r="I420" s="63" t="str">
        <x:v>inferred</x:v>
      </x:c>
      <x:c r="J420" s="63" t="str">
        <x:v>Stony Plain</x:v>
      </x:c>
      <x:c r="K420" s="63" t="str">
        <x:v>Proposed</x:v>
      </x:c>
      <x:c r="L420" s="143"/>
      <x:c r="M420" s="179"/>
      <x:c r="N420" s="179"/>
      <x:c r="O420" s="63" t="str">
        <x:v>indeterminate_incomplete_schedule</x:v>
      </x:c>
      <x:c r="P420" s="63" t="str"/>
      <x:c r="Q420" s="143"/>
      <x:c r="R420" s="143"/>
      <x:c r="S420" s="154" t="n">
        <x:v>-113.99217384707715</x:v>
      </x:c>
      <x:c r="T420" s="154" t="n">
        <x:v>53.521755199756925</x:v>
      </x:c>
      <x:c r="U420" s="63" t="str">
        <x:v>approximate</x:v>
      </x:c>
      <x:c r="V420" s="63" t="str">
        <x:v>ALBERTA_MAJOR_PROJECTS</x:v>
      </x:c>
      <x:c r="W420" s="63" t="str">
        <x:v>observed</x:v>
      </x:c>
      <x:c r="X420" s="155" t="n">
        <x:v>46265</x:v>
      </x:c>
      <x:c r="Y420" s="63" t="str">
        <x:v>https://www.majorprojects.alberta.ca/</x:v>
      </x:c>
    </x:row>
    <x:row r="421">
      <x:c r="A421" s="63" t="str">
        <x:v>ABMP_12142</x:v>
      </x:c>
      <x:c r="B421" s="63" t="str">
        <x:v>K-12 Light of Christ School�(Lac La Biche)</x:v>
      </x:c>
      <x:c r="C421" s="63" t="str">
        <x:v>Schools And Postsecondary</x:v>
      </x:c>
      <x:c r="D421" s="63" t="str">
        <x:v>inferred</x:v>
      </x:c>
      <x:c r="E421" s="63" t="str">
        <x:v>School</x:v>
      </x:c>
      <x:c r="F421" s="63" t="str">
        <x:v>Institutional</x:v>
      </x:c>
      <x:c r="G421" s="63" t="str">
        <x:v>Alberta Infrastructure</x:v>
      </x:c>
      <x:c r="H421" s="63" t="str">
        <x:v>Government Or Public Institution Signal</x:v>
      </x:c>
      <x:c r="I421" s="63" t="str">
        <x:v>inferred</x:v>
      </x:c>
      <x:c r="J421" s="63" t="str">
        <x:v>Lac la Biche County</x:v>
      </x:c>
      <x:c r="K421" s="63" t="str">
        <x:v>Proposed</x:v>
      </x:c>
      <x:c r="L421" s="143"/>
      <x:c r="M421" s="179"/>
      <x:c r="N421" s="179"/>
      <x:c r="O421" s="63" t="str">
        <x:v>indeterminate_incomplete_schedule</x:v>
      </x:c>
      <x:c r="P421" s="63" t="str"/>
      <x:c r="Q421" s="143"/>
      <x:c r="R421" s="143"/>
      <x:c r="S421" s="154" t="n">
        <x:v>-111.98575576053173</x:v>
      </x:c>
      <x:c r="T421" s="154" t="n">
        <x:v>54.76231537401787</x:v>
      </x:c>
      <x:c r="U421" s="63" t="str">
        <x:v>approximate</x:v>
      </x:c>
      <x:c r="V421" s="63" t="str">
        <x:v>ALBERTA_MAJOR_PROJECTS</x:v>
      </x:c>
      <x:c r="W421" s="63" t="str">
        <x:v>observed</x:v>
      </x:c>
      <x:c r="X421" s="155" t="n">
        <x:v>46265</x:v>
      </x:c>
      <x:c r="Y421" s="63" t="str">
        <x:v>https://www.majorprojects.alberta.ca/</x:v>
      </x:c>
    </x:row>
    <x:row r="422">
      <x:c r="A422" s="63" t="str">
        <x:v>ABMP_12159</x:v>
      </x:c>
      <x:c r="B422" s="63" t="str">
        <x:v>K-12 Paddle Prairie School Replacement</x:v>
      </x:c>
      <x:c r="C422" s="63" t="str">
        <x:v>Schools And Postsecondary</x:v>
      </x:c>
      <x:c r="D422" s="63" t="str">
        <x:v>inferred</x:v>
      </x:c>
      <x:c r="E422" s="63" t="str">
        <x:v>School</x:v>
      </x:c>
      <x:c r="F422" s="63" t="str">
        <x:v>Institutional</x:v>
      </x:c>
      <x:c r="G422" s="63" t="str">
        <x:v>Alberta Infrastructure</x:v>
      </x:c>
      <x:c r="H422" s="63" t="str">
        <x:v>Government Or Public Institution Signal</x:v>
      </x:c>
      <x:c r="I422" s="63" t="str">
        <x:v>inferred</x:v>
      </x:c>
      <x:c r="J422" s="63" t="str">
        <x:v>Northern Lights County</x:v>
      </x:c>
      <x:c r="K422" s="63" t="str">
        <x:v>Proposed</x:v>
      </x:c>
      <x:c r="L422" s="143"/>
      <x:c r="M422" s="179"/>
      <x:c r="N422" s="179"/>
      <x:c r="O422" s="63" t="str">
        <x:v>indeterminate_incomplete_schedule</x:v>
      </x:c>
      <x:c r="P422" s="63" t="str"/>
      <x:c r="Q422" s="143"/>
      <x:c r="R422" s="143"/>
      <x:c r="S422" s="154" t="n">
        <x:v>-117.46994798902026</x:v>
      </x:c>
      <x:c r="T422" s="154" t="n">
        <x:v>57.94841434191212</x:v>
      </x:c>
      <x:c r="U422" s="63" t="str">
        <x:v>reported</x:v>
      </x:c>
      <x:c r="V422" s="63" t="str">
        <x:v>ALBERTA_MAJOR_PROJECTS</x:v>
      </x:c>
      <x:c r="W422" s="63" t="str">
        <x:v>observed</x:v>
      </x:c>
      <x:c r="X422" s="155" t="n">
        <x:v>46265</x:v>
      </x:c>
      <x:c r="Y422" s="63" t="str">
        <x:v>https://www.majorprojects.alberta.ca/</x:v>
      </x:c>
    </x:row>
    <x:row r="423">
      <x:c r="A423" s="63" t="str">
        <x:v>ABMP_12137</x:v>
      </x:c>
      <x:c r="B423" s="63" t="str">
        <x:v>K-4 Brookwood School Modernization (Spruce Grove)</x:v>
      </x:c>
      <x:c r="C423" s="63" t="str">
        <x:v>Schools And Postsecondary</x:v>
      </x:c>
      <x:c r="D423" s="63" t="str">
        <x:v>inferred</x:v>
      </x:c>
      <x:c r="E423" s="63" t="str">
        <x:v>School</x:v>
      </x:c>
      <x:c r="F423" s="63" t="str">
        <x:v>Institutional</x:v>
      </x:c>
      <x:c r="G423" s="63" t="str">
        <x:v>Alberta Infrastructure</x:v>
      </x:c>
      <x:c r="H423" s="63" t="str">
        <x:v>Government Or Public Institution Signal</x:v>
      </x:c>
      <x:c r="I423" s="63" t="str">
        <x:v>inferred</x:v>
      </x:c>
      <x:c r="J423" s="63" t="str">
        <x:v>Spruce Grove</x:v>
      </x:c>
      <x:c r="K423" s="63" t="str">
        <x:v>Proposed</x:v>
      </x:c>
      <x:c r="L423" s="143"/>
      <x:c r="M423" s="179"/>
      <x:c r="N423" s="179"/>
      <x:c r="O423" s="63" t="str">
        <x:v>indeterminate_incomplete_schedule</x:v>
      </x:c>
      <x:c r="P423" s="63" t="str"/>
      <x:c r="Q423" s="143"/>
      <x:c r="R423" s="143"/>
      <x:c r="S423" s="154" t="n">
        <x:v>-113.89655638154782</x:v>
      </x:c>
      <x:c r="T423" s="154" t="n">
        <x:v>53.5506290769593</x:v>
      </x:c>
      <x:c r="U423" s="63" t="str">
        <x:v>reported</x:v>
      </x:c>
      <x:c r="V423" s="63" t="str">
        <x:v>ALBERTA_MAJOR_PROJECTS</x:v>
      </x:c>
      <x:c r="W423" s="63" t="str">
        <x:v>observed</x:v>
      </x:c>
      <x:c r="X423" s="155" t="n">
        <x:v>46265</x:v>
      </x:c>
      <x:c r="Y423" s="63" t="str">
        <x:v>https://www.majorprojects.alberta.ca/</x:v>
      </x:c>
    </x:row>
    <x:row r="424">
      <x:c r="A424" s="63" t="str">
        <x:v>ABMP_12161</x:v>
      </x:c>
      <x:c r="B424" s="63" t="str">
        <x:v>K-4 Fort Sask Catholic Schools Replacement (Fort Saskatchewan)</x:v>
      </x:c>
      <x:c r="C424" s="63" t="str">
        <x:v>Schools And Postsecondary</x:v>
      </x:c>
      <x:c r="D424" s="63" t="str">
        <x:v>inferred</x:v>
      </x:c>
      <x:c r="E424" s="63" t="str">
        <x:v>School</x:v>
      </x:c>
      <x:c r="F424" s="63" t="str">
        <x:v>Institutional</x:v>
      </x:c>
      <x:c r="G424" s="63" t="str">
        <x:v>Alberta Infrastructure</x:v>
      </x:c>
      <x:c r="H424" s="63" t="str">
        <x:v>Government Or Public Institution Signal</x:v>
      </x:c>
      <x:c r="I424" s="63" t="str">
        <x:v>inferred</x:v>
      </x:c>
      <x:c r="J424" s="63" t="str">
        <x:v>Fort Saskatchewan</x:v>
      </x:c>
      <x:c r="K424" s="63" t="str">
        <x:v>Proposed</x:v>
      </x:c>
      <x:c r="L424" s="143"/>
      <x:c r="M424" s="179"/>
      <x:c r="N424" s="179"/>
      <x:c r="O424" s="63" t="str">
        <x:v>indeterminate_incomplete_schedule</x:v>
      </x:c>
      <x:c r="P424" s="63" t="str"/>
      <x:c r="Q424" s="143"/>
      <x:c r="R424" s="143"/>
      <x:c r="S424" s="154" t="n">
        <x:v>-113.25867</x:v>
      </x:c>
      <x:c r="T424" s="154" t="n">
        <x:v>53.67692</x:v>
      </x:c>
      <x:c r="U424" s="63" t="str">
        <x:v>reported</x:v>
      </x:c>
      <x:c r="V424" s="63" t="str">
        <x:v>ALBERTA_MAJOR_PROJECTS</x:v>
      </x:c>
      <x:c r="W424" s="63" t="str">
        <x:v>observed</x:v>
      </x:c>
      <x:c r="X424" s="155" t="n">
        <x:v>46265</x:v>
      </x:c>
      <x:c r="Y424" s="63" t="str">
        <x:v>https://www.majorprojects.alberta.ca/</x:v>
      </x:c>
    </x:row>
    <x:row r="425">
      <x:c r="A425" s="63" t="str">
        <x:v>ABMP_12163</x:v>
      </x:c>
      <x:c r="B425" s="63" t="str">
        <x:v>K-5 Oriole Park Elementary School Modernization (Red Deer)</x:v>
      </x:c>
      <x:c r="C425" s="63" t="str">
        <x:v>Schools And Postsecondary</x:v>
      </x:c>
      <x:c r="D425" s="63" t="str">
        <x:v>inferred</x:v>
      </x:c>
      <x:c r="E425" s="63" t="str">
        <x:v>School</x:v>
      </x:c>
      <x:c r="F425" s="63" t="str">
        <x:v>Institutional</x:v>
      </x:c>
      <x:c r="G425" s="63" t="str">
        <x:v>Alberta Infrastructure</x:v>
      </x:c>
      <x:c r="H425" s="63" t="str">
        <x:v>Government Or Public Institution Signal</x:v>
      </x:c>
      <x:c r="I425" s="63" t="str">
        <x:v>inferred</x:v>
      </x:c>
      <x:c r="J425" s="63" t="str">
        <x:v>Red Deer</x:v>
      </x:c>
      <x:c r="K425" s="63" t="str">
        <x:v>Proposed</x:v>
      </x:c>
      <x:c r="L425" s="143"/>
      <x:c r="M425" s="179"/>
      <x:c r="N425" s="179"/>
      <x:c r="O425" s="63" t="str">
        <x:v>indeterminate_incomplete_schedule</x:v>
      </x:c>
      <x:c r="P425" s="63" t="str"/>
      <x:c r="Q425" s="143"/>
      <x:c r="R425" s="143"/>
      <x:c r="S425" s="154" t="n">
        <x:v>-113.83961831401572</x:v>
      </x:c>
      <x:c r="T425" s="154" t="n">
        <x:v>52.27833794449575</x:v>
      </x:c>
      <x:c r="U425" s="63" t="str">
        <x:v>approximate</x:v>
      </x:c>
      <x:c r="V425" s="63" t="str">
        <x:v>ALBERTA_MAJOR_PROJECTS</x:v>
      </x:c>
      <x:c r="W425" s="63" t="str">
        <x:v>observed</x:v>
      </x:c>
      <x:c r="X425" s="155" t="n">
        <x:v>46265</x:v>
      </x:c>
      <x:c r="Y425" s="63" t="str">
        <x:v>https://www.majorprojects.alberta.ca/</x:v>
      </x:c>
    </x:row>
    <x:row r="426">
      <x:c r="A426" s="63" t="str">
        <x:v>ABMP_12155</x:v>
      </x:c>
      <x:c r="B426" s="63" t="str">
        <x:v>K-5 School in Cityscape (Calgary)</x:v>
      </x:c>
      <x:c r="C426" s="63" t="str">
        <x:v>Schools And Postsecondary</x:v>
      </x:c>
      <x:c r="D426" s="63" t="str">
        <x:v>inferred</x:v>
      </x:c>
      <x:c r="E426" s="63" t="str">
        <x:v>School</x:v>
      </x:c>
      <x:c r="F426" s="63" t="str">
        <x:v>Institutional</x:v>
      </x:c>
      <x:c r="G426" s="63" t="str">
        <x:v>Alberta Infrastructure</x:v>
      </x:c>
      <x:c r="H426" s="63" t="str">
        <x:v>Government Or Public Institution Signal</x:v>
      </x:c>
      <x:c r="I426" s="63" t="str">
        <x:v>inferred</x:v>
      </x:c>
      <x:c r="J426" s="63" t="str">
        <x:v>Calgary</x:v>
      </x:c>
      <x:c r="K426" s="63" t="str">
        <x:v>Proposed</x:v>
      </x:c>
      <x:c r="L426" s="143"/>
      <x:c r="M426" s="179"/>
      <x:c r="N426" s="179"/>
      <x:c r="O426" s="63" t="str">
        <x:v>indeterminate_incomplete_schedule</x:v>
      </x:c>
      <x:c r="P426" s="63" t="str"/>
      <x:c r="Q426" s="143"/>
      <x:c r="R426" s="143"/>
      <x:c r="S426" s="154" t="n">
        <x:v>-113.95870195254034</x:v>
      </x:c>
      <x:c r="T426" s="154" t="n">
        <x:v>51.14684934276508</x:v>
      </x:c>
      <x:c r="U426" s="63" t="str">
        <x:v>approximate</x:v>
      </x:c>
      <x:c r="V426" s="63" t="str">
        <x:v>ALBERTA_MAJOR_PROJECTS</x:v>
      </x:c>
      <x:c r="W426" s="63" t="str">
        <x:v>observed</x:v>
      </x:c>
      <x:c r="X426" s="155" t="n">
        <x:v>46265</x:v>
      </x:c>
      <x:c r="Y426" s="63" t="str">
        <x:v>https://www.majorprojects.alberta.ca/</x:v>
      </x:c>
    </x:row>
    <x:row r="427">
      <x:c r="A427" s="63" t="str">
        <x:v>ABMP_12134</x:v>
      </x:c>
      <x:c r="B427" s="63" t="str">
        <x:v>K-5 School in Kincora-Sage Hill (Calgary)</x:v>
      </x:c>
      <x:c r="C427" s="63" t="str">
        <x:v>Schools And Postsecondary</x:v>
      </x:c>
      <x:c r="D427" s="63" t="str">
        <x:v>inferred</x:v>
      </x:c>
      <x:c r="E427" s="63" t="str">
        <x:v>School</x:v>
      </x:c>
      <x:c r="F427" s="63" t="str">
        <x:v>Institutional</x:v>
      </x:c>
      <x:c r="G427" s="63" t="str">
        <x:v>Alberta Infrastructure</x:v>
      </x:c>
      <x:c r="H427" s="63" t="str">
        <x:v>Government Or Public Institution Signal</x:v>
      </x:c>
      <x:c r="I427" s="63" t="str">
        <x:v>inferred</x:v>
      </x:c>
      <x:c r="J427" s="63" t="str">
        <x:v>Calgary</x:v>
      </x:c>
      <x:c r="K427" s="63" t="str">
        <x:v>Proposed</x:v>
      </x:c>
      <x:c r="L427" s="143"/>
      <x:c r="M427" s="179"/>
      <x:c r="N427" s="179"/>
      <x:c r="O427" s="63" t="str">
        <x:v>indeterminate_incomplete_schedule</x:v>
      </x:c>
      <x:c r="P427" s="63" t="str"/>
      <x:c r="Q427" s="143"/>
      <x:c r="R427" s="143"/>
      <x:c r="S427" s="154" t="n">
        <x:v>-114.04757</x:v>
      </x:c>
      <x:c r="T427" s="154" t="n">
        <x:v>51.027833</x:v>
      </x:c>
      <x:c r="U427" s="63" t="str">
        <x:v>approximate</x:v>
      </x:c>
      <x:c r="V427" s="63" t="str">
        <x:v>ALBERTA_MAJOR_PROJECTS</x:v>
      </x:c>
      <x:c r="W427" s="63" t="str">
        <x:v>observed</x:v>
      </x:c>
      <x:c r="X427" s="155" t="n">
        <x:v>46265</x:v>
      </x:c>
      <x:c r="Y427" s="63" t="str">
        <x:v>https://www.majorprojects.alberta.ca/</x:v>
      </x:c>
    </x:row>
    <x:row r="428">
      <x:c r="A428" s="63" t="str">
        <x:v>ABMP_12150</x:v>
      </x:c>
      <x:c r="B428" s="63" t="str">
        <x:v>K-5 School in Mahogany (Calgary)</x:v>
      </x:c>
      <x:c r="C428" s="63" t="str">
        <x:v>Schools And Postsecondary</x:v>
      </x:c>
      <x:c r="D428" s="63" t="str">
        <x:v>inferred</x:v>
      </x:c>
      <x:c r="E428" s="63" t="str">
        <x:v>School</x:v>
      </x:c>
      <x:c r="F428" s="63" t="str">
        <x:v>Institutional</x:v>
      </x:c>
      <x:c r="G428" s="63" t="str">
        <x:v>Alberta Infrastructure</x:v>
      </x:c>
      <x:c r="H428" s="63" t="str">
        <x:v>Government Or Public Institution Signal</x:v>
      </x:c>
      <x:c r="I428" s="63" t="str">
        <x:v>inferred</x:v>
      </x:c>
      <x:c r="J428" s="63" t="str">
        <x:v>Calgary</x:v>
      </x:c>
      <x:c r="K428" s="63" t="str">
        <x:v>Proposed</x:v>
      </x:c>
      <x:c r="L428" s="143"/>
      <x:c r="M428" s="179"/>
      <x:c r="N428" s="179"/>
      <x:c r="O428" s="63" t="str">
        <x:v>indeterminate_incomplete_schedule</x:v>
      </x:c>
      <x:c r="P428" s="63" t="str"/>
      <x:c r="Q428" s="143"/>
      <x:c r="R428" s="143"/>
      <x:c r="S428" s="154" t="n">
        <x:v>-113.9235361128709</x:v>
      </x:c>
      <x:c r="T428" s="154" t="n">
        <x:v>50.88874357747589</x:v>
      </x:c>
      <x:c r="U428" s="63" t="str">
        <x:v>approximate</x:v>
      </x:c>
      <x:c r="V428" s="63" t="str">
        <x:v>ALBERTA_MAJOR_PROJECTS</x:v>
      </x:c>
      <x:c r="W428" s="63" t="str">
        <x:v>observed</x:v>
      </x:c>
      <x:c r="X428" s="155" t="n">
        <x:v>46265</x:v>
      </x:c>
      <x:c r="Y428" s="63" t="str">
        <x:v>https://www.majorprojects.alberta.ca/</x:v>
      </x:c>
    </x:row>
    <x:row r="429">
      <x:c r="A429" s="63" t="str">
        <x:v>ABMP_12144</x:v>
      </x:c>
      <x:c r="B429" s="63" t="str">
        <x:v>K-5 School in Walden (Calgary)</x:v>
      </x:c>
      <x:c r="C429" s="63" t="str">
        <x:v>Schools And Postsecondary</x:v>
      </x:c>
      <x:c r="D429" s="63" t="str">
        <x:v>inferred</x:v>
      </x:c>
      <x:c r="E429" s="63" t="str">
        <x:v>School</x:v>
      </x:c>
      <x:c r="F429" s="63" t="str">
        <x:v>Institutional</x:v>
      </x:c>
      <x:c r="G429" s="63" t="str">
        <x:v>Alberta Infrastructure</x:v>
      </x:c>
      <x:c r="H429" s="63" t="str">
        <x:v>Government Or Public Institution Signal</x:v>
      </x:c>
      <x:c r="I429" s="63" t="str">
        <x:v>inferred</x:v>
      </x:c>
      <x:c r="J429" s="63" t="str">
        <x:v>Calgary</x:v>
      </x:c>
      <x:c r="K429" s="63" t="str">
        <x:v>Proposed</x:v>
      </x:c>
      <x:c r="L429" s="143"/>
      <x:c r="M429" s="179"/>
      <x:c r="N429" s="179"/>
      <x:c r="O429" s="63" t="str">
        <x:v>indeterminate_incomplete_schedule</x:v>
      </x:c>
      <x:c r="P429" s="63" t="str"/>
      <x:c r="Q429" s="143"/>
      <x:c r="R429" s="143"/>
      <x:c r="S429" s="154" t="n">
        <x:v>-114.03578798060607</x:v>
      </x:c>
      <x:c r="T429" s="154" t="n">
        <x:v>50.87434591239478</x:v>
      </x:c>
      <x:c r="U429" s="63" t="str">
        <x:v>approximate</x:v>
      </x:c>
      <x:c r="V429" s="63" t="str">
        <x:v>ALBERTA_MAJOR_PROJECTS</x:v>
      </x:c>
      <x:c r="W429" s="63" t="str">
        <x:v>observed</x:v>
      </x:c>
      <x:c r="X429" s="155" t="n">
        <x:v>46265</x:v>
      </x:c>
      <x:c r="Y429" s="63" t="str">
        <x:v>https://www.majorprojects.alberta.ca/</x:v>
      </x:c>
    </x:row>
    <x:row r="430">
      <x:c r="A430" s="63" t="str">
        <x:v>ABMP_12131</x:v>
      </x:c>
      <x:c r="B430" s="63" t="str">
        <x:v>K-6 Francophone School in Haddow (Edmonton)</x:v>
      </x:c>
      <x:c r="C430" s="63" t="str">
        <x:v>Schools And Postsecondary</x:v>
      </x:c>
      <x:c r="D430" s="63" t="str">
        <x:v>inferred</x:v>
      </x:c>
      <x:c r="E430" s="63" t="str">
        <x:v>School</x:v>
      </x:c>
      <x:c r="F430" s="63" t="str">
        <x:v>Institutional</x:v>
      </x:c>
      <x:c r="G430" s="63" t="str">
        <x:v>Alberta Infrastructure</x:v>
      </x:c>
      <x:c r="H430" s="63" t="str">
        <x:v>Government Or Public Institution Signal</x:v>
      </x:c>
      <x:c r="I430" s="63" t="str">
        <x:v>inferred</x:v>
      </x:c>
      <x:c r="J430" s="63" t="str">
        <x:v>Edmonton</x:v>
      </x:c>
      <x:c r="K430" s="63" t="str">
        <x:v>Proposed</x:v>
      </x:c>
      <x:c r="L430" s="143"/>
      <x:c r="M430" s="179"/>
      <x:c r="N430" s="179"/>
      <x:c r="O430" s="63" t="str">
        <x:v>indeterminate_incomplete_schedule</x:v>
      </x:c>
      <x:c r="P430" s="63" t="str"/>
      <x:c r="Q430" s="143"/>
      <x:c r="R430" s="143"/>
      <x:c r="S430" s="154" t="n">
        <x:v>-113.59654931809811</x:v>
      </x:c>
      <x:c r="T430" s="154" t="n">
        <x:v>53.454621633785045</x:v>
      </x:c>
      <x:c r="U430" s="63" t="str">
        <x:v>approximate</x:v>
      </x:c>
      <x:c r="V430" s="63" t="str">
        <x:v>ALBERTA_MAJOR_PROJECTS</x:v>
      </x:c>
      <x:c r="W430" s="63" t="str">
        <x:v>observed</x:v>
      </x:c>
      <x:c r="X430" s="155" t="n">
        <x:v>46265</x:v>
      </x:c>
      <x:c r="Y430" s="63" t="str">
        <x:v>https://www.majorprojects.alberta.ca/</x:v>
      </x:c>
    </x:row>
    <x:row r="431">
      <x:c r="A431" s="63" t="str">
        <x:v>ABMP_12128</x:v>
      </x:c>
      <x:c r="B431" s="63" t="str">
        <x:v>K-6 Francophone School in Matt Berry</x:v>
      </x:c>
      <x:c r="C431" s="63" t="str">
        <x:v>Schools And Postsecondary</x:v>
      </x:c>
      <x:c r="D431" s="63" t="str">
        <x:v>inferred</x:v>
      </x:c>
      <x:c r="E431" s="63" t="str">
        <x:v>School</x:v>
      </x:c>
      <x:c r="F431" s="63" t="str">
        <x:v>Institutional</x:v>
      </x:c>
      <x:c r="G431" s="63" t="str">
        <x:v>Alberta Infrastructure</x:v>
      </x:c>
      <x:c r="H431" s="63" t="str">
        <x:v>Government Or Public Institution Signal</x:v>
      </x:c>
      <x:c r="I431" s="63" t="str">
        <x:v>inferred</x:v>
      </x:c>
      <x:c r="J431" s="63" t="str">
        <x:v>Edmonton</x:v>
      </x:c>
      <x:c r="K431" s="63" t="str">
        <x:v>Proposed</x:v>
      </x:c>
      <x:c r="L431" s="143"/>
      <x:c r="M431" s="179"/>
      <x:c r="N431" s="179"/>
      <x:c r="O431" s="63" t="str">
        <x:v>indeterminate_incomplete_schedule</x:v>
      </x:c>
      <x:c r="P431" s="63" t="str"/>
      <x:c r="Q431" s="143"/>
      <x:c r="R431" s="143"/>
      <x:c r="S431" s="154" t="n">
        <x:v>-113.43357541603078</x:v>
      </x:c>
      <x:c r="T431" s="154" t="n">
        <x:v>53.621437087404544</x:v>
      </x:c>
      <x:c r="U431" s="63" t="str">
        <x:v>approximate</x:v>
      </x:c>
      <x:c r="V431" s="63" t="str">
        <x:v>ALBERTA_MAJOR_PROJECTS</x:v>
      </x:c>
      <x:c r="W431" s="63" t="str">
        <x:v>observed</x:v>
      </x:c>
      <x:c r="X431" s="155" t="n">
        <x:v>46265</x:v>
      </x:c>
      <x:c r="Y431" s="63" t="str">
        <x:v>https://www.majorprojects.alberta.ca/</x:v>
      </x:c>
    </x:row>
    <x:row r="432">
      <x:c r="A432" s="63" t="str">
        <x:v>ABMP_12166</x:v>
      </x:c>
      <x:c r="B432" s="63" t="str">
        <x:v>K-6 Louise Dean School Replacement (Calgary)</x:v>
      </x:c>
      <x:c r="C432" s="63" t="str">
        <x:v>Schools And Postsecondary</x:v>
      </x:c>
      <x:c r="D432" s="63" t="str">
        <x:v>inferred</x:v>
      </x:c>
      <x:c r="E432" s="63" t="str">
        <x:v>School</x:v>
      </x:c>
      <x:c r="F432" s="63" t="str">
        <x:v>Institutional</x:v>
      </x:c>
      <x:c r="G432" s="63" t="str">
        <x:v>Alberta Infrastructure</x:v>
      </x:c>
      <x:c r="H432" s="63" t="str">
        <x:v>Government Or Public Institution Signal</x:v>
      </x:c>
      <x:c r="I432" s="63" t="str">
        <x:v>inferred</x:v>
      </x:c>
      <x:c r="J432" s="63" t="str">
        <x:v>Clearwater County</x:v>
      </x:c>
      <x:c r="K432" s="63" t="str">
        <x:v>Proposed</x:v>
      </x:c>
      <x:c r="L432" s="143"/>
      <x:c r="M432" s="179"/>
      <x:c r="N432" s="179"/>
      <x:c r="O432" s="63" t="str">
        <x:v>indeterminate_incomplete_schedule</x:v>
      </x:c>
      <x:c r="P432" s="63" t="str"/>
      <x:c r="Q432" s="143"/>
      <x:c r="R432" s="143"/>
      <x:c r="S432" s="154" t="n">
        <x:v>-113.96056061824738</x:v>
      </x:c>
      <x:c r="T432" s="154" t="n">
        <x:v>51.044498625162475</x:v>
      </x:c>
      <x:c r="U432" s="63" t="str">
        <x:v>reported</x:v>
      </x:c>
      <x:c r="V432" s="63" t="str">
        <x:v>ALBERTA_MAJOR_PROJECTS</x:v>
      </x:c>
      <x:c r="W432" s="63" t="str">
        <x:v>observed</x:v>
      </x:c>
      <x:c r="X432" s="155" t="n">
        <x:v>46265</x:v>
      </x:c>
      <x:c r="Y432" s="63" t="str">
        <x:v>https://www.majorprojects.alberta.ca/</x:v>
      </x:c>
    </x:row>
    <x:row r="433">
      <x:c r="A433" s="63" t="str">
        <x:v>ABMP_12151</x:v>
      </x:c>
      <x:c r="B433" s="63" t="str">
        <x:v>K-6 School in Carrington (Calgary)</x:v>
      </x:c>
      <x:c r="C433" s="63" t="str">
        <x:v>Schools And Postsecondary</x:v>
      </x:c>
      <x:c r="D433" s="63" t="str">
        <x:v>inferred</x:v>
      </x:c>
      <x:c r="E433" s="63" t="str">
        <x:v>School</x:v>
      </x:c>
      <x:c r="F433" s="63" t="str">
        <x:v>Institutional</x:v>
      </x:c>
      <x:c r="G433" s="63" t="str">
        <x:v>Alberta Infrastructure</x:v>
      </x:c>
      <x:c r="H433" s="63" t="str">
        <x:v>Government Or Public Institution Signal</x:v>
      </x:c>
      <x:c r="I433" s="63" t="str">
        <x:v>inferred</x:v>
      </x:c>
      <x:c r="J433" s="63" t="str">
        <x:v>Calgary</x:v>
      </x:c>
      <x:c r="K433" s="63" t="str">
        <x:v>Proposed</x:v>
      </x:c>
      <x:c r="L433" s="143"/>
      <x:c r="M433" s="179"/>
      <x:c r="N433" s="179"/>
      <x:c r="O433" s="63" t="str">
        <x:v>indeterminate_incomplete_schedule</x:v>
      </x:c>
      <x:c r="P433" s="63" t="str"/>
      <x:c r="Q433" s="143"/>
      <x:c r="R433" s="143"/>
      <x:c r="S433" s="154" t="n">
        <x:v>-114.0766811690242</x:v>
      </x:c>
      <x:c r="T433" s="154" t="n">
        <x:v>51.17746132304302</x:v>
      </x:c>
      <x:c r="U433" s="63" t="str">
        <x:v>approximate</x:v>
      </x:c>
      <x:c r="V433" s="63" t="str">
        <x:v>ALBERTA_MAJOR_PROJECTS</x:v>
      </x:c>
      <x:c r="W433" s="63" t="str">
        <x:v>observed</x:v>
      </x:c>
      <x:c r="X433" s="155" t="n">
        <x:v>46265</x:v>
      </x:c>
      <x:c r="Y433" s="63" t="str">
        <x:v>https://www.majorprojects.alberta.ca/</x:v>
      </x:c>
    </x:row>
    <x:row r="434">
      <x:c r="A434" s="63" t="str">
        <x:v>ABMP_12147</x:v>
      </x:c>
      <x:c r="B434" s="63" t="str">
        <x:v>K-6 School in Crystallina Nera (Edmonton)</x:v>
      </x:c>
      <x:c r="C434" s="63" t="str">
        <x:v>Schools And Postsecondary</x:v>
      </x:c>
      <x:c r="D434" s="63" t="str">
        <x:v>inferred</x:v>
      </x:c>
      <x:c r="E434" s="63" t="str">
        <x:v>School</x:v>
      </x:c>
      <x:c r="F434" s="63" t="str">
        <x:v>Institutional</x:v>
      </x:c>
      <x:c r="G434" s="63" t="str">
        <x:v>Alberta Infrastructure</x:v>
      </x:c>
      <x:c r="H434" s="63" t="str">
        <x:v>Government Or Public Institution Signal</x:v>
      </x:c>
      <x:c r="I434" s="63" t="str">
        <x:v>inferred</x:v>
      </x:c>
      <x:c r="J434" s="63" t="str">
        <x:v>Lacombe County</x:v>
      </x:c>
      <x:c r="K434" s="63" t="str">
        <x:v>Proposed</x:v>
      </x:c>
      <x:c r="L434" s="143"/>
      <x:c r="M434" s="179"/>
      <x:c r="N434" s="179"/>
      <x:c r="O434" s="63" t="str">
        <x:v>indeterminate_incomplete_schedule</x:v>
      </x:c>
      <x:c r="P434" s="63" t="str"/>
      <x:c r="Q434" s="143"/>
      <x:c r="R434" s="143"/>
      <x:c r="S434" s="154" t="n">
        <x:v>-113.45215848430573</x:v>
      </x:c>
      <x:c r="T434" s="154" t="n">
        <x:v>53.63970483580177</x:v>
      </x:c>
      <x:c r="U434" s="63" t="str">
        <x:v>approximate</x:v>
      </x:c>
      <x:c r="V434" s="63" t="str">
        <x:v>ALBERTA_MAJOR_PROJECTS</x:v>
      </x:c>
      <x:c r="W434" s="63" t="str">
        <x:v>observed</x:v>
      </x:c>
      <x:c r="X434" s="155" t="n">
        <x:v>46265</x:v>
      </x:c>
      <x:c r="Y434" s="63" t="str">
        <x:v>https://www.majorprojects.alberta.ca/</x:v>
      </x:c>
    </x:row>
    <x:row r="435">
      <x:c r="A435" s="63" t="str">
        <x:v>ABMP_12132</x:v>
      </x:c>
      <x:c r="B435" s="63" t="str">
        <x:v>K-6 and 7-12 Francophone Complex (Canmore)</x:v>
      </x:c>
      <x:c r="C435" s="63" t="str">
        <x:v>Schools And Postsecondary</x:v>
      </x:c>
      <x:c r="D435" s="63" t="str">
        <x:v>inferred</x:v>
      </x:c>
      <x:c r="E435" s="63" t="str">
        <x:v>School</x:v>
      </x:c>
      <x:c r="F435" s="63" t="str">
        <x:v>Institutional</x:v>
      </x:c>
      <x:c r="G435" s="63" t="str">
        <x:v>Alberta Infrastructure</x:v>
      </x:c>
      <x:c r="H435" s="63" t="str">
        <x:v>Government Or Public Institution Signal</x:v>
      </x:c>
      <x:c r="I435" s="63" t="str">
        <x:v>inferred</x:v>
      </x:c>
      <x:c r="J435" s="63" t="str">
        <x:v>Calgary</x:v>
      </x:c>
      <x:c r="K435" s="63" t="str">
        <x:v>Proposed</x:v>
      </x:c>
      <x:c r="L435" s="143"/>
      <x:c r="M435" s="179"/>
      <x:c r="N435" s="179"/>
      <x:c r="O435" s="63" t="str">
        <x:v>indeterminate_incomplete_schedule</x:v>
      </x:c>
      <x:c r="P435" s="63" t="str"/>
      <x:c r="Q435" s="143"/>
      <x:c r="R435" s="143"/>
      <x:c r="S435" s="154" t="n">
        <x:v>-114.008539</x:v>
      </x:c>
      <x:c r="T435" s="154" t="n">
        <x:v>50.998545</x:v>
      </x:c>
      <x:c r="U435" s="63" t="str">
        <x:v>approximate</x:v>
      </x:c>
      <x:c r="V435" s="63" t="str">
        <x:v>ALBERTA_MAJOR_PROJECTS</x:v>
      </x:c>
      <x:c r="W435" s="63" t="str">
        <x:v>observed</x:v>
      </x:c>
      <x:c r="X435" s="155" t="n">
        <x:v>46265</x:v>
      </x:c>
      <x:c r="Y435" s="63" t="str">
        <x:v>https://www.majorprojects.alberta.ca/</x:v>
      </x:c>
    </x:row>
    <x:row r="436">
      <x:c r="A436" s="63" t="str">
        <x:v>ABMP_12162</x:v>
      </x:c>
      <x:c r="B436" s="63" t="str">
        <x:v>K-6 �cole Jean-Claude Mah� School Replacement (Edmonton)</x:v>
      </x:c>
      <x:c r="C436" s="63" t="str">
        <x:v>Schools And Postsecondary</x:v>
      </x:c>
      <x:c r="D436" s="63" t="str">
        <x:v>inferred</x:v>
      </x:c>
      <x:c r="E436" s="63" t="str">
        <x:v>School</x:v>
      </x:c>
      <x:c r="F436" s="63" t="str">
        <x:v>Institutional</x:v>
      </x:c>
      <x:c r="G436" s="63" t="str">
        <x:v>Alberta Infrastructure</x:v>
      </x:c>
      <x:c r="H436" s="63" t="str">
        <x:v>Government Or Public Institution Signal</x:v>
      </x:c>
      <x:c r="I436" s="63" t="str">
        <x:v>inferred</x:v>
      </x:c>
      <x:c r="J436" s="63" t="str">
        <x:v>Edmonton</x:v>
      </x:c>
      <x:c r="K436" s="63" t="str">
        <x:v>Proposed</x:v>
      </x:c>
      <x:c r="L436" s="143"/>
      <x:c r="M436" s="179"/>
      <x:c r="N436" s="179"/>
      <x:c r="O436" s="63" t="str">
        <x:v>indeterminate_incomplete_schedule</x:v>
      </x:c>
      <x:c r="P436" s="63" t="str"/>
      <x:c r="Q436" s="143"/>
      <x:c r="R436" s="143"/>
      <x:c r="S436" s="154" t="n">
        <x:v>-113.58414670364374</x:v>
      </x:c>
      <x:c r="T436" s="154" t="n">
        <x:v>53.533088197722364</x:v>
      </x:c>
      <x:c r="U436" s="63" t="str">
        <x:v>reported</x:v>
      </x:c>
      <x:c r="V436" s="63" t="str">
        <x:v>ALBERTA_MAJOR_PROJECTS</x:v>
      </x:c>
      <x:c r="W436" s="63" t="str">
        <x:v>observed</x:v>
      </x:c>
      <x:c r="X436" s="155" t="n">
        <x:v>46265</x:v>
      </x:c>
      <x:c r="Y436" s="63" t="str">
        <x:v>https://www.majorprojects.alberta.ca/</x:v>
      </x:c>
    </x:row>
    <x:row r="437">
      <x:c r="A437" s="63" t="str">
        <x:v>ABMP_12164</x:v>
      </x:c>
      <x:c r="B437" s="63" t="str">
        <x:v>K-6 �cole Leo Nickerson Elementary School Modernization (St. Albert)</x:v>
      </x:c>
      <x:c r="C437" s="63" t="str">
        <x:v>Schools And Postsecondary</x:v>
      </x:c>
      <x:c r="D437" s="63" t="str">
        <x:v>inferred</x:v>
      </x:c>
      <x:c r="E437" s="63" t="str">
        <x:v>School</x:v>
      </x:c>
      <x:c r="F437" s="63" t="str">
        <x:v>Institutional</x:v>
      </x:c>
      <x:c r="G437" s="63" t="str">
        <x:v>Alberta Infrastructure</x:v>
      </x:c>
      <x:c r="H437" s="63" t="str">
        <x:v>Government Or Public Institution Signal</x:v>
      </x:c>
      <x:c r="I437" s="63" t="str">
        <x:v>inferred</x:v>
      </x:c>
      <x:c r="J437" s="63" t="str">
        <x:v>St. Albert</x:v>
      </x:c>
      <x:c r="K437" s="63" t="str">
        <x:v>Proposed</x:v>
      </x:c>
      <x:c r="L437" s="143"/>
      <x:c r="M437" s="179"/>
      <x:c r="N437" s="179"/>
      <x:c r="O437" s="63" t="str">
        <x:v>indeterminate_incomplete_schedule</x:v>
      </x:c>
      <x:c r="P437" s="63" t="str"/>
      <x:c r="Q437" s="143"/>
      <x:c r="R437" s="143"/>
      <x:c r="S437" s="154" t="n">
        <x:v>-113.60746099296858</x:v>
      </x:c>
      <x:c r="T437" s="154" t="n">
        <x:v>53.6298020060612</x:v>
      </x:c>
      <x:c r="U437" s="63" t="str">
        <x:v>reported</x:v>
      </x:c>
      <x:c r="V437" s="63" t="str">
        <x:v>ALBERTA_MAJOR_PROJECTS</x:v>
      </x:c>
      <x:c r="W437" s="63" t="str">
        <x:v>observed</x:v>
      </x:c>
      <x:c r="X437" s="155" t="n">
        <x:v>46265</x:v>
      </x:c>
      <x:c r="Y437" s="63" t="str">
        <x:v>https://www.majorprojects.alberta.ca/</x:v>
      </x:c>
    </x:row>
    <x:row r="438">
      <x:c r="A438" s="63" t="str">
        <x:v>ABMP_12141</x:v>
      </x:c>
      <x:c r="B438" s="63" t="str">
        <x:v>K-8 School in Buffalo Lake Metis Settlement</x:v>
      </x:c>
      <x:c r="C438" s="63" t="str">
        <x:v>Schools And Postsecondary</x:v>
      </x:c>
      <x:c r="D438" s="63" t="str">
        <x:v>inferred</x:v>
      </x:c>
      <x:c r="E438" s="63" t="str">
        <x:v>School</x:v>
      </x:c>
      <x:c r="F438" s="63" t="str">
        <x:v>Institutional</x:v>
      </x:c>
      <x:c r="G438" s="63" t="str">
        <x:v>Alberta Infrastructure</x:v>
      </x:c>
      <x:c r="H438" s="63" t="str">
        <x:v>Government Or Public Institution Signal</x:v>
      </x:c>
      <x:c r="I438" s="63" t="str">
        <x:v>inferred</x:v>
      </x:c>
      <x:c r="J438" s="63" t="str">
        <x:v>Smoky Lake County</x:v>
      </x:c>
      <x:c r="K438" s="63" t="str">
        <x:v>Proposed</x:v>
      </x:c>
      <x:c r="L438" s="143"/>
      <x:c r="M438" s="179"/>
      <x:c r="N438" s="179"/>
      <x:c r="O438" s="63" t="str">
        <x:v>indeterminate_incomplete_schedule</x:v>
      </x:c>
      <x:c r="P438" s="63" t="str"/>
      <x:c r="Q438" s="143"/>
      <x:c r="R438" s="143"/>
      <x:c r="S438" s="154" t="n">
        <x:v>-112.44943587845162</x:v>
      </x:c>
      <x:c r="T438" s="154" t="n">
        <x:v>54.52714683986506</x:v>
      </x:c>
      <x:c r="U438" s="63" t="str">
        <x:v>approximate</x:v>
      </x:c>
      <x:c r="V438" s="63" t="str">
        <x:v>ALBERTA_MAJOR_PROJECTS</x:v>
      </x:c>
      <x:c r="W438" s="63" t="str">
        <x:v>observed</x:v>
      </x:c>
      <x:c r="X438" s="155" t="n">
        <x:v>46265</x:v>
      </x:c>
      <x:c r="Y438" s="63" t="str">
        <x:v>https://www.majorprojects.alberta.ca/</x:v>
      </x:c>
    </x:row>
    <x:row r="439">
      <x:c r="A439" s="63" t="str">
        <x:v>ABMP_12136</x:v>
      </x:c>
      <x:c r="B439" s="63" t="str">
        <x:v>K-9 Catholic School in Chinook Gate (Airdrie)</x:v>
      </x:c>
      <x:c r="C439" s="63" t="str">
        <x:v>Schools And Postsecondary</x:v>
      </x:c>
      <x:c r="D439" s="63" t="str">
        <x:v>inferred</x:v>
      </x:c>
      <x:c r="E439" s="63" t="str">
        <x:v>School</x:v>
      </x:c>
      <x:c r="F439" s="63" t="str">
        <x:v>Institutional</x:v>
      </x:c>
      <x:c r="G439" s="63" t="str">
        <x:v>Alberta Infrastructure</x:v>
      </x:c>
      <x:c r="H439" s="63" t="str">
        <x:v>Government Or Public Institution Signal</x:v>
      </x:c>
      <x:c r="I439" s="63" t="str">
        <x:v>inferred</x:v>
      </x:c>
      <x:c r="J439" s="63" t="str">
        <x:v>Airdrie</x:v>
      </x:c>
      <x:c r="K439" s="63" t="str">
        <x:v>Proposed</x:v>
      </x:c>
      <x:c r="L439" s="143"/>
      <x:c r="M439" s="179"/>
      <x:c r="N439" s="179"/>
      <x:c r="O439" s="63" t="str">
        <x:v>indeterminate_incomplete_schedule</x:v>
      </x:c>
      <x:c r="P439" s="63" t="str"/>
      <x:c r="Q439" s="143"/>
      <x:c r="R439" s="143"/>
      <x:c r="S439" s="154" t="n">
        <x:v>-114.04129</x:v>
      </x:c>
      <x:c r="T439" s="154" t="n">
        <x:v>51.26849</x:v>
      </x:c>
      <x:c r="U439" s="63" t="str">
        <x:v>approximate</x:v>
      </x:c>
      <x:c r="V439" s="63" t="str">
        <x:v>ALBERTA_MAJOR_PROJECTS</x:v>
      </x:c>
      <x:c r="W439" s="63" t="str">
        <x:v>observed</x:v>
      </x:c>
      <x:c r="X439" s="155" t="n">
        <x:v>46265</x:v>
      </x:c>
      <x:c r="Y439" s="63" t="str">
        <x:v>https://www.majorprojects.alberta.ca/</x:v>
      </x:c>
    </x:row>
    <x:row r="440">
      <x:c r="A440" s="63" t="str">
        <x:v>ABMP_12130</x:v>
      </x:c>
      <x:c r="B440" s="63" t="str">
        <x:v>K-9 Catholic School in Cityscape (Calgary)</x:v>
      </x:c>
      <x:c r="C440" s="63" t="str">
        <x:v>Schools And Postsecondary</x:v>
      </x:c>
      <x:c r="D440" s="63" t="str">
        <x:v>inferred</x:v>
      </x:c>
      <x:c r="E440" s="63" t="str">
        <x:v>School</x:v>
      </x:c>
      <x:c r="F440" s="63" t="str">
        <x:v>Institutional</x:v>
      </x:c>
      <x:c r="G440" s="63" t="str">
        <x:v>Alberta Infrastructure</x:v>
      </x:c>
      <x:c r="H440" s="63" t="str">
        <x:v>Government Or Public Institution Signal</x:v>
      </x:c>
      <x:c r="I440" s="63" t="str">
        <x:v>inferred</x:v>
      </x:c>
      <x:c r="J440" s="63" t="str">
        <x:v>Calgary</x:v>
      </x:c>
      <x:c r="K440" s="63" t="str">
        <x:v>Proposed</x:v>
      </x:c>
      <x:c r="L440" s="143"/>
      <x:c r="M440" s="179"/>
      <x:c r="N440" s="179"/>
      <x:c r="O440" s="63" t="str">
        <x:v>indeterminate_incomplete_schedule</x:v>
      </x:c>
      <x:c r="P440" s="63" t="str"/>
      <x:c r="Q440" s="143"/>
      <x:c r="R440" s="143"/>
      <x:c r="S440" s="154" t="n">
        <x:v>-113.95907714103727</x:v>
      </x:c>
      <x:c r="T440" s="154" t="n">
        <x:v>51.14264231787025</x:v>
      </x:c>
      <x:c r="U440" s="63" t="str">
        <x:v>approximate</x:v>
      </x:c>
      <x:c r="V440" s="63" t="str">
        <x:v>ALBERTA_MAJOR_PROJECTS</x:v>
      </x:c>
      <x:c r="W440" s="63" t="str">
        <x:v>observed</x:v>
      </x:c>
      <x:c r="X440" s="155" t="n">
        <x:v>46265</x:v>
      </x:c>
      <x:c r="Y440" s="63" t="str">
        <x:v>https://www.majorprojects.alberta.ca/</x:v>
      </x:c>
    </x:row>
    <x:row r="441">
      <x:c r="A441" s="63" t="str">
        <x:v>ABMP_12157</x:v>
      </x:c>
      <x:c r="B441" s="63" t="str">
        <x:v>K-9 Catholic School in Kirkness (Edmonton)</x:v>
      </x:c>
      <x:c r="C441" s="63" t="str">
        <x:v>Schools And Postsecondary</x:v>
      </x:c>
      <x:c r="D441" s="63" t="str">
        <x:v>inferred</x:v>
      </x:c>
      <x:c r="E441" s="63" t="str">
        <x:v>School</x:v>
      </x:c>
      <x:c r="F441" s="63" t="str">
        <x:v>Institutional</x:v>
      </x:c>
      <x:c r="G441" s="63" t="str">
        <x:v>Alberta Infrastructure</x:v>
      </x:c>
      <x:c r="H441" s="63" t="str">
        <x:v>Government Or Public Institution Signal</x:v>
      </x:c>
      <x:c r="I441" s="63" t="str">
        <x:v>inferred</x:v>
      </x:c>
      <x:c r="J441" s="63" t="str">
        <x:v>Edmonton</x:v>
      </x:c>
      <x:c r="K441" s="63" t="str">
        <x:v>Proposed</x:v>
      </x:c>
      <x:c r="L441" s="143"/>
      <x:c r="M441" s="179"/>
      <x:c r="N441" s="179"/>
      <x:c r="O441" s="63" t="str">
        <x:v>indeterminate_incomplete_schedule</x:v>
      </x:c>
      <x:c r="P441" s="63" t="str"/>
      <x:c r="Q441" s="143"/>
      <x:c r="R441" s="143"/>
      <x:c r="S441" s="154" t="n">
        <x:v>-113.38529782514864</x:v>
      </x:c>
      <x:c r="T441" s="154" t="n">
        <x:v>53.612866995014485</x:v>
      </x:c>
      <x:c r="U441" s="63" t="str">
        <x:v>approximate</x:v>
      </x:c>
      <x:c r="V441" s="63" t="str">
        <x:v>ALBERTA_MAJOR_PROJECTS</x:v>
      </x:c>
      <x:c r="W441" s="63" t="str">
        <x:v>observed</x:v>
      </x:c>
      <x:c r="X441" s="155" t="n">
        <x:v>46265</x:v>
      </x:c>
      <x:c r="Y441" s="63" t="str">
        <x:v>https://www.majorprojects.alberta.ca/</x:v>
      </x:c>
    </x:row>
    <x:row r="442">
      <x:c r="A442" s="63" t="str">
        <x:v>ABMP_12154</x:v>
      </x:c>
      <x:c r="B442" s="63" t="str">
        <x:v>K-9 Catholic School in Mahogany (Calgary)</x:v>
      </x:c>
      <x:c r="C442" s="63" t="str">
        <x:v>Schools And Postsecondary</x:v>
      </x:c>
      <x:c r="D442" s="63" t="str">
        <x:v>inferred</x:v>
      </x:c>
      <x:c r="E442" s="63" t="str">
        <x:v>School</x:v>
      </x:c>
      <x:c r="F442" s="63" t="str">
        <x:v>Institutional</x:v>
      </x:c>
      <x:c r="G442" s="63" t="str">
        <x:v>Alberta Infrastructure</x:v>
      </x:c>
      <x:c r="H442" s="63" t="str">
        <x:v>Government Or Public Institution Signal</x:v>
      </x:c>
      <x:c r="I442" s="63" t="str">
        <x:v>inferred</x:v>
      </x:c>
      <x:c r="J442" s="63" t="str">
        <x:v>Calgary</x:v>
      </x:c>
      <x:c r="K442" s="63" t="str">
        <x:v>Proposed</x:v>
      </x:c>
      <x:c r="L442" s="143"/>
      <x:c r="M442" s="179"/>
      <x:c r="N442" s="179"/>
      <x:c r="O442" s="63" t="str">
        <x:v>indeterminate_incomplete_schedule</x:v>
      </x:c>
      <x:c r="P442" s="63" t="str"/>
      <x:c r="Q442" s="143"/>
      <x:c r="R442" s="143"/>
      <x:c r="S442" s="154" t="n">
        <x:v>-113.93487239836621</x:v>
      </x:c>
      <x:c r="T442" s="154" t="n">
        <x:v>50.88733610312309</x:v>
      </x:c>
      <x:c r="U442" s="63" t="str">
        <x:v>approximate</x:v>
      </x:c>
      <x:c r="V442" s="63" t="str">
        <x:v>ALBERTA_MAJOR_PROJECTS</x:v>
      </x:c>
      <x:c r="W442" s="63" t="str">
        <x:v>observed</x:v>
      </x:c>
      <x:c r="X442" s="155" t="n">
        <x:v>46265</x:v>
      </x:c>
      <x:c r="Y442" s="63" t="str">
        <x:v>https://www.majorprojects.alberta.ca/</x:v>
      </x:c>
    </x:row>
    <x:row r="443">
      <x:c r="A443" s="63" t="str">
        <x:v>ABMP_12153</x:v>
      </x:c>
      <x:c r="B443" s="63" t="str">
        <x:v>K-9 Catholic School in Riverside (St. Albert)</x:v>
      </x:c>
      <x:c r="C443" s="63" t="str">
        <x:v>Schools And Postsecondary</x:v>
      </x:c>
      <x:c r="D443" s="63" t="str">
        <x:v>inferred</x:v>
      </x:c>
      <x:c r="E443" s="63" t="str">
        <x:v>School</x:v>
      </x:c>
      <x:c r="F443" s="63" t="str">
        <x:v>Institutional</x:v>
      </x:c>
      <x:c r="G443" s="63" t="str">
        <x:v>Alberta Infrastructure</x:v>
      </x:c>
      <x:c r="H443" s="63" t="str">
        <x:v>Government Or Public Institution Signal</x:v>
      </x:c>
      <x:c r="I443" s="63" t="str">
        <x:v>inferred</x:v>
      </x:c>
      <x:c r="J443" s="63" t="str">
        <x:v>St. Albert</x:v>
      </x:c>
      <x:c r="K443" s="63" t="str">
        <x:v>Proposed</x:v>
      </x:c>
      <x:c r="L443" s="143"/>
      <x:c r="M443" s="179"/>
      <x:c r="N443" s="179"/>
      <x:c r="O443" s="63" t="str">
        <x:v>indeterminate_incomplete_schedule</x:v>
      </x:c>
      <x:c r="P443" s="63" t="str"/>
      <x:c r="Q443" s="143"/>
      <x:c r="R443" s="143"/>
      <x:c r="S443" s="154" t="n">
        <x:v>-113.65183622789918</x:v>
      </x:c>
      <x:c r="T443" s="154" t="n">
        <x:v>53.632636125173775</x:v>
      </x:c>
      <x:c r="U443" s="63" t="str">
        <x:v>approximate</x:v>
      </x:c>
      <x:c r="V443" s="63" t="str">
        <x:v>ALBERTA_MAJOR_PROJECTS</x:v>
      </x:c>
      <x:c r="W443" s="63" t="str">
        <x:v>observed</x:v>
      </x:c>
      <x:c r="X443" s="155" t="n">
        <x:v>46265</x:v>
      </x:c>
      <x:c r="Y443" s="63" t="str">
        <x:v>https://www.majorprojects.alberta.ca/</x:v>
      </x:c>
    </x:row>
    <x:row r="444">
      <x:c r="A444" s="63" t="str">
        <x:v>ABMP_12165</x:v>
      </x:c>
      <x:c r="B444" s="63" t="str">
        <x:v>K-9 Legal School Modernization</x:v>
      </x:c>
      <x:c r="C444" s="63" t="str">
        <x:v>Schools And Postsecondary</x:v>
      </x:c>
      <x:c r="D444" s="63" t="str">
        <x:v>inferred</x:v>
      </x:c>
      <x:c r="E444" s="63" t="str">
        <x:v>School</x:v>
      </x:c>
      <x:c r="F444" s="63" t="str">
        <x:v>Institutional</x:v>
      </x:c>
      <x:c r="G444" s="63" t="str">
        <x:v>Alberta Infrastructure</x:v>
      </x:c>
      <x:c r="H444" s="63" t="str">
        <x:v>Government Or Public Institution Signal</x:v>
      </x:c>
      <x:c r="I444" s="63" t="str">
        <x:v>inferred</x:v>
      </x:c>
      <x:c r="J444" s="63" t="str">
        <x:v>Legal</x:v>
      </x:c>
      <x:c r="K444" s="63" t="str">
        <x:v>Proposed</x:v>
      </x:c>
      <x:c r="L444" s="143"/>
      <x:c r="M444" s="179"/>
      <x:c r="N444" s="179"/>
      <x:c r="O444" s="63" t="str">
        <x:v>indeterminate_incomplete_schedule</x:v>
      </x:c>
      <x:c r="P444" s="63" t="str"/>
      <x:c r="Q444" s="143"/>
      <x:c r="R444" s="143"/>
      <x:c r="S444" s="154" t="n">
        <x:v>-113.59026268740203</x:v>
      </x:c>
      <x:c r="T444" s="154" t="n">
        <x:v>53.950819464246926</x:v>
      </x:c>
      <x:c r="U444" s="63" t="str">
        <x:v>reported</x:v>
      </x:c>
      <x:c r="V444" s="63" t="str">
        <x:v>ALBERTA_MAJOR_PROJECTS</x:v>
      </x:c>
      <x:c r="W444" s="63" t="str">
        <x:v>observed</x:v>
      </x:c>
      <x:c r="X444" s="155" t="n">
        <x:v>46265</x:v>
      </x:c>
      <x:c r="Y444" s="63" t="str">
        <x:v>https://www.majorprojects.alberta.ca/</x:v>
      </x:c>
    </x:row>
    <x:row r="445">
      <x:c r="A445" s="63" t="str">
        <x:v>ABMP_11711</x:v>
      </x:c>
      <x:c r="B445" s="63" t="str">
        <x:v>K-9 School Solution in Cold Lake</x:v>
      </x:c>
      <x:c r="C445" s="63" t="str">
        <x:v>Schools And Postsecondary</x:v>
      </x:c>
      <x:c r="D445" s="63" t="str">
        <x:v>inferred</x:v>
      </x:c>
      <x:c r="E445" s="63" t="str">
        <x:v>School</x:v>
      </x:c>
      <x:c r="F445" s="63" t="str">
        <x:v>Institutional</x:v>
      </x:c>
      <x:c r="G445" s="63" t="str">
        <x:v>Alberta Infrastructure</x:v>
      </x:c>
      <x:c r="H445" s="63" t="str">
        <x:v>Government Or Public Institution Signal</x:v>
      </x:c>
      <x:c r="I445" s="63" t="str">
        <x:v>inferred</x:v>
      </x:c>
      <x:c r="J445" s="63" t="str">
        <x:v>Cold Lake</x:v>
      </x:c>
      <x:c r="K445" s="63" t="str">
        <x:v>Proposed</x:v>
      </x:c>
      <x:c r="L445" s="143"/>
      <x:c r="M445" s="179"/>
      <x:c r="N445" s="179"/>
      <x:c r="O445" s="63" t="str">
        <x:v>indeterminate_incomplete_schedule</x:v>
      </x:c>
      <x:c r="P445" s="63" t="str"/>
      <x:c r="Q445" s="143"/>
      <x:c r="R445" s="143"/>
      <x:c r="S445" s="154" t="n">
        <x:v>-110.201476</x:v>
      </x:c>
      <x:c r="T445" s="154" t="n">
        <x:v>54.46886</x:v>
      </x:c>
      <x:c r="U445" s="63" t="str">
        <x:v>approximate</x:v>
      </x:c>
      <x:c r="V445" s="63" t="str">
        <x:v>ALBERTA_MAJOR_PROJECTS</x:v>
      </x:c>
      <x:c r="W445" s="63" t="str">
        <x:v>observed</x:v>
      </x:c>
      <x:c r="X445" s="155" t="n">
        <x:v>46265</x:v>
      </x:c>
      <x:c r="Y445" s="63" t="str">
        <x:v>https://www.majorprojects.alberta.ca/</x:v>
      </x:c>
    </x:row>
    <x:row r="446">
      <x:c r="A446" s="63" t="str">
        <x:v>ABMP_12152</x:v>
      </x:c>
      <x:c r="B446" s="63" t="str">
        <x:v>K-9 School in Aster (Edmonton)</x:v>
      </x:c>
      <x:c r="C446" s="63" t="str">
        <x:v>Schools And Postsecondary</x:v>
      </x:c>
      <x:c r="D446" s="63" t="str">
        <x:v>inferred</x:v>
      </x:c>
      <x:c r="E446" s="63" t="str">
        <x:v>School</x:v>
      </x:c>
      <x:c r="F446" s="63" t="str">
        <x:v>Institutional</x:v>
      </x:c>
      <x:c r="G446" s="63" t="str">
        <x:v>Alberta Infrastructure</x:v>
      </x:c>
      <x:c r="H446" s="63" t="str">
        <x:v>Government Or Public Institution Signal</x:v>
      </x:c>
      <x:c r="I446" s="63" t="str">
        <x:v>inferred</x:v>
      </x:c>
      <x:c r="J446" s="63" t="str">
        <x:v>Edmonton</x:v>
      </x:c>
      <x:c r="K446" s="63" t="str">
        <x:v>Proposed</x:v>
      </x:c>
      <x:c r="L446" s="143" t="n">
        <x:v>6000000</x:v>
      </x:c>
      <x:c r="M446" s="179"/>
      <x:c r="N446" s="179"/>
      <x:c r="O446" s="63" t="str">
        <x:v>indeterminate_incomplete_schedule</x:v>
      </x:c>
      <x:c r="P446" s="63" t="str"/>
      <x:c r="Q446" s="143"/>
      <x:c r="R446" s="143"/>
      <x:c r="S446" s="154" t="n">
        <x:v>-113.35817125735271</x:v>
      </x:c>
      <x:c r="T446" s="154" t="n">
        <x:v>53.450625567696754</x:v>
      </x:c>
      <x:c r="U446" s="63" t="str">
        <x:v>approximate</x:v>
      </x:c>
      <x:c r="V446" s="63" t="str">
        <x:v>ALBERTA_MAJOR_PROJECTS</x:v>
      </x:c>
      <x:c r="W446" s="63" t="str">
        <x:v>observed</x:v>
      </x:c>
      <x:c r="X446" s="155" t="n">
        <x:v>46265</x:v>
      </x:c>
      <x:c r="Y446" s="63" t="str">
        <x:v>https://www.majorprojects.alberta.ca/</x:v>
      </x:c>
    </x:row>
    <x:row r="447">
      <x:c r="A447" s="63" t="str">
        <x:v>ABMP_12140</x:v>
      </x:c>
      <x:c r="B447" s="63" t="str">
        <x:v>K-9 School in Country Hills (Calgary)</x:v>
      </x:c>
      <x:c r="C447" s="63" t="str">
        <x:v>Schools And Postsecondary</x:v>
      </x:c>
      <x:c r="D447" s="63" t="str">
        <x:v>inferred</x:v>
      </x:c>
      <x:c r="E447" s="63" t="str">
        <x:v>School</x:v>
      </x:c>
      <x:c r="F447" s="63" t="str">
        <x:v>Institutional</x:v>
      </x:c>
      <x:c r="G447" s="63" t="str">
        <x:v>Alberta Infrastructure</x:v>
      </x:c>
      <x:c r="H447" s="63" t="str">
        <x:v>Government Or Public Institution Signal</x:v>
      </x:c>
      <x:c r="I447" s="63" t="str">
        <x:v>inferred</x:v>
      </x:c>
      <x:c r="J447" s="63" t="str">
        <x:v>Calgary</x:v>
      </x:c>
      <x:c r="K447" s="63" t="str">
        <x:v>Proposed</x:v>
      </x:c>
      <x:c r="L447" s="143"/>
      <x:c r="M447" s="179"/>
      <x:c r="N447" s="179"/>
      <x:c r="O447" s="63" t="str">
        <x:v>indeterminate_incomplete_schedule</x:v>
      </x:c>
      <x:c r="P447" s="63" t="str"/>
      <x:c r="Q447" s="143"/>
      <x:c r="R447" s="143"/>
      <x:c r="S447" s="154" t="n">
        <x:v>-114.07072179080946</x:v>
      </x:c>
      <x:c r="T447" s="154" t="n">
        <x:v>51.14358698537063</x:v>
      </x:c>
      <x:c r="U447" s="63" t="str">
        <x:v>approximate</x:v>
      </x:c>
      <x:c r="V447" s="63" t="str">
        <x:v>ALBERTA_MAJOR_PROJECTS</x:v>
      </x:c>
      <x:c r="W447" s="63" t="str">
        <x:v>observed</x:v>
      </x:c>
      <x:c r="X447" s="155" t="n">
        <x:v>46265</x:v>
      </x:c>
      <x:c r="Y447" s="63" t="str">
        <x:v>https://www.majorprojects.alberta.ca/</x:v>
      </x:c>
    </x:row>
    <x:row r="448">
      <x:c r="A448" s="63" t="str">
        <x:v>ABMP_12143</x:v>
      </x:c>
      <x:c r="B448" s="63" t="str">
        <x:v>K-9 School in Rivers Edge (Edmonton)</x:v>
      </x:c>
      <x:c r="C448" s="63" t="str">
        <x:v>Schools And Postsecondary</x:v>
      </x:c>
      <x:c r="D448" s="63" t="str">
        <x:v>inferred</x:v>
      </x:c>
      <x:c r="E448" s="63" t="str">
        <x:v>School</x:v>
      </x:c>
      <x:c r="F448" s="63" t="str">
        <x:v>Institutional</x:v>
      </x:c>
      <x:c r="G448" s="63" t="str">
        <x:v>Alberta Infrastructure</x:v>
      </x:c>
      <x:c r="H448" s="63" t="str">
        <x:v>Government Or Public Institution Signal</x:v>
      </x:c>
      <x:c r="I448" s="63" t="str">
        <x:v>inferred</x:v>
      </x:c>
      <x:c r="J448" s="63" t="str">
        <x:v>Edmonton</x:v>
      </x:c>
      <x:c r="K448" s="63" t="str">
        <x:v>Proposed</x:v>
      </x:c>
      <x:c r="L448" s="143"/>
      <x:c r="M448" s="179"/>
      <x:c r="N448" s="179"/>
      <x:c r="O448" s="63" t="str">
        <x:v>indeterminate_incomplete_schedule</x:v>
      </x:c>
      <x:c r="P448" s="63" t="str"/>
      <x:c r="Q448" s="143"/>
      <x:c r="R448" s="143"/>
      <x:c r="S448" s="154" t="n">
        <x:v>-113.643099909692</x:v>
      </x:c>
      <x:c r="T448" s="154" t="n">
        <x:v>53.452849655327235</x:v>
      </x:c>
      <x:c r="U448" s="63" t="str">
        <x:v>approximate</x:v>
      </x:c>
      <x:c r="V448" s="63" t="str">
        <x:v>ALBERTA_MAJOR_PROJECTS</x:v>
      </x:c>
      <x:c r="W448" s="63" t="str">
        <x:v>observed</x:v>
      </x:c>
      <x:c r="X448" s="155" t="n">
        <x:v>46265</x:v>
      </x:c>
      <x:c r="Y448" s="63" t="str">
        <x:v>https://www.majorprojects.alberta.ca/</x:v>
      </x:c>
    </x:row>
    <x:row r="449">
      <x:c r="A449" s="63" t="str">
        <x:v>ABMP_12133</x:v>
      </x:c>
      <x:c r="B449" s="63" t="str">
        <x:v>K-9 School in Stillwater (Edmonton)</x:v>
      </x:c>
      <x:c r="C449" s="63" t="str">
        <x:v>Schools And Postsecondary</x:v>
      </x:c>
      <x:c r="D449" s="63" t="str">
        <x:v>inferred</x:v>
      </x:c>
      <x:c r="E449" s="63" t="str">
        <x:v>School</x:v>
      </x:c>
      <x:c r="F449" s="63" t="str">
        <x:v>Institutional</x:v>
      </x:c>
      <x:c r="G449" s="63" t="str">
        <x:v>Alberta Infrastructure</x:v>
      </x:c>
      <x:c r="H449" s="63" t="str">
        <x:v>Government Or Public Institution Signal</x:v>
      </x:c>
      <x:c r="I449" s="63" t="str">
        <x:v>inferred</x:v>
      </x:c>
      <x:c r="J449" s="63" t="str">
        <x:v>Edmonton</x:v>
      </x:c>
      <x:c r="K449" s="63" t="str">
        <x:v>Proposed</x:v>
      </x:c>
      <x:c r="L449" s="143" t="n">
        <x:v>6000000</x:v>
      </x:c>
      <x:c r="M449" s="179"/>
      <x:c r="N449" s="179"/>
      <x:c r="O449" s="63" t="str">
        <x:v>indeterminate_incomplete_schedule</x:v>
      </x:c>
      <x:c r="P449" s="63" t="str"/>
      <x:c r="Q449" s="143"/>
      <x:c r="R449" s="143"/>
      <x:c r="S449" s="154" t="n">
        <x:v>-113.400235</x:v>
      </x:c>
      <x:c r="T449" s="154" t="n">
        <x:v>53.501416</x:v>
      </x:c>
      <x:c r="U449" s="63" t="str">
        <x:v>approximate</x:v>
      </x:c>
      <x:c r="V449" s="63" t="str">
        <x:v>ALBERTA_MAJOR_PROJECTS</x:v>
      </x:c>
      <x:c r="W449" s="63" t="str">
        <x:v>observed</x:v>
      </x:c>
      <x:c r="X449" s="155" t="n">
        <x:v>46265</x:v>
      </x:c>
      <x:c r="Y449" s="63" t="str">
        <x:v>https://www.majorprojects.alberta.ca/</x:v>
      </x:c>
    </x:row>
    <x:row r="450">
      <x:c r="A450" s="63" t="str">
        <x:v>ABMP_12158</x:v>
      </x:c>
      <x:c r="B450" s="63" t="str">
        <x:v>K-9 St. Alphonsus Catholic School Replacement (Edmonton)</x:v>
      </x:c>
      <x:c r="C450" s="63" t="str">
        <x:v>Schools And Postsecondary</x:v>
      </x:c>
      <x:c r="D450" s="63" t="str">
        <x:v>inferred</x:v>
      </x:c>
      <x:c r="E450" s="63" t="str">
        <x:v>School</x:v>
      </x:c>
      <x:c r="F450" s="63" t="str">
        <x:v>Institutional</x:v>
      </x:c>
      <x:c r="G450" s="63" t="str">
        <x:v>Alberta Infrastructure</x:v>
      </x:c>
      <x:c r="H450" s="63" t="str">
        <x:v>Government Or Public Institution Signal</x:v>
      </x:c>
      <x:c r="I450" s="63" t="str">
        <x:v>inferred</x:v>
      </x:c>
      <x:c r="J450" s="63" t="str">
        <x:v>Edmonton</x:v>
      </x:c>
      <x:c r="K450" s="63" t="str">
        <x:v>Proposed</x:v>
      </x:c>
      <x:c r="L450" s="143"/>
      <x:c r="M450" s="179"/>
      <x:c r="N450" s="179"/>
      <x:c r="O450" s="63" t="str">
        <x:v>indeterminate_incomplete_schedule</x:v>
      </x:c>
      <x:c r="P450" s="63" t="str"/>
      <x:c r="Q450" s="143"/>
      <x:c r="R450" s="143"/>
      <x:c r="S450" s="154" t="n">
        <x:v>-113.46588205945196</x:v>
      </x:c>
      <x:c r="T450" s="154" t="n">
        <x:v>53.568097831515395</x:v>
      </x:c>
      <x:c r="U450" s="63" t="str">
        <x:v>reported</x:v>
      </x:c>
      <x:c r="V450" s="63" t="str">
        <x:v>ALBERTA_MAJOR_PROJECTS</x:v>
      </x:c>
      <x:c r="W450" s="63" t="str">
        <x:v>observed</x:v>
      </x:c>
      <x:c r="X450" s="155" t="n">
        <x:v>46265</x:v>
      </x:c>
      <x:c r="Y450" s="63" t="str">
        <x:v>https://www.majorprojects.alberta.ca/</x:v>
      </x:c>
    </x:row>
    <x:row r="451">
      <x:c r="A451" s="63" t="str">
        <x:v>ABMP_11710</x:v>
      </x:c>
      <x:c r="B451" s="63" t="str">
        <x:v>Kisiko Awasis School Replacement Muskiki Lake</x:v>
      </x:c>
      <x:c r="C451" s="63" t="str">
        <x:v>Schools And Postsecondary</x:v>
      </x:c>
      <x:c r="D451" s="63" t="str">
        <x:v>inferred</x:v>
      </x:c>
      <x:c r="E451" s="63" t="str">
        <x:v>School</x:v>
      </x:c>
      <x:c r="F451" s="63" t="str">
        <x:v>Institutional</x:v>
      </x:c>
      <x:c r="G451" s="63" t="str">
        <x:v>Alberta Infrastructure</x:v>
      </x:c>
      <x:c r="H451" s="63" t="str">
        <x:v>Government Or Public Institution Signal</x:v>
      </x:c>
      <x:c r="I451" s="63" t="str">
        <x:v>inferred</x:v>
      </x:c>
      <x:c r="J451" s="63" t="str">
        <x:v>Yellowhead County</x:v>
      </x:c>
      <x:c r="K451" s="63" t="str">
        <x:v>Proposed</x:v>
      </x:c>
      <x:c r="L451" s="143"/>
      <x:c r="M451" s="179"/>
      <x:c r="N451" s="179"/>
      <x:c r="O451" s="63" t="str">
        <x:v>indeterminate_incomplete_schedule</x:v>
      </x:c>
      <x:c r="P451" s="63" t="str"/>
      <x:c r="Q451" s="143"/>
      <x:c r="R451" s="143"/>
      <x:c r="S451" s="154" t="n">
        <x:v>-116.788886</x:v>
      </x:c>
      <x:c r="T451" s="154" t="n">
        <x:v>52.8315</x:v>
      </x:c>
      <x:c r="U451" s="63" t="str">
        <x:v>reported</x:v>
      </x:c>
      <x:c r="V451" s="63" t="str">
        <x:v>ALBERTA_MAJOR_PROJECTS</x:v>
      </x:c>
      <x:c r="W451" s="63" t="str">
        <x:v>observed</x:v>
      </x:c>
      <x:c r="X451" s="155" t="n">
        <x:v>46265</x:v>
      </x:c>
      <x:c r="Y451" s="63" t="str">
        <x:v>https://www.majorprojects.alberta.ca/</x:v>
      </x:c>
    </x:row>
    <x:row r="452">
      <x:c r="A452" s="63" t="str">
        <x:v>ABMP_11628</x:v>
      </x:c>
      <x:c r="B452" s="63" t="str">
        <x:v>Life Sciences Innovation and Future Technologies (LIFT) Centre</x:v>
      </x:c>
      <x:c r="C452" s="63" t="str">
        <x:v>Schools And Postsecondary</x:v>
      </x:c>
      <x:c r="D452" s="63" t="str">
        <x:v>inferred</x:v>
      </x:c>
      <x:c r="E452" s="63" t="str">
        <x:v>Post-Secondary</x:v>
      </x:c>
      <x:c r="F452" s="63" t="str">
        <x:v>Institutional</x:v>
      </x:c>
      <x:c r="G452" s="63" t="str">
        <x:v>University of Alberta</x:v>
      </x:c>
      <x:c r="H452" s="63" t="str">
        <x:v>Government Or Public Institution Signal</x:v>
      </x:c>
      <x:c r="I452" s="63" t="str">
        <x:v>inferred</x:v>
      </x:c>
      <x:c r="J452" s="63" t="str">
        <x:v>Edmonton</x:v>
      </x:c>
      <x:c r="K452" s="63" t="str">
        <x:v>Proposed</x:v>
      </x:c>
      <x:c r="L452" s="143" t="n">
        <x:v>218700000</x:v>
      </x:c>
      <x:c r="M452" s="179" t="n">
        <x:v>2027</x:v>
      </x:c>
      <x:c r="N452" s="179" t="n">
        <x:v>2029</x:v>
      </x:c>
      <x:c r="O452" s="63" t="str">
        <x:v>overlaps</x:v>
      </x:c>
      <x:c r="P452" s="63" t="str">
        <x:v>2027|2028|2029</x:v>
      </x:c>
      <x:c r="Q452" s="143" t="n">
        <x:v>72900000</x:v>
      </x:c>
      <x:c r="R452" s="143" t="n">
        <x:v>218700000</x:v>
      </x:c>
      <x:c r="S452" s="154" t="n">
        <x:v>-113.525993</x:v>
      </x:c>
      <x:c r="T452" s="154" t="n">
        <x:v>53.529102</x:v>
      </x:c>
      <x:c r="U452" s="63" t="str">
        <x:v>reported</x:v>
      </x:c>
      <x:c r="V452" s="63" t="str">
        <x:v>ALBERTA_MAJOR_PROJECTS</x:v>
      </x:c>
      <x:c r="W452" s="63" t="str">
        <x:v>observed</x:v>
      </x:c>
      <x:c r="X452" s="155" t="n">
        <x:v>46265</x:v>
      </x:c>
      <x:c r="Y452" s="63" t="str">
        <x:v>https://www.majorprojects.alberta.ca/</x:v>
      </x:c>
    </x:row>
    <x:row r="453">
      <x:c r="A453" s="63" t="str">
        <x:v>ABMP_10860</x:v>
      </x:c>
      <x:c r="B453" s="63" t="str">
        <x:v>MacEwan University School of Business</x:v>
      </x:c>
      <x:c r="C453" s="63" t="str">
        <x:v>Schools And Postsecondary</x:v>
      </x:c>
      <x:c r="D453" s="63" t="str">
        <x:v>inferred</x:v>
      </x:c>
      <x:c r="E453" s="63" t="str">
        <x:v>Post-Secondary</x:v>
      </x:c>
      <x:c r="F453" s="63" t="str">
        <x:v>Institutional</x:v>
      </x:c>
      <x:c r="G453" s="63" t="str">
        <x:v>MacEwan University</x:v>
      </x:c>
      <x:c r="H453" s="63" t="str">
        <x:v>Government Or Public Institution Signal</x:v>
      </x:c>
      <x:c r="I453" s="63" t="str">
        <x:v>inferred</x:v>
      </x:c>
      <x:c r="J453" s="63" t="str">
        <x:v>Edmonton</x:v>
      </x:c>
      <x:c r="K453" s="63" t="str">
        <x:v>Under Construction</x:v>
      </x:c>
      <x:c r="L453" s="143" t="n">
        <x:v>190000000</x:v>
      </x:c>
      <x:c r="M453" s="179" t="n">
        <x:v>2024</x:v>
      </x:c>
      <x:c r="N453" s="179" t="n">
        <x:v>2027</x:v>
      </x:c>
      <x:c r="O453" s="63" t="str">
        <x:v>overlaps</x:v>
      </x:c>
      <x:c r="P453" s="63" t="str">
        <x:v>2027</x:v>
      </x:c>
      <x:c r="Q453" s="143" t="n">
        <x:v>47500000</x:v>
      </x:c>
      <x:c r="R453" s="143" t="n">
        <x:v>47500000</x:v>
      </x:c>
      <x:c r="S453" s="154" t="n">
        <x:v>-113.507745</x:v>
      </x:c>
      <x:c r="T453" s="154" t="n">
        <x:v>53.547877</x:v>
      </x:c>
      <x:c r="U453" s="63" t="str">
        <x:v>reported</x:v>
      </x:c>
      <x:c r="V453" s="63" t="str">
        <x:v>ALBERTA_MAJOR_PROJECTS</x:v>
      </x:c>
      <x:c r="W453" s="63" t="str">
        <x:v>observed</x:v>
      </x:c>
      <x:c r="X453" s="155" t="n">
        <x:v>46265</x:v>
      </x:c>
      <x:c r="Y453" s="63" t="str">
        <x:v>https://www.majorprojects.alberta.ca/</x:v>
      </x:c>
    </x:row>
    <x:row r="454">
      <x:c r="A454" s="63" t="str">
        <x:v>ABMP_8547</x:v>
      </x:c>
      <x:c r="B454" s="63" t="str">
        <x:v>Mount Royal University G Wing Renovation Project</x:v>
      </x:c>
      <x:c r="C454" s="63" t="str">
        <x:v>Schools And Postsecondary</x:v>
      </x:c>
      <x:c r="D454" s="63" t="str">
        <x:v>inferred</x:v>
      </x:c>
      <x:c r="E454" s="63" t="str">
        <x:v>Post-Secondary</x:v>
      </x:c>
      <x:c r="F454" s="63" t="str">
        <x:v>Institutional</x:v>
      </x:c>
      <x:c r="G454" s="63" t="str">
        <x:v>Mount Royal University</x:v>
      </x:c>
      <x:c r="H454" s="63" t="str">
        <x:v>Government Or Public Institution Signal</x:v>
      </x:c>
      <x:c r="I454" s="63" t="str">
        <x:v>inferred</x:v>
      </x:c>
      <x:c r="J454" s="63" t="str">
        <x:v>Calgary</x:v>
      </x:c>
      <x:c r="K454" s="63" t="str">
        <x:v>Under Construction</x:v>
      </x:c>
      <x:c r="L454" s="143" t="n">
        <x:v>37700000</x:v>
      </x:c>
      <x:c r="M454" s="179" t="n">
        <x:v>2025</x:v>
      </x:c>
      <x:c r="N454" s="179" t="n">
        <x:v>2026</x:v>
      </x:c>
      <x:c r="O454" s="63" t="str">
        <x:v>outside_window</x:v>
      </x:c>
      <x:c r="P454" s="63" t="str"/>
      <x:c r="Q454" s="143" t="n">
        <x:v>18850000</x:v>
      </x:c>
      <x:c r="R454" s="143" t="n">
        <x:v>0</x:v>
      </x:c>
      <x:c r="S454" s="154" t="n">
        <x:v>-114.130429</x:v>
      </x:c>
      <x:c r="T454" s="154" t="n">
        <x:v>51.012531</x:v>
      </x:c>
      <x:c r="U454" s="63" t="str">
        <x:v>reported</x:v>
      </x:c>
      <x:c r="V454" s="63" t="str">
        <x:v>ALBERTA_MAJOR_PROJECTS</x:v>
      </x:c>
      <x:c r="W454" s="63" t="str">
        <x:v>observed</x:v>
      </x:c>
      <x:c r="X454" s="155" t="n">
        <x:v>46265</x:v>
      </x:c>
      <x:c r="Y454" s="63" t="str">
        <x:v>https://www.majorprojects.alberta.ca/</x:v>
      </x:c>
    </x:row>
    <x:row r="455">
      <x:c r="A455" s="63" t="str">
        <x:v>ABMP_11204</x:v>
      </x:c>
      <x:c r="B455" s="63" t="str">
        <x:v>NAIT Advanced Skills Center</x:v>
      </x:c>
      <x:c r="C455" s="63" t="str">
        <x:v>Schools And Postsecondary</x:v>
      </x:c>
      <x:c r="D455" s="63" t="str">
        <x:v>inferred</x:v>
      </x:c>
      <x:c r="E455" s="63" t="str">
        <x:v>Post-Secondary</x:v>
      </x:c>
      <x:c r="F455" s="63" t="str">
        <x:v>Institutional</x:v>
      </x:c>
      <x:c r="G455" s="63" t="str">
        <x:v>Northern Alberta Institute of Technology (NAIT)</x:v>
      </x:c>
      <x:c r="H455" s="63" t="str">
        <x:v>Government Or Public Institution Signal</x:v>
      </x:c>
      <x:c r="I455" s="63" t="str">
        <x:v>inferred</x:v>
      </x:c>
      <x:c r="J455" s="63" t="str">
        <x:v>Edmonton</x:v>
      </x:c>
      <x:c r="K455" s="63" t="str">
        <x:v>Proposed</x:v>
      </x:c>
      <x:c r="L455" s="143"/>
      <x:c r="M455" s="179"/>
      <x:c r="N455" s="179" t="n">
        <x:v>2029</x:v>
      </x:c>
      <x:c r="O455" s="63" t="str">
        <x:v>indeterminate_incomplete_schedule</x:v>
      </x:c>
      <x:c r="P455" s="63" t="str"/>
      <x:c r="Q455" s="143"/>
      <x:c r="R455" s="143"/>
      <x:c r="S455" s="154" t="n">
        <x:v>-113.505539</x:v>
      </x:c>
      <x:c r="T455" s="154" t="n">
        <x:v>53.572705</x:v>
      </x:c>
      <x:c r="U455" s="63" t="str">
        <x:v>reported</x:v>
      </x:c>
      <x:c r="V455" s="63" t="str">
        <x:v>ALBERTA_MAJOR_PROJECTS</x:v>
      </x:c>
      <x:c r="W455" s="63" t="str">
        <x:v>observed</x:v>
      </x:c>
      <x:c r="X455" s="155" t="n">
        <x:v>46265</x:v>
      </x:c>
      <x:c r="Y455" s="63" t="str">
        <x:v>https://www.majorprojects.alberta.ca/</x:v>
      </x:c>
    </x:row>
    <x:row r="456">
      <x:c r="A456" s="63" t="str">
        <x:v>ABMP_11685</x:v>
      </x:c>
      <x:c r="B456" s="63" t="str">
        <x:v>New 10-12 Catholic School in Lewis Farms Edmonton</x:v>
      </x:c>
      <x:c r="C456" s="63" t="str">
        <x:v>Schools And Postsecondary</x:v>
      </x:c>
      <x:c r="D456" s="63" t="str">
        <x:v>inferred</x:v>
      </x:c>
      <x:c r="E456" s="63" t="str">
        <x:v>School</x:v>
      </x:c>
      <x:c r="F456" s="63" t="str">
        <x:v>Institutional</x:v>
      </x:c>
      <x:c r="G456" s="63" t="str">
        <x:v>Alberta Infrastructure</x:v>
      </x:c>
      <x:c r="H456" s="63" t="str">
        <x:v>Government Or Public Institution Signal</x:v>
      </x:c>
      <x:c r="I456" s="63" t="str">
        <x:v>inferred</x:v>
      </x:c>
      <x:c r="J456" s="63" t="str">
        <x:v>Edmonton</x:v>
      </x:c>
      <x:c r="K456" s="63" t="str">
        <x:v>Proposed</x:v>
      </x:c>
      <x:c r="L456" s="143" t="n">
        <x:v>12100000</x:v>
      </x:c>
      <x:c r="M456" s="179"/>
      <x:c r="N456" s="179"/>
      <x:c r="O456" s="63" t="str">
        <x:v>indeterminate_incomplete_schedule</x:v>
      </x:c>
      <x:c r="P456" s="63" t="str"/>
      <x:c r="Q456" s="143"/>
      <x:c r="R456" s="143"/>
      <x:c r="S456" s="154" t="n">
        <x:v>-113.7005293450973</x:v>
      </x:c>
      <x:c r="T456" s="154" t="n">
        <x:v>53.52494524451934</x:v>
      </x:c>
      <x:c r="U456" s="63" t="str">
        <x:v>approximate</x:v>
      </x:c>
      <x:c r="V456" s="63" t="str">
        <x:v>ALBERTA_MAJOR_PROJECTS</x:v>
      </x:c>
      <x:c r="W456" s="63" t="str">
        <x:v>observed</x:v>
      </x:c>
      <x:c r="X456" s="155" t="n">
        <x:v>46265</x:v>
      </x:c>
      <x:c r="Y456" s="63" t="str">
        <x:v>https://www.majorprojects.alberta.ca/</x:v>
      </x:c>
    </x:row>
    <x:row r="457">
      <x:c r="A457" s="63" t="str">
        <x:v>ABMP_11692</x:v>
      </x:c>
      <x:c r="B457" s="63" t="str">
        <x:v>New 10-12 Catholic School in The Meadows Edmonton</x:v>
      </x:c>
      <x:c r="C457" s="63" t="str">
        <x:v>Schools And Postsecondary</x:v>
      </x:c>
      <x:c r="D457" s="63" t="str">
        <x:v>inferred</x:v>
      </x:c>
      <x:c r="E457" s="63" t="str">
        <x:v>School</x:v>
      </x:c>
      <x:c r="F457" s="63" t="str">
        <x:v>Institutional</x:v>
      </x:c>
      <x:c r="G457" s="63" t="str">
        <x:v>Alberta Infrastructure</x:v>
      </x:c>
      <x:c r="H457" s="63" t="str">
        <x:v>Government Or Public Institution Signal</x:v>
      </x:c>
      <x:c r="I457" s="63" t="str">
        <x:v>inferred</x:v>
      </x:c>
      <x:c r="J457" s="63" t="str">
        <x:v>Edmonton</x:v>
      </x:c>
      <x:c r="K457" s="63" t="str">
        <x:v>Proposed</x:v>
      </x:c>
      <x:c r="L457" s="143" t="n">
        <x:v>12200000</x:v>
      </x:c>
      <x:c r="M457" s="179"/>
      <x:c r="N457" s="179"/>
      <x:c r="O457" s="63" t="str">
        <x:v>indeterminate_incomplete_schedule</x:v>
      </x:c>
      <x:c r="P457" s="63" t="str"/>
      <x:c r="Q457" s="143"/>
      <x:c r="R457" s="143"/>
      <x:c r="S457" s="154" t="n">
        <x:v>-113.370294</x:v>
      </x:c>
      <x:c r="T457" s="154" t="n">
        <x:v>53.460469</x:v>
      </x:c>
      <x:c r="U457" s="63" t="str">
        <x:v>approximate</x:v>
      </x:c>
      <x:c r="V457" s="63" t="str">
        <x:v>ALBERTA_MAJOR_PROJECTS</x:v>
      </x:c>
      <x:c r="W457" s="63" t="str">
        <x:v>observed</x:v>
      </x:c>
      <x:c r="X457" s="155" t="n">
        <x:v>46265</x:v>
      </x:c>
      <x:c r="Y457" s="63" t="str">
        <x:v>https://www.majorprojects.alberta.ca/</x:v>
      </x:c>
    </x:row>
    <x:row r="458">
      <x:c r="A458" s="63" t="str">
        <x:v>ABMP_11689</x:v>
      </x:c>
      <x:c r="B458" s="63" t="str">
        <x:v>New 10-12 High School in Beaumont</x:v>
      </x:c>
      <x:c r="C458" s="63" t="str">
        <x:v>Schools And Postsecondary</x:v>
      </x:c>
      <x:c r="D458" s="63" t="str">
        <x:v>inferred</x:v>
      </x:c>
      <x:c r="E458" s="63" t="str">
        <x:v>School</x:v>
      </x:c>
      <x:c r="F458" s="63" t="str">
        <x:v>Institutional</x:v>
      </x:c>
      <x:c r="G458" s="63" t="str">
        <x:v>Alberta Infrastructure</x:v>
      </x:c>
      <x:c r="H458" s="63" t="str">
        <x:v>Government Or Public Institution Signal</x:v>
      </x:c>
      <x:c r="I458" s="63" t="str">
        <x:v>inferred</x:v>
      </x:c>
      <x:c r="J458" s="63" t="str">
        <x:v>Beaumont</x:v>
      </x:c>
      <x:c r="K458" s="63" t="str">
        <x:v>Proposed</x:v>
      </x:c>
      <x:c r="L458" s="143" t="n">
        <x:v>7900000</x:v>
      </x:c>
      <x:c r="M458" s="179"/>
      <x:c r="N458" s="179"/>
      <x:c r="O458" s="63" t="str">
        <x:v>indeterminate_incomplete_schedule</x:v>
      </x:c>
      <x:c r="P458" s="63" t="str"/>
      <x:c r="Q458" s="143"/>
      <x:c r="R458" s="143"/>
      <x:c r="S458" s="154" t="n">
        <x:v>-113.402274</x:v>
      </x:c>
      <x:c r="T458" s="154" t="n">
        <x:v>53.339832</x:v>
      </x:c>
      <x:c r="U458" s="63" t="str">
        <x:v>approximate</x:v>
      </x:c>
      <x:c r="V458" s="63" t="str">
        <x:v>ALBERTA_MAJOR_PROJECTS</x:v>
      </x:c>
      <x:c r="W458" s="63" t="str">
        <x:v>observed</x:v>
      </x:c>
      <x:c r="X458" s="155" t="n">
        <x:v>46265</x:v>
      </x:c>
      <x:c r="Y458" s="63" t="str">
        <x:v>https://www.majorprojects.alberta.ca/</x:v>
      </x:c>
    </x:row>
    <x:row r="459">
      <x:c r="A459" s="63" t="str">
        <x:v>ABMP_11697</x:v>
      </x:c>
      <x:c r="B459" s="63" t="str">
        <x:v>New 10-12 High School in Castle Downs</x:v>
      </x:c>
      <x:c r="C459" s="63" t="str">
        <x:v>Schools And Postsecondary</x:v>
      </x:c>
      <x:c r="D459" s="63" t="str">
        <x:v>inferred</x:v>
      </x:c>
      <x:c r="E459" s="63" t="str">
        <x:v>School</x:v>
      </x:c>
      <x:c r="F459" s="63" t="str">
        <x:v>Institutional</x:v>
      </x:c>
      <x:c r="G459" s="63" t="str">
        <x:v>Alberta Infrastructure</x:v>
      </x:c>
      <x:c r="H459" s="63" t="str">
        <x:v>Government Or Public Institution Signal</x:v>
      </x:c>
      <x:c r="I459" s="63" t="str">
        <x:v>inferred</x:v>
      </x:c>
      <x:c r="J459" s="63" t="str">
        <x:v>Edmonton</x:v>
      </x:c>
      <x:c r="K459" s="63" t="str">
        <x:v>Proposed</x:v>
      </x:c>
      <x:c r="L459" s="143" t="n">
        <x:v>13600000</x:v>
      </x:c>
      <x:c r="M459" s="179"/>
      <x:c r="N459" s="179"/>
      <x:c r="O459" s="63" t="str">
        <x:v>indeterminate_incomplete_schedule</x:v>
      </x:c>
      <x:c r="P459" s="63" t="str"/>
      <x:c r="Q459" s="143"/>
      <x:c r="R459" s="143"/>
      <x:c r="S459" s="154" t="n">
        <x:v>-113.51852</x:v>
      </x:c>
      <x:c r="T459" s="154" t="n">
        <x:v>53.61635</x:v>
      </x:c>
      <x:c r="U459" s="63" t="str">
        <x:v>reported</x:v>
      </x:c>
      <x:c r="V459" s="63" t="str">
        <x:v>ALBERTA_MAJOR_PROJECTS</x:v>
      </x:c>
      <x:c r="W459" s="63" t="str">
        <x:v>observed</x:v>
      </x:c>
      <x:c r="X459" s="155" t="n">
        <x:v>46265</x:v>
      </x:c>
      <x:c r="Y459" s="63" t="str">
        <x:v>https://www.majorprojects.alberta.ca/</x:v>
      </x:c>
    </x:row>
    <x:row r="460">
      <x:c r="A460" s="63" t="str">
        <x:v>ABMP_11443</x:v>
      </x:c>
      <x:c r="B460" s="63" t="str">
        <x:v>New 10-12 High School in North Calgary</x:v>
      </x:c>
      <x:c r="C460" s="63" t="str">
        <x:v>Schools And Postsecondary</x:v>
      </x:c>
      <x:c r="D460" s="63" t="str">
        <x:v>inferred</x:v>
      </x:c>
      <x:c r="E460" s="63" t="str">
        <x:v>School</x:v>
      </x:c>
      <x:c r="F460" s="63" t="str">
        <x:v>Institutional</x:v>
      </x:c>
      <x:c r="G460" s="63" t="str">
        <x:v>Alberta Infrastructure</x:v>
      </x:c>
      <x:c r="H460" s="63" t="str">
        <x:v>Government Or Public Institution Signal</x:v>
      </x:c>
      <x:c r="I460" s="63" t="str">
        <x:v>inferred</x:v>
      </x:c>
      <x:c r="J460" s="63" t="str">
        <x:v>Calgary</x:v>
      </x:c>
      <x:c r="K460" s="63" t="str">
        <x:v>Proposed</x:v>
      </x:c>
      <x:c r="L460" s="143"/>
      <x:c r="M460" s="179"/>
      <x:c r="N460" s="179"/>
      <x:c r="O460" s="63" t="str">
        <x:v>indeterminate_incomplete_schedule</x:v>
      </x:c>
      <x:c r="P460" s="63" t="str"/>
      <x:c r="Q460" s="143"/>
      <x:c r="R460" s="143"/>
      <x:c r="S460" s="154" t="n">
        <x:v>-114.093736</x:v>
      </x:c>
      <x:c r="T460" s="154" t="n">
        <x:v>51.160026</x:v>
      </x:c>
      <x:c r="U460" s="63" t="str">
        <x:v>reported</x:v>
      </x:c>
      <x:c r="V460" s="63" t="str">
        <x:v>ALBERTA_MAJOR_PROJECTS</x:v>
      </x:c>
      <x:c r="W460" s="63" t="str">
        <x:v>observed</x:v>
      </x:c>
      <x:c r="X460" s="155" t="n">
        <x:v>46265</x:v>
      </x:c>
      <x:c r="Y460" s="63" t="str">
        <x:v>https://www.majorprojects.alberta.ca/</x:v>
      </x:c>
    </x:row>
    <x:row r="461">
      <x:c r="A461" s="63" t="str">
        <x:v>ABMP_11670</x:v>
      </x:c>
      <x:c r="B461" s="63" t="str">
        <x:v>New 10-12 School in Chelsea W Chestermere</x:v>
      </x:c>
      <x:c r="C461" s="63" t="str">
        <x:v>Schools And Postsecondary</x:v>
      </x:c>
      <x:c r="D461" s="63" t="str">
        <x:v>inferred</x:v>
      </x:c>
      <x:c r="E461" s="63" t="str">
        <x:v>School</x:v>
      </x:c>
      <x:c r="F461" s="63" t="str">
        <x:v>Institutional</x:v>
      </x:c>
      <x:c r="G461" s="63" t="str">
        <x:v>Alberta Infrastructure</x:v>
      </x:c>
      <x:c r="H461" s="63" t="str">
        <x:v>Government Or Public Institution Signal</x:v>
      </x:c>
      <x:c r="I461" s="63" t="str">
        <x:v>inferred</x:v>
      </x:c>
      <x:c r="J461" s="63" t="str">
        <x:v>Chestermere</x:v>
      </x:c>
      <x:c r="K461" s="63" t="str">
        <x:v>Proposed</x:v>
      </x:c>
      <x:c r="L461" s="143"/>
      <x:c r="M461" s="179"/>
      <x:c r="N461" s="179"/>
      <x:c r="O461" s="63" t="str">
        <x:v>indeterminate_incomplete_schedule</x:v>
      </x:c>
      <x:c r="P461" s="63" t="str"/>
      <x:c r="Q461" s="143"/>
      <x:c r="R461" s="143"/>
      <x:c r="S461" s="154" t="n">
        <x:v>-113.854542</x:v>
      </x:c>
      <x:c r="T461" s="154" t="n">
        <x:v>51.035617</x:v>
      </x:c>
      <x:c r="U461" s="63" t="str">
        <x:v>approximate</x:v>
      </x:c>
      <x:c r="V461" s="63" t="str">
        <x:v>ALBERTA_MAJOR_PROJECTS</x:v>
      </x:c>
      <x:c r="W461" s="63" t="str">
        <x:v>observed</x:v>
      </x:c>
      <x:c r="X461" s="155" t="n">
        <x:v>46265</x:v>
      </x:c>
      <x:c r="Y461" s="63" t="str">
        <x:v>https://www.majorprojects.alberta.ca/</x:v>
      </x:c>
    </x:row>
    <x:row r="462">
      <x:c r="A462" s="63" t="str">
        <x:v>ABMP_11691</x:v>
      </x:c>
      <x:c r="B462" s="63" t="str">
        <x:v>New 10-12 in The Grange SW Edmonton</x:v>
      </x:c>
      <x:c r="C462" s="63" t="str">
        <x:v>Schools And Postsecondary</x:v>
      </x:c>
      <x:c r="D462" s="63" t="str">
        <x:v>inferred</x:v>
      </x:c>
      <x:c r="E462" s="63" t="str">
        <x:v>School</x:v>
      </x:c>
      <x:c r="F462" s="63" t="str">
        <x:v>Institutional</x:v>
      </x:c>
      <x:c r="G462" s="63" t="str">
        <x:v>Alberta Infrastructure</x:v>
      </x:c>
      <x:c r="H462" s="63" t="str">
        <x:v>Government Or Public Institution Signal</x:v>
      </x:c>
      <x:c r="I462" s="63" t="str">
        <x:v>inferred</x:v>
      </x:c>
      <x:c r="J462" s="63" t="str">
        <x:v>Edmonton</x:v>
      </x:c>
      <x:c r="K462" s="63" t="str">
        <x:v>Proposed</x:v>
      </x:c>
      <x:c r="L462" s="143" t="n">
        <x:v>8800000</x:v>
      </x:c>
      <x:c r="M462" s="179"/>
      <x:c r="N462" s="179"/>
      <x:c r="O462" s="63" t="str">
        <x:v>indeterminate_incomplete_schedule</x:v>
      </x:c>
      <x:c r="P462" s="63" t="str"/>
      <x:c r="Q462" s="143"/>
      <x:c r="R462" s="143"/>
      <x:c r="S462" s="154" t="n">
        <x:v>-113.68414</x:v>
      </x:c>
      <x:c r="T462" s="154" t="n">
        <x:v>53.49305</x:v>
      </x:c>
      <x:c r="U462" s="63" t="str">
        <x:v>approximate</x:v>
      </x:c>
      <x:c r="V462" s="63" t="str">
        <x:v>ALBERTA_MAJOR_PROJECTS</x:v>
      </x:c>
      <x:c r="W462" s="63" t="str">
        <x:v>observed</x:v>
      </x:c>
      <x:c r="X462" s="155" t="n">
        <x:v>46265</x:v>
      </x:c>
      <x:c r="Y462" s="63" t="str">
        <x:v>https://www.majorprojects.alberta.ca/</x:v>
      </x:c>
    </x:row>
    <x:row r="463">
      <x:c r="A463" s="63" t="str">
        <x:v>ABMP_11704</x:v>
      </x:c>
      <x:c r="B463" s="63" t="str">
        <x:v>New 5-9 School in Aspen Woods W Calgary</x:v>
      </x:c>
      <x:c r="C463" s="63" t="str">
        <x:v>Schools And Postsecondary</x:v>
      </x:c>
      <x:c r="D463" s="63" t="str">
        <x:v>inferred</x:v>
      </x:c>
      <x:c r="E463" s="63" t="str">
        <x:v>School</x:v>
      </x:c>
      <x:c r="F463" s="63" t="str">
        <x:v>Institutional</x:v>
      </x:c>
      <x:c r="G463" s="63" t="str">
        <x:v>Alberta Infrastructure</x:v>
      </x:c>
      <x:c r="H463" s="63" t="str">
        <x:v>Government Or Public Institution Signal</x:v>
      </x:c>
      <x:c r="I463" s="63" t="str">
        <x:v>inferred</x:v>
      </x:c>
      <x:c r="J463" s="63" t="str">
        <x:v>Calgary</x:v>
      </x:c>
      <x:c r="K463" s="63" t="str">
        <x:v>Proposed</x:v>
      </x:c>
      <x:c r="L463" s="143" t="n">
        <x:v>5400000</x:v>
      </x:c>
      <x:c r="M463" s="179"/>
      <x:c r="N463" s="179"/>
      <x:c r="O463" s="63" t="str">
        <x:v>indeterminate_incomplete_schedule</x:v>
      </x:c>
      <x:c r="P463" s="63" t="str"/>
      <x:c r="Q463" s="143"/>
      <x:c r="R463" s="143"/>
      <x:c r="S463" s="154" t="n">
        <x:v>-114.20677917</x:v>
      </x:c>
      <x:c r="T463" s="154" t="n">
        <x:v>51.04355837</x:v>
      </x:c>
      <x:c r="U463" s="63" t="str">
        <x:v>reported</x:v>
      </x:c>
      <x:c r="V463" s="63" t="str">
        <x:v>ALBERTA_MAJOR_PROJECTS</x:v>
      </x:c>
      <x:c r="W463" s="63" t="str">
        <x:v>observed</x:v>
      </x:c>
      <x:c r="X463" s="155" t="n">
        <x:v>46265</x:v>
      </x:c>
      <x:c r="Y463" s="63" t="str">
        <x:v>https://www.majorprojects.alberta.ca/</x:v>
      </x:c>
    </x:row>
    <x:row r="464">
      <x:c r="A464" s="63" t="str">
        <x:v>ABMP_11437</x:v>
      </x:c>
      <x:c r="B464" s="63" t="str">
        <x:v>New 5-9 School in Saddle Ridge</x:v>
      </x:c>
      <x:c r="C464" s="63" t="str">
        <x:v>Schools And Postsecondary</x:v>
      </x:c>
      <x:c r="D464" s="63" t="str">
        <x:v>inferred</x:v>
      </x:c>
      <x:c r="E464" s="63" t="str">
        <x:v>School</x:v>
      </x:c>
      <x:c r="F464" s="63" t="str">
        <x:v>Institutional</x:v>
      </x:c>
      <x:c r="G464" s="63" t="str">
        <x:v>Alberta Infrastructure</x:v>
      </x:c>
      <x:c r="H464" s="63" t="str">
        <x:v>Government Or Public Institution Signal</x:v>
      </x:c>
      <x:c r="I464" s="63" t="str">
        <x:v>inferred</x:v>
      </x:c>
      <x:c r="J464" s="63" t="str">
        <x:v>Calgary</x:v>
      </x:c>
      <x:c r="K464" s="63" t="str">
        <x:v>Proposed</x:v>
      </x:c>
      <x:c r="L464" s="143" t="n">
        <x:v>6800000</x:v>
      </x:c>
      <x:c r="M464" s="179"/>
      <x:c r="N464" s="179"/>
      <x:c r="O464" s="63" t="str">
        <x:v>indeterminate_incomplete_schedule</x:v>
      </x:c>
      <x:c r="P464" s="63" t="str"/>
      <x:c r="Q464" s="143"/>
      <x:c r="R464" s="143"/>
      <x:c r="S464" s="154" t="n">
        <x:v>-113.956327</x:v>
      </x:c>
      <x:c r="T464" s="154" t="n">
        <x:v>51.135636</x:v>
      </x:c>
      <x:c r="U464" s="63" t="str">
        <x:v>reported</x:v>
      </x:c>
      <x:c r="V464" s="63" t="str">
        <x:v>ALBERTA_MAJOR_PROJECTS</x:v>
      </x:c>
      <x:c r="W464" s="63" t="str">
        <x:v>observed</x:v>
      </x:c>
      <x:c r="X464" s="155" t="n">
        <x:v>46265</x:v>
      </x:c>
      <x:c r="Y464" s="63" t="str">
        <x:v>https://www.majorprojects.alberta.ca/</x:v>
      </x:c>
    </x:row>
    <x:row r="465">
      <x:c r="A465" s="63" t="str">
        <x:v>ABMP_11690</x:v>
      </x:c>
      <x:c r="B465" s="63" t="str">
        <x:v>New 5-9 School in Sherwood NW Calgary</x:v>
      </x:c>
      <x:c r="C465" s="63" t="str">
        <x:v>Schools And Postsecondary</x:v>
      </x:c>
      <x:c r="D465" s="63" t="str">
        <x:v>inferred</x:v>
      </x:c>
      <x:c r="E465" s="63" t="str">
        <x:v>School</x:v>
      </x:c>
      <x:c r="F465" s="63" t="str">
        <x:v>Institutional</x:v>
      </x:c>
      <x:c r="G465" s="63" t="str">
        <x:v>Alberta Infrastructure</x:v>
      </x:c>
      <x:c r="H465" s="63" t="str">
        <x:v>Government Or Public Institution Signal</x:v>
      </x:c>
      <x:c r="I465" s="63" t="str">
        <x:v>inferred</x:v>
      </x:c>
      <x:c r="J465" s="63" t="str">
        <x:v>Calgary</x:v>
      </x:c>
      <x:c r="K465" s="63" t="str">
        <x:v>Proposed</x:v>
      </x:c>
      <x:c r="L465" s="143"/>
      <x:c r="M465" s="179"/>
      <x:c r="N465" s="179"/>
      <x:c r="O465" s="63" t="str">
        <x:v>indeterminate_incomplete_schedule</x:v>
      </x:c>
      <x:c r="P465" s="63" t="str"/>
      <x:c r="Q465" s="143"/>
      <x:c r="R465" s="143"/>
      <x:c r="S465" s="154" t="n">
        <x:v>-114.15484</x:v>
      </x:c>
      <x:c r="T465" s="154" t="n">
        <x:v>51.16551134</x:v>
      </x:c>
      <x:c r="U465" s="63" t="str">
        <x:v>reported</x:v>
      </x:c>
      <x:c r="V465" s="63" t="str">
        <x:v>ALBERTA_MAJOR_PROJECTS</x:v>
      </x:c>
      <x:c r="W465" s="63" t="str">
        <x:v>observed</x:v>
      </x:c>
      <x:c r="X465" s="155" t="n">
        <x:v>46265</x:v>
      </x:c>
      <x:c r="Y465" s="63" t="str">
        <x:v>https://www.majorprojects.alberta.ca/</x:v>
      </x:c>
    </x:row>
    <x:row r="466">
      <x:c r="A466" s="63" t="str">
        <x:v>ABMP_11773</x:v>
      </x:c>
      <x:c r="B466" s="63" t="str">
        <x:v>New 6-8 Middle School NE Red Deer</x:v>
      </x:c>
      <x:c r="C466" s="63" t="str">
        <x:v>Schools And Postsecondary</x:v>
      </x:c>
      <x:c r="D466" s="63" t="str">
        <x:v>inferred</x:v>
      </x:c>
      <x:c r="E466" s="63" t="str">
        <x:v>School</x:v>
      </x:c>
      <x:c r="F466" s="63" t="str">
        <x:v>Institutional</x:v>
      </x:c>
      <x:c r="G466" s="63" t="str">
        <x:v>Alberta Infrastructure</x:v>
      </x:c>
      <x:c r="H466" s="63" t="str">
        <x:v>Government Or Public Institution Signal</x:v>
      </x:c>
      <x:c r="I466" s="63" t="str">
        <x:v>inferred</x:v>
      </x:c>
      <x:c r="J466" s="63" t="str">
        <x:v>Red Deer</x:v>
      </x:c>
      <x:c r="K466" s="63" t="str">
        <x:v>Proposed</x:v>
      </x:c>
      <x:c r="L466" s="143"/>
      <x:c r="M466" s="179"/>
      <x:c r="N466" s="179"/>
      <x:c r="O466" s="63" t="str">
        <x:v>indeterminate_incomplete_schedule</x:v>
      </x:c>
      <x:c r="P466" s="63" t="str"/>
      <x:c r="Q466" s="143"/>
      <x:c r="R466" s="143"/>
      <x:c r="S466" s="154" t="n">
        <x:v>-113.749253</x:v>
      </x:c>
      <x:c r="T466" s="154" t="n">
        <x:v>52.277124</x:v>
      </x:c>
      <x:c r="U466" s="63" t="str">
        <x:v>reported</x:v>
      </x:c>
      <x:c r="V466" s="63" t="str">
        <x:v>ALBERTA_MAJOR_PROJECTS</x:v>
      </x:c>
      <x:c r="W466" s="63" t="str">
        <x:v>observed</x:v>
      </x:c>
      <x:c r="X466" s="155" t="n">
        <x:v>46265</x:v>
      </x:c>
      <x:c r="Y466" s="63" t="str">
        <x:v>https://www.majorprojects.alberta.ca/</x:v>
      </x:c>
    </x:row>
    <x:row r="467">
      <x:c r="A467" s="63" t="str">
        <x:v>ABMP_11699</x:v>
      </x:c>
      <x:c r="B467" s="63" t="str">
        <x:v>New 6-9 School in Cityscape NE Calgary</x:v>
      </x:c>
      <x:c r="C467" s="63" t="str">
        <x:v>Schools And Postsecondary</x:v>
      </x:c>
      <x:c r="D467" s="63" t="str">
        <x:v>inferred</x:v>
      </x:c>
      <x:c r="E467" s="63" t="str">
        <x:v>School</x:v>
      </x:c>
      <x:c r="F467" s="63" t="str">
        <x:v>Institutional</x:v>
      </x:c>
      <x:c r="G467" s="63" t="str">
        <x:v>Alberta Infrastructure</x:v>
      </x:c>
      <x:c r="H467" s="63" t="str">
        <x:v>Government Or Public Institution Signal</x:v>
      </x:c>
      <x:c r="I467" s="63" t="str">
        <x:v>inferred</x:v>
      </x:c>
      <x:c r="J467" s="63" t="str">
        <x:v>Calgary</x:v>
      </x:c>
      <x:c r="K467" s="63" t="str">
        <x:v>Proposed</x:v>
      </x:c>
      <x:c r="L467" s="143" t="n">
        <x:v>6700000</x:v>
      </x:c>
      <x:c r="M467" s="179"/>
      <x:c r="N467" s="179"/>
      <x:c r="O467" s="63" t="str">
        <x:v>indeterminate_incomplete_schedule</x:v>
      </x:c>
      <x:c r="P467" s="63" t="str"/>
      <x:c r="Q467" s="143"/>
      <x:c r="R467" s="143"/>
      <x:c r="S467" s="154" t="n">
        <x:v>-113.96609219</x:v>
      </x:c>
      <x:c r="T467" s="154" t="n">
        <x:v>51.14928476</x:v>
      </x:c>
      <x:c r="U467" s="63" t="str">
        <x:v>reported</x:v>
      </x:c>
      <x:c r="V467" s="63" t="str">
        <x:v>ALBERTA_MAJOR_PROJECTS</x:v>
      </x:c>
      <x:c r="W467" s="63" t="str">
        <x:v>observed</x:v>
      </x:c>
      <x:c r="X467" s="155" t="n">
        <x:v>46265</x:v>
      </x:c>
      <x:c r="Y467" s="63" t="str">
        <x:v>https://www.majorprojects.alberta.ca/</x:v>
      </x:c>
    </x:row>
    <x:row r="468">
      <x:c r="A468" s="63" t="str">
        <x:v>ABMP_11694</x:v>
      </x:c>
      <x:c r="B468" s="63" t="str">
        <x:v>New 6-9 School in Cornerstone NE Calgary</x:v>
      </x:c>
      <x:c r="C468" s="63" t="str">
        <x:v>Schools And Postsecondary</x:v>
      </x:c>
      <x:c r="D468" s="63" t="str">
        <x:v>inferred</x:v>
      </x:c>
      <x:c r="E468" s="63" t="str">
        <x:v>School</x:v>
      </x:c>
      <x:c r="F468" s="63" t="str">
        <x:v>Institutional</x:v>
      </x:c>
      <x:c r="G468" s="63" t="str">
        <x:v>Alberta Infrastructure</x:v>
      </x:c>
      <x:c r="H468" s="63" t="str">
        <x:v>Government Or Public Institution Signal</x:v>
      </x:c>
      <x:c r="I468" s="63" t="str">
        <x:v>inferred</x:v>
      </x:c>
      <x:c r="J468" s="63" t="str">
        <x:v>Calgary</x:v>
      </x:c>
      <x:c r="K468" s="63" t="str">
        <x:v>Proposed</x:v>
      </x:c>
      <x:c r="L468" s="143" t="n">
        <x:v>6700000</x:v>
      </x:c>
      <x:c r="M468" s="179"/>
      <x:c r="N468" s="179"/>
      <x:c r="O468" s="63" t="str">
        <x:v>indeterminate_incomplete_schedule</x:v>
      </x:c>
      <x:c r="P468" s="63" t="str"/>
      <x:c r="Q468" s="143"/>
      <x:c r="R468" s="143"/>
      <x:c r="S468" s="154" t="n">
        <x:v>-113.93396683</x:v>
      </x:c>
      <x:c r="T468" s="154" t="n">
        <x:v>51.16028707</x:v>
      </x:c>
      <x:c r="U468" s="63" t="str">
        <x:v>reported</x:v>
      </x:c>
      <x:c r="V468" s="63" t="str">
        <x:v>ALBERTA_MAJOR_PROJECTS</x:v>
      </x:c>
      <x:c r="W468" s="63" t="str">
        <x:v>observed</x:v>
      </x:c>
      <x:c r="X468" s="155" t="n">
        <x:v>46265</x:v>
      </x:c>
      <x:c r="Y468" s="63" t="str">
        <x:v>https://www.majorprojects.alberta.ca/</x:v>
      </x:c>
    </x:row>
    <x:row r="469">
      <x:c r="A469" s="63" t="str">
        <x:v>ABMP_11684</x:v>
      </x:c>
      <x:c r="B469" s="63" t="str">
        <x:v>New 6-9 School in Sage Hill NW Calgary</x:v>
      </x:c>
      <x:c r="C469" s="63" t="str">
        <x:v>Schools And Postsecondary</x:v>
      </x:c>
      <x:c r="D469" s="63" t="str">
        <x:v>inferred</x:v>
      </x:c>
      <x:c r="E469" s="63" t="str">
        <x:v>School</x:v>
      </x:c>
      <x:c r="F469" s="63" t="str">
        <x:v>Institutional</x:v>
      </x:c>
      <x:c r="G469" s="63" t="str">
        <x:v>Alberta Infrastructure</x:v>
      </x:c>
      <x:c r="H469" s="63" t="str">
        <x:v>Government Or Public Institution Signal</x:v>
      </x:c>
      <x:c r="I469" s="63" t="str">
        <x:v>inferred</x:v>
      </x:c>
      <x:c r="J469" s="63" t="str">
        <x:v>Calgary</x:v>
      </x:c>
      <x:c r="K469" s="63" t="str">
        <x:v>Proposed</x:v>
      </x:c>
      <x:c r="L469" s="143" t="n">
        <x:v>5400000</x:v>
      </x:c>
      <x:c r="M469" s="179"/>
      <x:c r="N469" s="179"/>
      <x:c r="O469" s="63" t="str">
        <x:v>indeterminate_incomplete_schedule</x:v>
      </x:c>
      <x:c r="P469" s="63" t="str"/>
      <x:c r="Q469" s="143"/>
      <x:c r="R469" s="143"/>
      <x:c r="S469" s="154" t="n">
        <x:v>-114.13312</x:v>
      </x:c>
      <x:c r="T469" s="154" t="n">
        <x:v>51.17705467</x:v>
      </x:c>
      <x:c r="U469" s="63" t="str">
        <x:v>approximate</x:v>
      </x:c>
      <x:c r="V469" s="63" t="str">
        <x:v>ALBERTA_MAJOR_PROJECTS</x:v>
      </x:c>
      <x:c r="W469" s="63" t="str">
        <x:v>observed</x:v>
      </x:c>
      <x:c r="X469" s="155" t="n">
        <x:v>46265</x:v>
      </x:c>
      <x:c r="Y469" s="63" t="str">
        <x:v>https://www.majorprojects.alberta.ca/</x:v>
      </x:c>
    </x:row>
    <x:row r="470">
      <x:c r="A470" s="63" t="str">
        <x:v>ABMP_11458</x:v>
      </x:c>
      <x:c r="B470" s="63" t="str">
        <x:v>New 7-12 Catholic and Public High School in West Edmonton</x:v>
      </x:c>
      <x:c r="C470" s="63" t="str">
        <x:v>Schools And Postsecondary</x:v>
      </x:c>
      <x:c r="D470" s="63" t="str">
        <x:v>inferred</x:v>
      </x:c>
      <x:c r="E470" s="63" t="str">
        <x:v>School</x:v>
      </x:c>
      <x:c r="F470" s="63" t="str">
        <x:v>Institutional</x:v>
      </x:c>
      <x:c r="G470" s="63" t="str">
        <x:v>Alberta Infrastructure</x:v>
      </x:c>
      <x:c r="H470" s="63" t="str">
        <x:v>Government Or Public Institution Signal</x:v>
      </x:c>
      <x:c r="I470" s="63" t="str">
        <x:v>inferred</x:v>
      </x:c>
      <x:c r="J470" s="63" t="str">
        <x:v>Edmonton</x:v>
      </x:c>
      <x:c r="K470" s="63" t="str">
        <x:v>Under Construction</x:v>
      </x:c>
      <x:c r="L470" s="143" t="n">
        <x:v>91000000</x:v>
      </x:c>
      <x:c r="M470" s="179" t="n">
        <x:v>2026</x:v>
      </x:c>
      <x:c r="N470" s="179" t="n">
        <x:v>2029</x:v>
      </x:c>
      <x:c r="O470" s="63" t="str">
        <x:v>overlaps</x:v>
      </x:c>
      <x:c r="P470" s="63" t="str">
        <x:v>2027|2028|2029</x:v>
      </x:c>
      <x:c r="Q470" s="143" t="n">
        <x:v>22750000</x:v>
      </x:c>
      <x:c r="R470" s="143" t="n">
        <x:v>68250000</x:v>
      </x:c>
      <x:c r="S470" s="154" t="n">
        <x:v>-113.627</x:v>
      </x:c>
      <x:c r="T470" s="154" t="n">
        <x:v>53.50667644</x:v>
      </x:c>
      <x:c r="U470" s="63" t="str">
        <x:v>reported</x:v>
      </x:c>
      <x:c r="V470" s="63" t="str">
        <x:v>ALBERTA_MAJOR_PROJECTS</x:v>
      </x:c>
      <x:c r="W470" s="63" t="str">
        <x:v>observed</x:v>
      </x:c>
      <x:c r="X470" s="155" t="n">
        <x:v>46265</x:v>
      </x:c>
      <x:c r="Y470" s="63" t="str">
        <x:v>https://www.majorprojects.alberta.ca/</x:v>
      </x:c>
    </x:row>
    <x:row r="471">
      <x:c r="A471" s="63" t="str">
        <x:v>ABMP_11835</x:v>
      </x:c>
      <x:c r="B471" s="63" t="str">
        <x:v>New 7-12 Gym Addition Charter Hub</x:v>
      </x:c>
      <x:c r="C471" s="63" t="str">
        <x:v>Schools And Postsecondary</x:v>
      </x:c>
      <x:c r="D471" s="63" t="str">
        <x:v>inferred</x:v>
      </x:c>
      <x:c r="E471" s="63" t="str">
        <x:v>School</x:v>
      </x:c>
      <x:c r="F471" s="63" t="str">
        <x:v>Institutional</x:v>
      </x:c>
      <x:c r="G471" s="63" t="str">
        <x:v>Alberta Infrastructure</x:v>
      </x:c>
      <x:c r="H471" s="63" t="str">
        <x:v>Government Or Public Institution Signal</x:v>
      </x:c>
      <x:c r="I471" s="63" t="str">
        <x:v>inferred</x:v>
      </x:c>
      <x:c r="J471" s="63" t="str">
        <x:v>Calgary</x:v>
      </x:c>
      <x:c r="K471" s="63" t="str">
        <x:v>Under Construction</x:v>
      </x:c>
      <x:c r="L471" s="143" t="n">
        <x:v>29400000</x:v>
      </x:c>
      <x:c r="M471" s="179" t="n">
        <x:v>2025</x:v>
      </x:c>
      <x:c r="N471" s="179"/>
      <x:c r="O471" s="63" t="str">
        <x:v>indeterminate_incomplete_schedule</x:v>
      </x:c>
      <x:c r="P471" s="63" t="str"/>
      <x:c r="Q471" s="143"/>
      <x:c r="R471" s="143"/>
      <x:c r="S471" s="154" t="n">
        <x:v>-114.137758</x:v>
      </x:c>
      <x:c r="T471" s="154" t="n">
        <x:v>51.08684299</x:v>
      </x:c>
      <x:c r="U471" s="63" t="str">
        <x:v>reported</x:v>
      </x:c>
      <x:c r="V471" s="63" t="str">
        <x:v>ALBERTA_MAJOR_PROJECTS</x:v>
      </x:c>
      <x:c r="W471" s="63" t="str">
        <x:v>observed</x:v>
      </x:c>
      <x:c r="X471" s="155" t="n">
        <x:v>46265</x:v>
      </x:c>
      <x:c r="Y471" s="63" t="str">
        <x:v>https://www.majorprojects.alberta.ca/</x:v>
      </x:c>
    </x:row>
    <x:row r="472">
      <x:c r="A472" s="63" t="str">
        <x:v>ABMP_10937</x:v>
      </x:c>
      <x:c r="B472" s="63" t="str">
        <x:v>New 7-12 School in Glenridding Heights (Edmonton)</x:v>
      </x:c>
      <x:c r="C472" s="63" t="str">
        <x:v>Schools And Postsecondary</x:v>
      </x:c>
      <x:c r="D472" s="63" t="str">
        <x:v>inferred</x:v>
      </x:c>
      <x:c r="E472" s="63" t="str">
        <x:v>School</x:v>
      </x:c>
      <x:c r="F472" s="63" t="str">
        <x:v>Institutional</x:v>
      </x:c>
      <x:c r="G472" s="63" t="str">
        <x:v>Alberta Infrastructure</x:v>
      </x:c>
      <x:c r="H472" s="63" t="str">
        <x:v>Government Or Public Institution Signal</x:v>
      </x:c>
      <x:c r="I472" s="63" t="str">
        <x:v>inferred</x:v>
      </x:c>
      <x:c r="J472" s="63" t="str">
        <x:v>Edmonton</x:v>
      </x:c>
      <x:c r="K472" s="63" t="str">
        <x:v>Under Construction</x:v>
      </x:c>
      <x:c r="L472" s="143" t="n">
        <x:v>159400000</x:v>
      </x:c>
      <x:c r="M472" s="179" t="n">
        <x:v>2025</x:v>
      </x:c>
      <x:c r="N472" s="179" t="n">
        <x:v>2027</x:v>
      </x:c>
      <x:c r="O472" s="63" t="str">
        <x:v>overlaps</x:v>
      </x:c>
      <x:c r="P472" s="63" t="str">
        <x:v>2027</x:v>
      </x:c>
      <x:c r="Q472" s="143" t="n">
        <x:v>53133333.333333336</x:v>
      </x:c>
      <x:c r="R472" s="143" t="n">
        <x:v>53133333.333333336</x:v>
      </x:c>
      <x:c r="S472" s="154" t="n">
        <x:v>-113.609</x:v>
      </x:c>
      <x:c r="T472" s="154" t="n">
        <x:v>53.410774</x:v>
      </x:c>
      <x:c r="U472" s="63" t="str">
        <x:v>reported</x:v>
      </x:c>
      <x:c r="V472" s="63" t="str">
        <x:v>ALBERTA_MAJOR_PROJECTS</x:v>
      </x:c>
      <x:c r="W472" s="63" t="str">
        <x:v>observed</x:v>
      </x:c>
      <x:c r="X472" s="155" t="n">
        <x:v>46265</x:v>
      </x:c>
      <x:c r="Y472" s="63" t="str">
        <x:v>https://www.majorprojects.alberta.ca/</x:v>
      </x:c>
    </x:row>
    <x:row r="473">
      <x:c r="A473" s="63" t="str">
        <x:v>ABMP_11669</x:v>
      </x:c>
      <x:c r="B473" s="63" t="str">
        <x:v>New 7-9 School in Mahogany SE Calgary</x:v>
      </x:c>
      <x:c r="C473" s="63" t="str">
        <x:v>Schools And Postsecondary</x:v>
      </x:c>
      <x:c r="D473" s="63" t="str">
        <x:v>inferred</x:v>
      </x:c>
      <x:c r="E473" s="63" t="str">
        <x:v>School</x:v>
      </x:c>
      <x:c r="F473" s="63" t="str">
        <x:v>Institutional</x:v>
      </x:c>
      <x:c r="G473" s="63" t="str">
        <x:v>Alberta Infrastructure</x:v>
      </x:c>
      <x:c r="H473" s="63" t="str">
        <x:v>Government Or Public Institution Signal</x:v>
      </x:c>
      <x:c r="I473" s="63" t="str">
        <x:v>inferred</x:v>
      </x:c>
      <x:c r="J473" s="63" t="str">
        <x:v>Calgary</x:v>
      </x:c>
      <x:c r="K473" s="63" t="str">
        <x:v>Proposed</x:v>
      </x:c>
      <x:c r="L473" s="143" t="n">
        <x:v>5400000</x:v>
      </x:c>
      <x:c r="M473" s="179"/>
      <x:c r="N473" s="179"/>
      <x:c r="O473" s="63" t="str">
        <x:v>indeterminate_incomplete_schedule</x:v>
      </x:c>
      <x:c r="P473" s="63" t="str"/>
      <x:c r="Q473" s="143"/>
      <x:c r="R473" s="143"/>
      <x:c r="S473" s="154" t="n">
        <x:v>-113.918397</x:v>
      </x:c>
      <x:c r="T473" s="154" t="n">
        <x:v>50.8928</x:v>
      </x:c>
      <x:c r="U473" s="63" t="str">
        <x:v>approximate</x:v>
      </x:c>
      <x:c r="V473" s="63" t="str">
        <x:v>ALBERTA_MAJOR_PROJECTS</x:v>
      </x:c>
      <x:c r="W473" s="63" t="str">
        <x:v>observed</x:v>
      </x:c>
      <x:c r="X473" s="155" t="n">
        <x:v>46265</x:v>
      </x:c>
      <x:c r="Y473" s="63" t="str">
        <x:v>https://www.majorprojects.alberta.ca/</x:v>
      </x:c>
    </x:row>
    <x:row r="474">
      <x:c r="A474" s="63" t="str">
        <x:v>ABMP_11449</x:v>
      </x:c>
      <x:c r="B474" s="63" t="str">
        <x:v>New 7-9 School in Pilot Sound/McConachie</x:v>
      </x:c>
      <x:c r="C474" s="63" t="str">
        <x:v>Schools And Postsecondary</x:v>
      </x:c>
      <x:c r="D474" s="63" t="str">
        <x:v>inferred</x:v>
      </x:c>
      <x:c r="E474" s="63" t="str">
        <x:v>School</x:v>
      </x:c>
      <x:c r="F474" s="63" t="str">
        <x:v>Institutional</x:v>
      </x:c>
      <x:c r="G474" s="63" t="str">
        <x:v>Alberta Infrastructure</x:v>
      </x:c>
      <x:c r="H474" s="63" t="str">
        <x:v>Government Or Public Institution Signal</x:v>
      </x:c>
      <x:c r="I474" s="63" t="str">
        <x:v>inferred</x:v>
      </x:c>
      <x:c r="J474" s="63" t="str">
        <x:v>Edmonton</x:v>
      </x:c>
      <x:c r="K474" s="63" t="str">
        <x:v>Proposed</x:v>
      </x:c>
      <x:c r="L474" s="143" t="n">
        <x:v>52900000</x:v>
      </x:c>
      <x:c r="M474" s="179"/>
      <x:c r="N474" s="179"/>
      <x:c r="O474" s="63" t="str">
        <x:v>indeterminate_incomplete_schedule</x:v>
      </x:c>
      <x:c r="P474" s="63" t="str"/>
      <x:c r="Q474" s="143"/>
      <x:c r="R474" s="143"/>
      <x:c r="S474" s="154" t="n">
        <x:v>-113.4205396</x:v>
      </x:c>
      <x:c r="T474" s="154" t="n">
        <x:v>53.63142472</x:v>
      </x:c>
      <x:c r="U474" s="63" t="str">
        <x:v>reported</x:v>
      </x:c>
      <x:c r="V474" s="63" t="str">
        <x:v>ALBERTA_MAJOR_PROJECTS</x:v>
      </x:c>
      <x:c r="W474" s="63" t="str">
        <x:v>observed</x:v>
      </x:c>
      <x:c r="X474" s="155" t="n">
        <x:v>46265</x:v>
      </x:c>
      <x:c r="Y474" s="63" t="str">
        <x:v>https://www.majorprojects.alberta.ca/</x:v>
      </x:c>
    </x:row>
    <x:row r="475">
      <x:c r="A475" s="63" t="str">
        <x:v>ABMP_11688</x:v>
      </x:c>
      <x:c r="B475" s="63" t="str">
        <x:v>New 9-12 Catholic School in Beaumont</x:v>
      </x:c>
      <x:c r="C475" s="63" t="str">
        <x:v>Schools And Postsecondary</x:v>
      </x:c>
      <x:c r="D475" s="63" t="str">
        <x:v>inferred</x:v>
      </x:c>
      <x:c r="E475" s="63" t="str">
        <x:v>School</x:v>
      </x:c>
      <x:c r="F475" s="63" t="str">
        <x:v>Institutional</x:v>
      </x:c>
      <x:c r="G475" s="63" t="str">
        <x:v>Alberta Infrastructure</x:v>
      </x:c>
      <x:c r="H475" s="63" t="str">
        <x:v>Government Or Public Institution Signal</x:v>
      </x:c>
      <x:c r="I475" s="63" t="str">
        <x:v>inferred</x:v>
      </x:c>
      <x:c r="J475" s="63" t="str">
        <x:v>Leduc County</x:v>
      </x:c>
      <x:c r="K475" s="63" t="str">
        <x:v>Proposed</x:v>
      </x:c>
      <x:c r="L475" s="143"/>
      <x:c r="M475" s="179"/>
      <x:c r="N475" s="179"/>
      <x:c r="O475" s="63" t="str">
        <x:v>indeterminate_incomplete_schedule</x:v>
      </x:c>
      <x:c r="P475" s="63" t="str"/>
      <x:c r="Q475" s="143"/>
      <x:c r="R475" s="143"/>
      <x:c r="S475" s="154" t="n">
        <x:v>-113.2344</x:v>
      </x:c>
      <x:c r="T475" s="154" t="n">
        <x:v>53.2035</x:v>
      </x:c>
      <x:c r="U475" s="63" t="str">
        <x:v>approximate</x:v>
      </x:c>
      <x:c r="V475" s="63" t="str">
        <x:v>ALBERTA_MAJOR_PROJECTS</x:v>
      </x:c>
      <x:c r="W475" s="63" t="str">
        <x:v>observed</x:v>
      </x:c>
      <x:c r="X475" s="155" t="n">
        <x:v>46265</x:v>
      </x:c>
      <x:c r="Y475" s="63" t="str">
        <x:v>https://www.majorprojects.alberta.ca/</x:v>
      </x:c>
    </x:row>
    <x:row r="476">
      <x:c r="A476" s="63" t="str">
        <x:v>ABMP_11695</x:v>
      </x:c>
      <x:c r="B476" s="63" t="str">
        <x:v>New 9-12 Catholic School in Brooks</x:v>
      </x:c>
      <x:c r="C476" s="63" t="str">
        <x:v>Schools And Postsecondary</x:v>
      </x:c>
      <x:c r="D476" s="63" t="str">
        <x:v>inferred</x:v>
      </x:c>
      <x:c r="E476" s="63" t="str">
        <x:v>School</x:v>
      </x:c>
      <x:c r="F476" s="63" t="str">
        <x:v>Institutional</x:v>
      </x:c>
      <x:c r="G476" s="63" t="str">
        <x:v>Alberta Infrastructure</x:v>
      </x:c>
      <x:c r="H476" s="63" t="str">
        <x:v>Government Or Public Institution Signal</x:v>
      </x:c>
      <x:c r="I476" s="63" t="str">
        <x:v>inferred</x:v>
      </x:c>
      <x:c r="J476" s="63" t="str">
        <x:v>Brooks</x:v>
      </x:c>
      <x:c r="K476" s="63" t="str">
        <x:v>Proposed</x:v>
      </x:c>
      <x:c r="L476" s="143" t="n">
        <x:v>6100000</x:v>
      </x:c>
      <x:c r="M476" s="179"/>
      <x:c r="N476" s="179"/>
      <x:c r="O476" s="63" t="str">
        <x:v>indeterminate_incomplete_schedule</x:v>
      </x:c>
      <x:c r="P476" s="63" t="str"/>
      <x:c r="Q476" s="143"/>
      <x:c r="R476" s="143"/>
      <x:c r="S476" s="154" t="n">
        <x:v>-111.881778</x:v>
      </x:c>
      <x:c r="T476" s="154" t="n">
        <x:v>50.560061</x:v>
      </x:c>
      <x:c r="U476" s="63" t="str">
        <x:v>reported</x:v>
      </x:c>
      <x:c r="V476" s="63" t="str">
        <x:v>ALBERTA_MAJOR_PROJECTS</x:v>
      </x:c>
      <x:c r="W476" s="63" t="str">
        <x:v>observed</x:v>
      </x:c>
      <x:c r="X476" s="155" t="n">
        <x:v>46265</x:v>
      </x:c>
      <x:c r="Y476" s="63" t="str">
        <x:v>https://www.majorprojects.alberta.ca/</x:v>
      </x:c>
    </x:row>
    <x:row r="477">
      <x:c r="A477" s="63" t="str">
        <x:v>ABMP_11344</x:v>
      </x:c>
      <x:c r="B477" s="63" t="str">
        <x:v>New 9-12 High School in Airdrie</x:v>
      </x:c>
      <x:c r="C477" s="63" t="str">
        <x:v>Schools And Postsecondary</x:v>
      </x:c>
      <x:c r="D477" s="63" t="str">
        <x:v>inferred</x:v>
      </x:c>
      <x:c r="E477" s="63" t="str">
        <x:v>School</x:v>
      </x:c>
      <x:c r="F477" s="63" t="str">
        <x:v>Institutional</x:v>
      </x:c>
      <x:c r="G477" s="63" t="str">
        <x:v>Alberta Infrastructure</x:v>
      </x:c>
      <x:c r="H477" s="63" t="str">
        <x:v>Government Or Public Institution Signal</x:v>
      </x:c>
      <x:c r="I477" s="63" t="str">
        <x:v>inferred</x:v>
      </x:c>
      <x:c r="J477" s="63" t="str">
        <x:v>Airdrie</x:v>
      </x:c>
      <x:c r="K477" s="63" t="str">
        <x:v>Proposed</x:v>
      </x:c>
      <x:c r="L477" s="143" t="n">
        <x:v>124700000</x:v>
      </x:c>
      <x:c r="M477" s="179"/>
      <x:c r="N477" s="179"/>
      <x:c r="O477" s="63" t="str">
        <x:v>indeterminate_incomplete_schedule</x:v>
      </x:c>
      <x:c r="P477" s="63" t="str"/>
      <x:c r="Q477" s="143"/>
      <x:c r="R477" s="143"/>
      <x:c r="S477" s="154" t="n">
        <x:v>-114.04139948</x:v>
      </x:c>
      <x:c r="T477" s="154" t="n">
        <x:v>51.25048148</x:v>
      </x:c>
      <x:c r="U477" s="63" t="str">
        <x:v>reported</x:v>
      </x:c>
      <x:c r="V477" s="63" t="str">
        <x:v>ALBERTA_MAJOR_PROJECTS</x:v>
      </x:c>
      <x:c r="W477" s="63" t="str">
        <x:v>observed</x:v>
      </x:c>
      <x:c r="X477" s="155" t="n">
        <x:v>46265</x:v>
      </x:c>
      <x:c r="Y477" s="63" t="str">
        <x:v>https://www.majorprojects.alberta.ca/</x:v>
      </x:c>
    </x:row>
    <x:row r="478">
      <x:c r="A478" s="63" t="str">
        <x:v>ABMP_11436</x:v>
      </x:c>
      <x:c r="B478" s="63" t="str">
        <x:v>New High School in Cornerstone</x:v>
      </x:c>
      <x:c r="C478" s="63" t="str">
        <x:v>Schools And Postsecondary</x:v>
      </x:c>
      <x:c r="D478" s="63" t="str">
        <x:v>inferred</x:v>
      </x:c>
      <x:c r="E478" s="63" t="str">
        <x:v>School</x:v>
      </x:c>
      <x:c r="F478" s="63" t="str">
        <x:v>Institutional</x:v>
      </x:c>
      <x:c r="G478" s="63" t="str">
        <x:v>Alberta Infrastructure</x:v>
      </x:c>
      <x:c r="H478" s="63" t="str">
        <x:v>Government Or Public Institution Signal</x:v>
      </x:c>
      <x:c r="I478" s="63" t="str">
        <x:v>inferred</x:v>
      </x:c>
      <x:c r="J478" s="63" t="str">
        <x:v>Calgary</x:v>
      </x:c>
      <x:c r="K478" s="63" t="str">
        <x:v>Proposed</x:v>
      </x:c>
      <x:c r="L478" s="143" t="n">
        <x:v>151700000</x:v>
      </x:c>
      <x:c r="M478" s="179"/>
      <x:c r="N478" s="179"/>
      <x:c r="O478" s="63" t="str">
        <x:v>indeterminate_incomplete_schedule</x:v>
      </x:c>
      <x:c r="P478" s="63" t="str"/>
      <x:c r="Q478" s="143"/>
      <x:c r="R478" s="143"/>
      <x:c r="S478" s="154" t="n">
        <x:v>-113.941531</x:v>
      </x:c>
      <x:c r="T478" s="154" t="n">
        <x:v>51.153752</x:v>
      </x:c>
      <x:c r="U478" s="63" t="str">
        <x:v>reported</x:v>
      </x:c>
      <x:c r="V478" s="63" t="str">
        <x:v>ALBERTA_MAJOR_PROJECTS</x:v>
      </x:c>
      <x:c r="W478" s="63" t="str">
        <x:v>observed</x:v>
      </x:c>
      <x:c r="X478" s="155" t="n">
        <x:v>46265</x:v>
      </x:c>
      <x:c r="Y478" s="63" t="str">
        <x:v>https://www.majorprojects.alberta.ca/</x:v>
      </x:c>
    </x:row>
    <x:row r="479">
      <x:c r="A479" s="63" t="str">
        <x:v>ABMP_11347</x:v>
      </x:c>
      <x:c r="B479" s="63" t="str">
        <x:v>New High School in Okotoks</x:v>
      </x:c>
      <x:c r="C479" s="63" t="str">
        <x:v>Schools And Postsecondary</x:v>
      </x:c>
      <x:c r="D479" s="63" t="str">
        <x:v>inferred</x:v>
      </x:c>
      <x:c r="E479" s="63" t="str">
        <x:v>School</x:v>
      </x:c>
      <x:c r="F479" s="63" t="str">
        <x:v>Institutional</x:v>
      </x:c>
      <x:c r="G479" s="63" t="str">
        <x:v>Alberta Infrastructure</x:v>
      </x:c>
      <x:c r="H479" s="63" t="str">
        <x:v>Government Or Public Institution Signal</x:v>
      </x:c>
      <x:c r="I479" s="63" t="str">
        <x:v>inferred</x:v>
      </x:c>
      <x:c r="J479" s="63" t="str">
        <x:v>Foothills No. 31|Okotoks</x:v>
      </x:c>
      <x:c r="K479" s="63" t="str">
        <x:v>Proposed</x:v>
      </x:c>
      <x:c r="L479" s="143" t="n">
        <x:v>115600000</x:v>
      </x:c>
      <x:c r="M479" s="179"/>
      <x:c r="N479" s="179"/>
      <x:c r="O479" s="63" t="str">
        <x:v>indeterminate_incomplete_schedule</x:v>
      </x:c>
      <x:c r="P479" s="63" t="str"/>
      <x:c r="Q479" s="143"/>
      <x:c r="R479" s="143"/>
      <x:c r="S479" s="154" t="n">
        <x:v>-113.9540664</x:v>
      </x:c>
      <x:c r="T479" s="154" t="n">
        <x:v>50.74079371</x:v>
      </x:c>
      <x:c r="U479" s="63" t="str">
        <x:v>reported</x:v>
      </x:c>
      <x:c r="V479" s="63" t="str">
        <x:v>ALBERTA_MAJOR_PROJECTS</x:v>
      </x:c>
      <x:c r="W479" s="63" t="str">
        <x:v>observed</x:v>
      </x:c>
      <x:c r="X479" s="155" t="n">
        <x:v>46265</x:v>
      </x:c>
      <x:c r="Y479" s="63" t="str">
        <x:v>https://www.majorprojects.alberta.ca/</x:v>
      </x:c>
    </x:row>
    <x:row r="480">
      <x:c r="A480" s="63" t="str">
        <x:v>ABMP_11346</x:v>
      </x:c>
      <x:c r="B480" s="63" t="str">
        <x:v>New High School in West Calgary</x:v>
      </x:c>
      <x:c r="C480" s="63" t="str">
        <x:v>Schools And Postsecondary</x:v>
      </x:c>
      <x:c r="D480" s="63" t="str">
        <x:v>inferred</x:v>
      </x:c>
      <x:c r="E480" s="63" t="str">
        <x:v>School</x:v>
      </x:c>
      <x:c r="F480" s="63" t="str">
        <x:v>Institutional</x:v>
      </x:c>
      <x:c r="G480" s="63" t="str">
        <x:v>Alberta Infrastructure</x:v>
      </x:c>
      <x:c r="H480" s="63" t="str">
        <x:v>Government Or Public Institution Signal</x:v>
      </x:c>
      <x:c r="I480" s="63" t="str">
        <x:v>inferred</x:v>
      </x:c>
      <x:c r="J480" s="63" t="str">
        <x:v>Calgary</x:v>
      </x:c>
      <x:c r="K480" s="63" t="str">
        <x:v>Under Construction</x:v>
      </x:c>
      <x:c r="L480" s="143" t="n">
        <x:v>81500000</x:v>
      </x:c>
      <x:c r="M480" s="179" t="n">
        <x:v>2025</x:v>
      </x:c>
      <x:c r="N480" s="179" t="n">
        <x:v>2028</x:v>
      </x:c>
      <x:c r="O480" s="63" t="str">
        <x:v>overlaps</x:v>
      </x:c>
      <x:c r="P480" s="63" t="str">
        <x:v>2027|2028</x:v>
      </x:c>
      <x:c r="Q480" s="143" t="n">
        <x:v>20375000</x:v>
      </x:c>
      <x:c r="R480" s="143" t="n">
        <x:v>40750000</x:v>
      </x:c>
      <x:c r="S480" s="154" t="n">
        <x:v>-114.223</x:v>
      </x:c>
      <x:c r="T480" s="154" t="n">
        <x:v>51.041851</x:v>
      </x:c>
      <x:c r="U480" s="63" t="str">
        <x:v>reported</x:v>
      </x:c>
      <x:c r="V480" s="63" t="str">
        <x:v>ALBERTA_MAJOR_PROJECTS</x:v>
      </x:c>
      <x:c r="W480" s="63" t="str">
        <x:v>observed</x:v>
      </x:c>
      <x:c r="X480" s="155" t="n">
        <x:v>46265</x:v>
      </x:c>
      <x:c r="Y480" s="63" t="str">
        <x:v>https://www.majorprojects.alberta.ca/</x:v>
      </x:c>
    </x:row>
    <x:row r="481">
      <x:c r="A481" s="63" t="str">
        <x:v>ABMP_11873</x:v>
      </x:c>
      <x:c r="B481" s="63" t="str">
        <x:v>New Horizons Charter School Modernization &amp; Addition</x:v>
      </x:c>
      <x:c r="C481" s="63" t="str">
        <x:v>Schools And Postsecondary</x:v>
      </x:c>
      <x:c r="D481" s="63" t="str">
        <x:v>inferred</x:v>
      </x:c>
      <x:c r="E481" s="63" t="str">
        <x:v>School</x:v>
      </x:c>
      <x:c r="F481" s="63" t="str">
        <x:v>Institutional</x:v>
      </x:c>
      <x:c r="G481" s="63" t="str">
        <x:v>Alberta Infrastructure</x:v>
      </x:c>
      <x:c r="H481" s="63" t="str">
        <x:v>Government Or Public Institution Signal</x:v>
      </x:c>
      <x:c r="I481" s="63" t="str">
        <x:v>inferred</x:v>
      </x:c>
      <x:c r="J481" s="63" t="str">
        <x:v>Strathcona County</x:v>
      </x:c>
      <x:c r="K481" s="63" t="str">
        <x:v>Proposed</x:v>
      </x:c>
      <x:c r="L481" s="143"/>
      <x:c r="M481" s="179"/>
      <x:c r="N481" s="179"/>
      <x:c r="O481" s="63" t="str">
        <x:v>indeterminate_incomplete_schedule</x:v>
      </x:c>
      <x:c r="P481" s="63" t="str"/>
      <x:c r="Q481" s="143"/>
      <x:c r="R481" s="143"/>
      <x:c r="S481" s="154" t="n">
        <x:v>-113.321407</x:v>
      </x:c>
      <x:c r="T481" s="154" t="n">
        <x:v>53.520611</x:v>
      </x:c>
      <x:c r="U481" s="63" t="str">
        <x:v>reported</x:v>
      </x:c>
      <x:c r="V481" s="63" t="str">
        <x:v>ALBERTA_MAJOR_PROJECTS</x:v>
      </x:c>
      <x:c r="W481" s="63" t="str">
        <x:v>observed</x:v>
      </x:c>
      <x:c r="X481" s="155" t="n">
        <x:v>46265</x:v>
      </x:c>
      <x:c r="Y481" s="63" t="str">
        <x:v>https://www.majorprojects.alberta.ca/</x:v>
      </x:c>
    </x:row>
    <x:row r="482">
      <x:c r="A482" s="63" t="str">
        <x:v>ABMP_11871</x:v>
      </x:c>
      <x:c r="B482" s="63" t="str">
        <x:v>New Humble Community School K-12 Replacement</x:v>
      </x:c>
      <x:c r="C482" s="63" t="str">
        <x:v>Schools And Postsecondary</x:v>
      </x:c>
      <x:c r="D482" s="63" t="str">
        <x:v>inferred</x:v>
      </x:c>
      <x:c r="E482" s="63" t="str">
        <x:v>School</x:v>
      </x:c>
      <x:c r="F482" s="63" t="str">
        <x:v>Institutional</x:v>
      </x:c>
      <x:c r="G482" s="63" t="str">
        <x:v>Alberta Infrastructure</x:v>
      </x:c>
      <x:c r="H482" s="63" t="str">
        <x:v>Government Or Public Institution Signal</x:v>
      </x:c>
      <x:c r="I482" s="63" t="str">
        <x:v>inferred</x:v>
      </x:c>
      <x:c r="J482" s="63" t="str">
        <x:v>Leduc County</x:v>
      </x:c>
      <x:c r="K482" s="63" t="str">
        <x:v>Proposed</x:v>
      </x:c>
      <x:c r="L482" s="143"/>
      <x:c r="M482" s="179"/>
      <x:c r="N482" s="179"/>
      <x:c r="O482" s="63" t="str">
        <x:v>indeterminate_incomplete_schedule</x:v>
      </x:c>
      <x:c r="P482" s="63" t="str"/>
      <x:c r="Q482" s="143"/>
      <x:c r="R482" s="143"/>
      <x:c r="S482" s="154" t="n">
        <x:v>-113.804689</x:v>
      </x:c>
      <x:c r="T482" s="154" t="n">
        <x:v>53.17605</x:v>
      </x:c>
      <x:c r="U482" s="63" t="str">
        <x:v>approximate</x:v>
      </x:c>
      <x:c r="V482" s="63" t="str">
        <x:v>ALBERTA_MAJOR_PROJECTS</x:v>
      </x:c>
      <x:c r="W482" s="63" t="str">
        <x:v>observed</x:v>
      </x:c>
      <x:c r="X482" s="155" t="n">
        <x:v>46265</x:v>
      </x:c>
      <x:c r="Y482" s="63" t="str">
        <x:v>https://www.majorprojects.alberta.ca/</x:v>
      </x:c>
    </x:row>
    <x:row r="483">
      <x:c r="A483" s="63" t="str">
        <x:v>ABMP_11707</x:v>
      </x:c>
      <x:c r="B483" s="63" t="str">
        <x:v>New K to 6 Francophone School in Henderson</x:v>
      </x:c>
      <x:c r="C483" s="63" t="str">
        <x:v>Schools And Postsecondary</x:v>
      </x:c>
      <x:c r="D483" s="63" t="str">
        <x:v>inferred</x:v>
      </x:c>
      <x:c r="E483" s="63" t="str">
        <x:v>School</x:v>
      </x:c>
      <x:c r="F483" s="63" t="str">
        <x:v>Institutional</x:v>
      </x:c>
      <x:c r="G483" s="63" t="str">
        <x:v>Alberta Infrastructure</x:v>
      </x:c>
      <x:c r="H483" s="63" t="str">
        <x:v>Government Or Public Institution Signal</x:v>
      </x:c>
      <x:c r="I483" s="63" t="str">
        <x:v>inferred</x:v>
      </x:c>
      <x:c r="J483" s="63" t="str">
        <x:v>Edmonton</x:v>
      </x:c>
      <x:c r="K483" s="63" t="str">
        <x:v>Proposed</x:v>
      </x:c>
      <x:c r="L483" s="143"/>
      <x:c r="M483" s="179"/>
      <x:c r="N483" s="179"/>
      <x:c r="O483" s="63" t="str">
        <x:v>indeterminate_incomplete_schedule</x:v>
      </x:c>
      <x:c r="P483" s="63" t="str"/>
      <x:c r="Q483" s="143"/>
      <x:c r="R483" s="143"/>
      <x:c r="S483" s="154" t="n">
        <x:v>-113.597812</x:v>
      </x:c>
      <x:c r="T483" s="154" t="n">
        <x:v>53.4678</x:v>
      </x:c>
      <x:c r="U483" s="63" t="str">
        <x:v>reported</x:v>
      </x:c>
      <x:c r="V483" s="63" t="str">
        <x:v>ALBERTA_MAJOR_PROJECTS</x:v>
      </x:c>
      <x:c r="W483" s="63" t="str">
        <x:v>observed</x:v>
      </x:c>
      <x:c r="X483" s="155" t="n">
        <x:v>46265</x:v>
      </x:c>
      <x:c r="Y483" s="63" t="str">
        <x:v>https://www.majorprojects.alberta.ca/</x:v>
      </x:c>
    </x:row>
    <x:row r="484">
      <x:c r="A484" s="63" t="str">
        <x:v>ABMP_11700</x:v>
      </x:c>
      <x:c r="B484" s="63" t="str">
        <x:v>New K to 6 School in Silver Berry</x:v>
      </x:c>
      <x:c r="C484" s="63" t="str">
        <x:v>Schools And Postsecondary</x:v>
      </x:c>
      <x:c r="D484" s="63" t="str">
        <x:v>inferred</x:v>
      </x:c>
      <x:c r="E484" s="63" t="str">
        <x:v>School</x:v>
      </x:c>
      <x:c r="F484" s="63" t="str">
        <x:v>Institutional</x:v>
      </x:c>
      <x:c r="G484" s="63" t="str">
        <x:v>Alberta Infrastructure</x:v>
      </x:c>
      <x:c r="H484" s="63" t="str">
        <x:v>Government Or Public Institution Signal</x:v>
      </x:c>
      <x:c r="I484" s="63" t="str">
        <x:v>inferred</x:v>
      </x:c>
      <x:c r="J484" s="63" t="str">
        <x:v>Edmonton</x:v>
      </x:c>
      <x:c r="K484" s="63" t="str">
        <x:v>Proposed</x:v>
      </x:c>
      <x:c r="L484" s="143"/>
      <x:c r="M484" s="179"/>
      <x:c r="N484" s="179"/>
      <x:c r="O484" s="63" t="str">
        <x:v>indeterminate_incomplete_schedule</x:v>
      </x:c>
      <x:c r="P484" s="63" t="str"/>
      <x:c r="Q484" s="143"/>
      <x:c r="R484" s="143"/>
      <x:c r="S484" s="154" t="n">
        <x:v>-113.38575475</x:v>
      </x:c>
      <x:c r="T484" s="154" t="n">
        <x:v>53.45792167</x:v>
      </x:c>
      <x:c r="U484" s="63" t="str">
        <x:v>reported</x:v>
      </x:c>
      <x:c r="V484" s="63" t="str">
        <x:v>ALBERTA_MAJOR_PROJECTS</x:v>
      </x:c>
      <x:c r="W484" s="63" t="str">
        <x:v>observed</x:v>
      </x:c>
      <x:c r="X484" s="155" t="n">
        <x:v>46265</x:v>
      </x:c>
      <x:c r="Y484" s="63" t="str">
        <x:v>https://www.majorprojects.alberta.ca/</x:v>
      </x:c>
    </x:row>
    <x:row r="485">
      <x:c r="A485" s="63" t="str">
        <x:v>ABMP_11440</x:v>
      </x:c>
      <x:c r="B485" s="63" t="str">
        <x:v>New K-4 School in Evanston</x:v>
      </x:c>
      <x:c r="C485" s="63" t="str">
        <x:v>Schools And Postsecondary</x:v>
      </x:c>
      <x:c r="D485" s="63" t="str">
        <x:v>inferred</x:v>
      </x:c>
      <x:c r="E485" s="63" t="str">
        <x:v>School</x:v>
      </x:c>
      <x:c r="F485" s="63" t="str">
        <x:v>Institutional</x:v>
      </x:c>
      <x:c r="G485" s="63" t="str">
        <x:v>Alberta Infrastructure</x:v>
      </x:c>
      <x:c r="H485" s="63" t="str">
        <x:v>Government Or Public Institution Signal</x:v>
      </x:c>
      <x:c r="I485" s="63" t="str">
        <x:v>inferred</x:v>
      </x:c>
      <x:c r="J485" s="63" t="str">
        <x:v>Calgary</x:v>
      </x:c>
      <x:c r="K485" s="63" t="str">
        <x:v>Under Construction</x:v>
      </x:c>
      <x:c r="L485" s="143" t="n">
        <x:v>46400000</x:v>
      </x:c>
      <x:c r="M485" s="179" t="n">
        <x:v>2026</x:v>
      </x:c>
      <x:c r="N485" s="179"/>
      <x:c r="O485" s="63" t="str">
        <x:v>indeterminate_incomplete_schedule</x:v>
      </x:c>
      <x:c r="P485" s="63" t="str"/>
      <x:c r="Q485" s="143"/>
      <x:c r="R485" s="143"/>
      <x:c r="S485" s="154" t="n">
        <x:v>-114.109</x:v>
      </x:c>
      <x:c r="T485" s="154" t="n">
        <x:v>51.17944</x:v>
      </x:c>
      <x:c r="U485" s="63" t="str">
        <x:v>reported</x:v>
      </x:c>
      <x:c r="V485" s="63" t="str">
        <x:v>ALBERTA_MAJOR_PROJECTS</x:v>
      </x:c>
      <x:c r="W485" s="63" t="str">
        <x:v>observed</x:v>
      </x:c>
      <x:c r="X485" s="155" t="n">
        <x:v>46265</x:v>
      </x:c>
      <x:c r="Y485" s="63" t="str">
        <x:v>https://www.majorprojects.alberta.ca/</x:v>
      </x:c>
    </x:row>
    <x:row r="486">
      <x:c r="A486" s="63" t="str">
        <x:v>ABMP_11703</x:v>
      </x:c>
      <x:c r="B486" s="63" t="str">
        <x:v>New K-4 School in Nolan Hill NW Calgary</x:v>
      </x:c>
      <x:c r="C486" s="63" t="str">
        <x:v>Schools And Postsecondary</x:v>
      </x:c>
      <x:c r="D486" s="63" t="str">
        <x:v>inferred</x:v>
      </x:c>
      <x:c r="E486" s="63" t="str">
        <x:v>School</x:v>
      </x:c>
      <x:c r="F486" s="63" t="str">
        <x:v>Institutional</x:v>
      </x:c>
      <x:c r="G486" s="63" t="str">
        <x:v>Alberta Infrastructure</x:v>
      </x:c>
      <x:c r="H486" s="63" t="str">
        <x:v>Government Or Public Institution Signal</x:v>
      </x:c>
      <x:c r="I486" s="63" t="str">
        <x:v>inferred</x:v>
      </x:c>
      <x:c r="J486" s="63" t="str">
        <x:v>Calgary</x:v>
      </x:c>
      <x:c r="K486" s="63" t="str">
        <x:v>Proposed</x:v>
      </x:c>
      <x:c r="L486" s="143"/>
      <x:c r="M486" s="179"/>
      <x:c r="N486" s="179"/>
      <x:c r="O486" s="63" t="str">
        <x:v>indeterminate_incomplete_schedule</x:v>
      </x:c>
      <x:c r="P486" s="63" t="str"/>
      <x:c r="Q486" s="143"/>
      <x:c r="R486" s="143"/>
      <x:c r="S486" s="154" t="n">
        <x:v>-114.17147729</x:v>
      </x:c>
      <x:c r="T486" s="154" t="n">
        <x:v>51.17643122</x:v>
      </x:c>
      <x:c r="U486" s="63" t="str">
        <x:v>reported</x:v>
      </x:c>
      <x:c r="V486" s="63" t="str">
        <x:v>ALBERTA_MAJOR_PROJECTS</x:v>
      </x:c>
      <x:c r="W486" s="63" t="str">
        <x:v>observed</x:v>
      </x:c>
      <x:c r="X486" s="155" t="n">
        <x:v>46265</x:v>
      </x:c>
      <x:c r="Y486" s="63" t="str">
        <x:v>https://www.majorprojects.alberta.ca/</x:v>
      </x:c>
    </x:row>
    <x:row r="487">
      <x:c r="A487" s="63" t="str">
        <x:v>ABMP_11249</x:v>
      </x:c>
      <x:c r="B487" s="63" t="str">
        <x:v>New K-5 School in Blackfalds</x:v>
      </x:c>
      <x:c r="C487" s="63" t="str">
        <x:v>Schools And Postsecondary</x:v>
      </x:c>
      <x:c r="D487" s="63" t="str">
        <x:v>inferred</x:v>
      </x:c>
      <x:c r="E487" s="63" t="str">
        <x:v>School</x:v>
      </x:c>
      <x:c r="F487" s="63" t="str">
        <x:v>Institutional</x:v>
      </x:c>
      <x:c r="G487" s="63" t="str">
        <x:v>Alberta Infrastructure</x:v>
      </x:c>
      <x:c r="H487" s="63" t="str">
        <x:v>Government Or Public Institution Signal</x:v>
      </x:c>
      <x:c r="I487" s="63" t="str">
        <x:v>inferred</x:v>
      </x:c>
      <x:c r="J487" s="63" t="str">
        <x:v>Blackfalds</x:v>
      </x:c>
      <x:c r="K487" s="63" t="str">
        <x:v>Under Construction</x:v>
      </x:c>
      <x:c r="L487" s="143" t="n">
        <x:v>44300000</x:v>
      </x:c>
      <x:c r="M487" s="179" t="n">
        <x:v>2025</x:v>
      </x:c>
      <x:c r="N487" s="179" t="n">
        <x:v>2027</x:v>
      </x:c>
      <x:c r="O487" s="63" t="str">
        <x:v>overlaps</x:v>
      </x:c>
      <x:c r="P487" s="63" t="str">
        <x:v>2027</x:v>
      </x:c>
      <x:c r="Q487" s="143" t="n">
        <x:v>14766666.666666666</x:v>
      </x:c>
      <x:c r="R487" s="143" t="n">
        <x:v>14766666.666666666</x:v>
      </x:c>
      <x:c r="S487" s="154" t="n">
        <x:v>-113.813</x:v>
      </x:c>
      <x:c r="T487" s="154" t="n">
        <x:v>52.38407</x:v>
      </x:c>
      <x:c r="U487" s="63" t="str">
        <x:v>reported</x:v>
      </x:c>
      <x:c r="V487" s="63" t="str">
        <x:v>ALBERTA_MAJOR_PROJECTS</x:v>
      </x:c>
      <x:c r="W487" s="63" t="str">
        <x:v>observed</x:v>
      </x:c>
      <x:c r="X487" s="155" t="n">
        <x:v>46265</x:v>
      </x:c>
      <x:c r="Y487" s="63" t="str">
        <x:v>https://www.majorprojects.alberta.ca/</x:v>
      </x:c>
    </x:row>
    <x:row r="488">
      <x:c r="A488" s="63" t="str">
        <x:v>ABMP_11668</x:v>
      </x:c>
      <x:c r="B488" s="63" t="str">
        <x:v>New K-5 School in Cornerstone Calgary NE</x:v>
      </x:c>
      <x:c r="C488" s="63" t="str">
        <x:v>Schools And Postsecondary</x:v>
      </x:c>
      <x:c r="D488" s="63" t="str">
        <x:v>inferred</x:v>
      </x:c>
      <x:c r="E488" s="63" t="str">
        <x:v>School</x:v>
      </x:c>
      <x:c r="F488" s="63" t="str">
        <x:v>Institutional</x:v>
      </x:c>
      <x:c r="G488" s="63" t="str">
        <x:v>Alberta Infrastructure</x:v>
      </x:c>
      <x:c r="H488" s="63" t="str">
        <x:v>Government Or Public Institution Signal</x:v>
      </x:c>
      <x:c r="I488" s="63" t="str">
        <x:v>inferred</x:v>
      </x:c>
      <x:c r="J488" s="63" t="str">
        <x:v>Calgary</x:v>
      </x:c>
      <x:c r="K488" s="63" t="str">
        <x:v>Proposed</x:v>
      </x:c>
      <x:c r="L488" s="143"/>
      <x:c r="M488" s="179"/>
      <x:c r="N488" s="179"/>
      <x:c r="O488" s="63" t="str">
        <x:v>indeterminate_incomplete_schedule</x:v>
      </x:c>
      <x:c r="P488" s="63" t="str"/>
      <x:c r="Q488" s="143"/>
      <x:c r="R488" s="143"/>
      <x:c r="S488" s="154" t="n">
        <x:v>-113.93773537</x:v>
      </x:c>
      <x:c r="T488" s="154" t="n">
        <x:v>51.15917672</x:v>
      </x:c>
      <x:c r="U488" s="63" t="str">
        <x:v>reported</x:v>
      </x:c>
      <x:c r="V488" s="63" t="str">
        <x:v>ALBERTA_MAJOR_PROJECTS</x:v>
      </x:c>
      <x:c r="W488" s="63" t="str">
        <x:v>observed</x:v>
      </x:c>
      <x:c r="X488" s="155" t="n">
        <x:v>46265</x:v>
      </x:c>
      <x:c r="Y488" s="63" t="str">
        <x:v>https://www.majorprojects.alberta.ca/</x:v>
      </x:c>
    </x:row>
    <x:row r="489">
      <x:c r="A489" s="63" t="str">
        <x:v>ABMP_11441</x:v>
      </x:c>
      <x:c r="B489" s="63" t="str">
        <x:v>New K-5 School in Redstone</x:v>
      </x:c>
      <x:c r="C489" s="63" t="str">
        <x:v>Schools And Postsecondary</x:v>
      </x:c>
      <x:c r="D489" s="63" t="str">
        <x:v>inferred</x:v>
      </x:c>
      <x:c r="E489" s="63" t="str">
        <x:v>School</x:v>
      </x:c>
      <x:c r="F489" s="63" t="str">
        <x:v>Institutional</x:v>
      </x:c>
      <x:c r="G489" s="63" t="str">
        <x:v>Alberta Infrastructure</x:v>
      </x:c>
      <x:c r="H489" s="63" t="str">
        <x:v>Government Or Public Institution Signal</x:v>
      </x:c>
      <x:c r="I489" s="63" t="str">
        <x:v>inferred</x:v>
      </x:c>
      <x:c r="J489" s="63" t="str">
        <x:v>Calgary</x:v>
      </x:c>
      <x:c r="K489" s="63" t="str">
        <x:v>Proposed</x:v>
      </x:c>
      <x:c r="L489" s="143" t="n">
        <x:v>46100000</x:v>
      </x:c>
      <x:c r="M489" s="179"/>
      <x:c r="N489" s="179"/>
      <x:c r="O489" s="63" t="str">
        <x:v>indeterminate_incomplete_schedule</x:v>
      </x:c>
      <x:c r="P489" s="63" t="str"/>
      <x:c r="Q489" s="143"/>
      <x:c r="R489" s="143"/>
      <x:c r="S489" s="154" t="n">
        <x:v>-113.96468</x:v>
      </x:c>
      <x:c r="T489" s="154" t="n">
        <x:v>51.16871</x:v>
      </x:c>
      <x:c r="U489" s="63" t="str">
        <x:v>approximate</x:v>
      </x:c>
      <x:c r="V489" s="63" t="str">
        <x:v>ALBERTA_MAJOR_PROJECTS</x:v>
      </x:c>
      <x:c r="W489" s="63" t="str">
        <x:v>observed</x:v>
      </x:c>
      <x:c r="X489" s="155" t="n">
        <x:v>46265</x:v>
      </x:c>
      <x:c r="Y489" s="63" t="str">
        <x:v>https://www.majorprojects.alberta.ca/</x:v>
      </x:c>
    </x:row>
    <x:row r="490">
      <x:c r="A490" s="63" t="str">
        <x:v>ABMP_11686</x:v>
      </x:c>
      <x:c r="B490" s="63" t="str">
        <x:v>New K-5 School in SW Lethbridge</x:v>
      </x:c>
      <x:c r="C490" s="63" t="str">
        <x:v>Schools And Postsecondary</x:v>
      </x:c>
      <x:c r="D490" s="63" t="str">
        <x:v>inferred</x:v>
      </x:c>
      <x:c r="E490" s="63" t="str">
        <x:v>School</x:v>
      </x:c>
      <x:c r="F490" s="63" t="str">
        <x:v>Institutional</x:v>
      </x:c>
      <x:c r="G490" s="63" t="str">
        <x:v>Alberta Infrastructure</x:v>
      </x:c>
      <x:c r="H490" s="63" t="str">
        <x:v>Government Or Public Institution Signal</x:v>
      </x:c>
      <x:c r="I490" s="63" t="str">
        <x:v>inferred</x:v>
      </x:c>
      <x:c r="J490" s="63" t="str">
        <x:v>Lethbridge</x:v>
      </x:c>
      <x:c r="K490" s="63" t="str">
        <x:v>Proposed</x:v>
      </x:c>
      <x:c r="L490" s="143"/>
      <x:c r="M490" s="179"/>
      <x:c r="N490" s="179"/>
      <x:c r="O490" s="63" t="str">
        <x:v>indeterminate_incomplete_schedule</x:v>
      </x:c>
      <x:c r="P490" s="63" t="str"/>
      <x:c r="Q490" s="143"/>
      <x:c r="R490" s="143"/>
      <x:c r="S490" s="154" t="n">
        <x:v>-112.88038</x:v>
      </x:c>
      <x:c r="T490" s="154" t="n">
        <x:v>49.649649</x:v>
      </x:c>
      <x:c r="U490" s="63" t="str">
        <x:v>approximate</x:v>
      </x:c>
      <x:c r="V490" s="63" t="str">
        <x:v>ALBERTA_MAJOR_PROJECTS</x:v>
      </x:c>
      <x:c r="W490" s="63" t="str">
        <x:v>observed</x:v>
      </x:c>
      <x:c r="X490" s="155" t="n">
        <x:v>46265</x:v>
      </x:c>
      <x:c r="Y490" s="63" t="str">
        <x:v>https://www.majorprojects.alberta.ca/</x:v>
      </x:c>
    </x:row>
    <x:row r="491">
      <x:c r="A491" s="63" t="str">
        <x:v>ABMP_11671</x:v>
      </x:c>
      <x:c r="B491" s="63" t="str">
        <x:v>New K-5 School in Sage Hill NW Calgary</x:v>
      </x:c>
      <x:c r="C491" s="63" t="str">
        <x:v>Schools And Postsecondary</x:v>
      </x:c>
      <x:c r="D491" s="63" t="str">
        <x:v>inferred</x:v>
      </x:c>
      <x:c r="E491" s="63" t="str">
        <x:v>School</x:v>
      </x:c>
      <x:c r="F491" s="63" t="str">
        <x:v>Institutional</x:v>
      </x:c>
      <x:c r="G491" s="63" t="str">
        <x:v>Alberta Infrastructure</x:v>
      </x:c>
      <x:c r="H491" s="63" t="str">
        <x:v>Government Or Public Institution Signal</x:v>
      </x:c>
      <x:c r="I491" s="63" t="str">
        <x:v>inferred</x:v>
      </x:c>
      <x:c r="J491" s="63" t="str">
        <x:v>Calgary</x:v>
      </x:c>
      <x:c r="K491" s="63" t="str">
        <x:v>Proposed</x:v>
      </x:c>
      <x:c r="L491" s="143"/>
      <x:c r="M491" s="179"/>
      <x:c r="N491" s="179"/>
      <x:c r="O491" s="63" t="str">
        <x:v>indeterminate_incomplete_schedule</x:v>
      </x:c>
      <x:c r="P491" s="63" t="str"/>
      <x:c r="Q491" s="143"/>
      <x:c r="R491" s="143"/>
      <x:c r="S491" s="154" t="n">
        <x:v>-114.15213927</x:v>
      </x:c>
      <x:c r="T491" s="154" t="n">
        <x:v>51.17997723</x:v>
      </x:c>
      <x:c r="U491" s="63" t="str">
        <x:v>reported</x:v>
      </x:c>
      <x:c r="V491" s="63" t="str">
        <x:v>ALBERTA_MAJOR_PROJECTS</x:v>
      </x:c>
      <x:c r="W491" s="63" t="str">
        <x:v>observed</x:v>
      </x:c>
      <x:c r="X491" s="155" t="n">
        <x:v>46265</x:v>
      </x:c>
      <x:c r="Y491" s="63" t="str">
        <x:v>https://www.majorprojects.alberta.ca/</x:v>
      </x:c>
    </x:row>
    <x:row r="492">
      <x:c r="A492" s="63" t="str">
        <x:v>ABMP_11439</x:v>
      </x:c>
      <x:c r="B492" s="63" t="str">
        <x:v>New K-6 Ecole Publique School in North Calgary</x:v>
      </x:c>
      <x:c r="C492" s="63" t="str">
        <x:v>Schools And Postsecondary</x:v>
      </x:c>
      <x:c r="D492" s="63" t="str">
        <x:v>inferred</x:v>
      </x:c>
      <x:c r="E492" s="63" t="str">
        <x:v>School</x:v>
      </x:c>
      <x:c r="F492" s="63" t="str">
        <x:v>Institutional</x:v>
      </x:c>
      <x:c r="G492" s="63" t="str">
        <x:v>Alberta Infrastructure</x:v>
      </x:c>
      <x:c r="H492" s="63" t="str">
        <x:v>Government Or Public Institution Signal</x:v>
      </x:c>
      <x:c r="I492" s="63" t="str">
        <x:v>inferred</x:v>
      </x:c>
      <x:c r="J492" s="63" t="str">
        <x:v>Calgary</x:v>
      </x:c>
      <x:c r="K492" s="63" t="str">
        <x:v>Proposed</x:v>
      </x:c>
      <x:c r="L492" s="143" t="n">
        <x:v>35800000</x:v>
      </x:c>
      <x:c r="M492" s="179"/>
      <x:c r="N492" s="179"/>
      <x:c r="O492" s="63" t="str">
        <x:v>indeterminate_incomplete_schedule</x:v>
      </x:c>
      <x:c r="P492" s="63" t="str"/>
      <x:c r="Q492" s="143"/>
      <x:c r="R492" s="143"/>
      <x:c r="S492" s="154" t="n">
        <x:v>-114.05986975</x:v>
      </x:c>
      <x:c r="T492" s="154" t="n">
        <x:v>51.14953987</x:v>
      </x:c>
      <x:c r="U492" s="63" t="str">
        <x:v>reported</x:v>
      </x:c>
      <x:c r="V492" s="63" t="str">
        <x:v>ALBERTA_MAJOR_PROJECTS</x:v>
      </x:c>
      <x:c r="W492" s="63" t="str">
        <x:v>observed</x:v>
      </x:c>
      <x:c r="X492" s="155" t="n">
        <x:v>46265</x:v>
      </x:c>
      <x:c r="Y492" s="63" t="str">
        <x:v>https://www.majorprojects.alberta.ca/</x:v>
      </x:c>
    </x:row>
    <x:row r="493">
      <x:c r="A493" s="63" t="str">
        <x:v>ABMP_11683</x:v>
      </x:c>
      <x:c r="B493" s="63" t="str">
        <x:v>New K-6 School Hawks Ridge Edmonton</x:v>
      </x:c>
      <x:c r="C493" s="63" t="str">
        <x:v>Schools And Postsecondary</x:v>
      </x:c>
      <x:c r="D493" s="63" t="str">
        <x:v>inferred</x:v>
      </x:c>
      <x:c r="E493" s="63" t="str">
        <x:v>School</x:v>
      </x:c>
      <x:c r="F493" s="63" t="str">
        <x:v>Institutional</x:v>
      </x:c>
      <x:c r="G493" s="63" t="str">
        <x:v>Alberta Infrastructure</x:v>
      </x:c>
      <x:c r="H493" s="63" t="str">
        <x:v>Government Or Public Institution Signal</x:v>
      </x:c>
      <x:c r="I493" s="63" t="str">
        <x:v>inferred</x:v>
      </x:c>
      <x:c r="J493" s="63" t="str">
        <x:v>Edmonton</x:v>
      </x:c>
      <x:c r="K493" s="63" t="str">
        <x:v>Proposed</x:v>
      </x:c>
      <x:c r="L493" s="143"/>
      <x:c r="M493" s="179"/>
      <x:c r="N493" s="179"/>
      <x:c r="O493" s="63" t="str">
        <x:v>indeterminate_incomplete_schedule</x:v>
      </x:c>
      <x:c r="P493" s="63" t="str"/>
      <x:c r="Q493" s="143"/>
      <x:c r="R493" s="143"/>
      <x:c r="S493" s="154" t="n">
        <x:v>-113.696347</x:v>
      </x:c>
      <x:c r="T493" s="154" t="n">
        <x:v>53.589073</x:v>
      </x:c>
      <x:c r="U493" s="63" t="str">
        <x:v>approximate</x:v>
      </x:c>
      <x:c r="V493" s="63" t="str">
        <x:v>ALBERTA_MAJOR_PROJECTS</x:v>
      </x:c>
      <x:c r="W493" s="63" t="str">
        <x:v>observed</x:v>
      </x:c>
      <x:c r="X493" s="155" t="n">
        <x:v>46265</x:v>
      </x:c>
      <x:c r="Y493" s="63" t="str">
        <x:v>https://www.majorprojects.alberta.ca/</x:v>
      </x:c>
    </x:row>
    <x:row r="494">
      <x:c r="A494" s="63" t="str">
        <x:v>ABMP_11448</x:v>
      </x:c>
      <x:c r="B494" s="63" t="str">
        <x:v>New K-6 School in Glenridding Heights</x:v>
      </x:c>
      <x:c r="C494" s="63" t="str">
        <x:v>Schools And Postsecondary</x:v>
      </x:c>
      <x:c r="D494" s="63" t="str">
        <x:v>inferred</x:v>
      </x:c>
      <x:c r="E494" s="63" t="str">
        <x:v>School</x:v>
      </x:c>
      <x:c r="F494" s="63" t="str">
        <x:v>Institutional</x:v>
      </x:c>
      <x:c r="G494" s="63" t="str">
        <x:v>Alberta Infrastructure</x:v>
      </x:c>
      <x:c r="H494" s="63" t="str">
        <x:v>Government Or Public Institution Signal</x:v>
      </x:c>
      <x:c r="I494" s="63" t="str">
        <x:v>inferred</x:v>
      </x:c>
      <x:c r="J494" s="63" t="str">
        <x:v>Edmonton</x:v>
      </x:c>
      <x:c r="K494" s="63" t="str">
        <x:v>Proposed</x:v>
      </x:c>
      <x:c r="L494" s="143" t="n">
        <x:v>36900000</x:v>
      </x:c>
      <x:c r="M494" s="179"/>
      <x:c r="N494" s="179"/>
      <x:c r="O494" s="63" t="str">
        <x:v>indeterminate_incomplete_schedule</x:v>
      </x:c>
      <x:c r="P494" s="63" t="str"/>
      <x:c r="Q494" s="143"/>
      <x:c r="R494" s="143"/>
      <x:c r="S494" s="154" t="n">
        <x:v>-113.601319</x:v>
      </x:c>
      <x:c r="T494" s="154" t="n">
        <x:v>53.419991</x:v>
      </x:c>
      <x:c r="U494" s="63" t="str">
        <x:v>reported</x:v>
      </x:c>
      <x:c r="V494" s="63" t="str">
        <x:v>ALBERTA_MAJOR_PROJECTS</x:v>
      </x:c>
      <x:c r="W494" s="63" t="str">
        <x:v>observed</x:v>
      </x:c>
      <x:c r="X494" s="155" t="n">
        <x:v>46265</x:v>
      </x:c>
      <x:c r="Y494" s="63" t="str">
        <x:v>https://www.majorprojects.alberta.ca/</x:v>
      </x:c>
    </x:row>
    <x:row r="495">
      <x:c r="A495" s="63" t="str">
        <x:v>ABMP_11702</x:v>
      </x:c>
      <x:c r="B495" s="63" t="str">
        <x:v>New K-6 School in Livingston Calgary</x:v>
      </x:c>
      <x:c r="C495" s="63" t="str">
        <x:v>Schools And Postsecondary</x:v>
      </x:c>
      <x:c r="D495" s="63" t="str">
        <x:v>inferred</x:v>
      </x:c>
      <x:c r="E495" s="63" t="str">
        <x:v>School</x:v>
      </x:c>
      <x:c r="F495" s="63" t="str">
        <x:v>Institutional</x:v>
      </x:c>
      <x:c r="G495" s="63" t="str">
        <x:v>Alberta Infrastructure</x:v>
      </x:c>
      <x:c r="H495" s="63" t="str">
        <x:v>Government Or Public Institution Signal</x:v>
      </x:c>
      <x:c r="I495" s="63" t="str">
        <x:v>inferred</x:v>
      </x:c>
      <x:c r="J495" s="63" t="str">
        <x:v>Calgary</x:v>
      </x:c>
      <x:c r="K495" s="63" t="str">
        <x:v>Proposed</x:v>
      </x:c>
      <x:c r="L495" s="143"/>
      <x:c r="M495" s="179"/>
      <x:c r="N495" s="179"/>
      <x:c r="O495" s="63" t="str">
        <x:v>indeterminate_incomplete_schedule</x:v>
      </x:c>
      <x:c r="P495" s="63" t="str"/>
      <x:c r="Q495" s="143"/>
      <x:c r="R495" s="143"/>
      <x:c r="S495" s="154" t="n">
        <x:v>-114.06330128</x:v>
      </x:c>
      <x:c r="T495" s="154" t="n">
        <x:v>51.18572754</x:v>
      </x:c>
      <x:c r="U495" s="63" t="str">
        <x:v>reported</x:v>
      </x:c>
      <x:c r="V495" s="63" t="str">
        <x:v>ALBERTA_MAJOR_PROJECTS</x:v>
      </x:c>
      <x:c r="W495" s="63" t="str">
        <x:v>observed</x:v>
      </x:c>
      <x:c r="X495" s="155" t="n">
        <x:v>46265</x:v>
      </x:c>
      <x:c r="Y495" s="63" t="str">
        <x:v>https://www.majorprojects.alberta.ca/</x:v>
      </x:c>
    </x:row>
    <x:row r="496">
      <x:c r="A496" s="63" t="str">
        <x:v>ABMP_11438</x:v>
      </x:c>
      <x:c r="B496" s="63" t="str">
        <x:v>New K-6 School in Redstone</x:v>
      </x:c>
      <x:c r="C496" s="63" t="str">
        <x:v>Schools And Postsecondary</x:v>
      </x:c>
      <x:c r="D496" s="63" t="str">
        <x:v>inferred</x:v>
      </x:c>
      <x:c r="E496" s="63" t="str">
        <x:v>School</x:v>
      </x:c>
      <x:c r="F496" s="63" t="str">
        <x:v>Institutional</x:v>
      </x:c>
      <x:c r="G496" s="63" t="str">
        <x:v>Alberta Infrastructure</x:v>
      </x:c>
      <x:c r="H496" s="63" t="str">
        <x:v>Government Or Public Institution Signal</x:v>
      </x:c>
      <x:c r="I496" s="63" t="str">
        <x:v>inferred</x:v>
      </x:c>
      <x:c r="J496" s="63" t="str">
        <x:v>Calgary</x:v>
      </x:c>
      <x:c r="K496" s="63" t="str">
        <x:v>Proposed</x:v>
      </x:c>
      <x:c r="L496" s="143" t="n">
        <x:v>25200000</x:v>
      </x:c>
      <x:c r="M496" s="179"/>
      <x:c r="N496" s="179"/>
      <x:c r="O496" s="63" t="str">
        <x:v>indeterminate_incomplete_schedule</x:v>
      </x:c>
      <x:c r="P496" s="63" t="str"/>
      <x:c r="Q496" s="143"/>
      <x:c r="R496" s="143"/>
      <x:c r="S496" s="154" t="n">
        <x:v>-113.951555</x:v>
      </x:c>
      <x:c r="T496" s="154" t="n">
        <x:v>51.171116</x:v>
      </x:c>
      <x:c r="U496" s="63" t="str">
        <x:v>reported</x:v>
      </x:c>
      <x:c r="V496" s="63" t="str">
        <x:v>ALBERTA_MAJOR_PROJECTS</x:v>
      </x:c>
      <x:c r="W496" s="63" t="str">
        <x:v>observed</x:v>
      </x:c>
      <x:c r="X496" s="155" t="n">
        <x:v>46265</x:v>
      </x:c>
      <x:c r="Y496" s="63" t="str">
        <x:v>https://www.majorprojects.alberta.ca/</x:v>
      </x:c>
    </x:row>
    <x:row r="497">
      <x:c r="A497" s="63" t="str">
        <x:v>ABMP_11447</x:v>
      </x:c>
      <x:c r="B497" s="63" t="str">
        <x:v>New K-6 School in Rosenthal</x:v>
      </x:c>
      <x:c r="C497" s="63" t="str">
        <x:v>Schools And Postsecondary</x:v>
      </x:c>
      <x:c r="D497" s="63" t="str">
        <x:v>inferred</x:v>
      </x:c>
      <x:c r="E497" s="63" t="str">
        <x:v>School</x:v>
      </x:c>
      <x:c r="F497" s="63" t="str">
        <x:v>Institutional</x:v>
      </x:c>
      <x:c r="G497" s="63" t="str">
        <x:v>Alberta Infrastructure</x:v>
      </x:c>
      <x:c r="H497" s="63" t="str">
        <x:v>Government Or Public Institution Signal</x:v>
      </x:c>
      <x:c r="I497" s="63" t="str">
        <x:v>inferred</x:v>
      </x:c>
      <x:c r="J497" s="63" t="str">
        <x:v>Edmonton</x:v>
      </x:c>
      <x:c r="K497" s="63" t="str">
        <x:v>Proposed</x:v>
      </x:c>
      <x:c r="L497" s="143" t="n">
        <x:v>42900000</x:v>
      </x:c>
      <x:c r="M497" s="179"/>
      <x:c r="N497" s="179"/>
      <x:c r="O497" s="63" t="str">
        <x:v>indeterminate_incomplete_schedule</x:v>
      </x:c>
      <x:c r="P497" s="63" t="str"/>
      <x:c r="Q497" s="143"/>
      <x:c r="R497" s="143"/>
      <x:c r="S497" s="154" t="n">
        <x:v>-113.70190086</x:v>
      </x:c>
      <x:c r="T497" s="154" t="n">
        <x:v>53.51767684</x:v>
      </x:c>
      <x:c r="U497" s="63" t="str">
        <x:v>reported</x:v>
      </x:c>
      <x:c r="V497" s="63" t="str">
        <x:v>ALBERTA_MAJOR_PROJECTS</x:v>
      </x:c>
      <x:c r="W497" s="63" t="str">
        <x:v>observed</x:v>
      </x:c>
      <x:c r="X497" s="155" t="n">
        <x:v>46265</x:v>
      </x:c>
      <x:c r="Y497" s="63" t="str">
        <x:v>https://www.majorprojects.alberta.ca/</x:v>
      </x:c>
    </x:row>
    <x:row r="498">
      <x:c r="A498" s="63" t="str">
        <x:v>ABMP_11345</x:v>
      </x:c>
      <x:c r="B498" s="63" t="str">
        <x:v>New K-8 School in Bayview (SW Airdrie)</x:v>
      </x:c>
      <x:c r="C498" s="63" t="str">
        <x:v>Schools And Postsecondary</x:v>
      </x:c>
      <x:c r="D498" s="63" t="str">
        <x:v>inferred</x:v>
      </x:c>
      <x:c r="E498" s="63" t="str">
        <x:v>School</x:v>
      </x:c>
      <x:c r="F498" s="63" t="str">
        <x:v>Institutional</x:v>
      </x:c>
      <x:c r="G498" s="63" t="str">
        <x:v>Alberta Infrastructure</x:v>
      </x:c>
      <x:c r="H498" s="63" t="str">
        <x:v>Government Or Public Institution Signal</x:v>
      </x:c>
      <x:c r="I498" s="63" t="str">
        <x:v>inferred</x:v>
      </x:c>
      <x:c r="J498" s="63" t="str">
        <x:v>Airdrie</x:v>
      </x:c>
      <x:c r="K498" s="63" t="str">
        <x:v>Under Construction</x:v>
      </x:c>
      <x:c r="L498" s="143" t="n">
        <x:v>54900000</x:v>
      </x:c>
      <x:c r="M498" s="179" t="n">
        <x:v>2026</x:v>
      </x:c>
      <x:c r="N498" s="179" t="n">
        <x:v>2028</x:v>
      </x:c>
      <x:c r="O498" s="63" t="str">
        <x:v>overlaps</x:v>
      </x:c>
      <x:c r="P498" s="63" t="str">
        <x:v>2027|2028</x:v>
      </x:c>
      <x:c r="Q498" s="143" t="n">
        <x:v>18300000</x:v>
      </x:c>
      <x:c r="R498" s="143" t="n">
        <x:v>36600000</x:v>
      </x:c>
      <x:c r="S498" s="154" t="n">
        <x:v>-114.04514956</x:v>
      </x:c>
      <x:c r="T498" s="154" t="n">
        <x:v>51.28071523</x:v>
      </x:c>
      <x:c r="U498" s="63" t="str">
        <x:v>approximate</x:v>
      </x:c>
      <x:c r="V498" s="63" t="str">
        <x:v>ALBERTA_MAJOR_PROJECTS</x:v>
      </x:c>
      <x:c r="W498" s="63" t="str">
        <x:v>observed</x:v>
      </x:c>
      <x:c r="X498" s="155" t="n">
        <x:v>46265</x:v>
      </x:c>
      <x:c r="Y498" s="63" t="str">
        <x:v>https://www.majorprojects.alberta.ca/</x:v>
      </x:c>
    </x:row>
    <x:row r="499">
      <x:c r="A499" s="63" t="str">
        <x:v>ABMP_11445</x:v>
      </x:c>
      <x:c r="B499" s="63" t="str">
        <x:v>New K-8 School in Cochrane</x:v>
      </x:c>
      <x:c r="C499" s="63" t="str">
        <x:v>Schools And Postsecondary</x:v>
      </x:c>
      <x:c r="D499" s="63" t="str">
        <x:v>inferred</x:v>
      </x:c>
      <x:c r="E499" s="63" t="str">
        <x:v>School</x:v>
      </x:c>
      <x:c r="F499" s="63" t="str">
        <x:v>Institutional</x:v>
      </x:c>
      <x:c r="G499" s="63" t="str">
        <x:v>Alberta Infrastructure</x:v>
      </x:c>
      <x:c r="H499" s="63" t="str">
        <x:v>Government Or Public Institution Signal</x:v>
      </x:c>
      <x:c r="I499" s="63" t="str">
        <x:v>inferred</x:v>
      </x:c>
      <x:c r="J499" s="63" t="str">
        <x:v>Cochrane</x:v>
      </x:c>
      <x:c r="K499" s="63" t="str">
        <x:v>Under Construction</x:v>
      </x:c>
      <x:c r="L499" s="143" t="n">
        <x:v>55300000</x:v>
      </x:c>
      <x:c r="M499" s="179" t="n">
        <x:v>2026</x:v>
      </x:c>
      <x:c r="N499" s="179"/>
      <x:c r="O499" s="63" t="str">
        <x:v>indeterminate_incomplete_schedule</x:v>
      </x:c>
      <x:c r="P499" s="63" t="str"/>
      <x:c r="Q499" s="143"/>
      <x:c r="R499" s="143"/>
      <x:c r="S499" s="154" t="n">
        <x:v>-114.46303146</x:v>
      </x:c>
      <x:c r="T499" s="154" t="n">
        <x:v>51.16661262</x:v>
      </x:c>
      <x:c r="U499" s="63" t="str">
        <x:v>reported</x:v>
      </x:c>
      <x:c r="V499" s="63" t="str">
        <x:v>ALBERTA_MAJOR_PROJECTS</x:v>
      </x:c>
      <x:c r="W499" s="63" t="str">
        <x:v>observed</x:v>
      </x:c>
      <x:c r="X499" s="155" t="n">
        <x:v>46265</x:v>
      </x:c>
      <x:c r="Y499" s="63" t="str">
        <x:v>https://www.majorprojects.alberta.ca/</x:v>
      </x:c>
    </x:row>
    <x:row r="500">
      <x:c r="A500" s="63" t="str">
        <x:v>ABMP_11682</x:v>
      </x:c>
      <x:c r="B500" s="63" t="str">
        <x:v>New K-8 School in Lanark SE Airdrie</x:v>
      </x:c>
      <x:c r="C500" s="63" t="str">
        <x:v>Schools And Postsecondary</x:v>
      </x:c>
      <x:c r="D500" s="63" t="str">
        <x:v>inferred</x:v>
      </x:c>
      <x:c r="E500" s="63" t="str">
        <x:v>School</x:v>
      </x:c>
      <x:c r="F500" s="63" t="str">
        <x:v>Institutional</x:v>
      </x:c>
      <x:c r="G500" s="63" t="str">
        <x:v>Alberta Infrastructure</x:v>
      </x:c>
      <x:c r="H500" s="63" t="str">
        <x:v>Government Or Public Institution Signal</x:v>
      </x:c>
      <x:c r="I500" s="63" t="str">
        <x:v>inferred</x:v>
      </x:c>
      <x:c r="J500" s="63" t="str">
        <x:v>Airdrie</x:v>
      </x:c>
      <x:c r="K500" s="63" t="str">
        <x:v>Proposed</x:v>
      </x:c>
      <x:c r="L500" s="143"/>
      <x:c r="M500" s="179"/>
      <x:c r="N500" s="179"/>
      <x:c r="O500" s="63" t="str">
        <x:v>indeterminate_incomplete_schedule</x:v>
      </x:c>
      <x:c r="P500" s="63" t="str"/>
      <x:c r="Q500" s="143"/>
      <x:c r="R500" s="143"/>
      <x:c r="S500" s="154" t="n">
        <x:v>-113.975942</x:v>
      </x:c>
      <x:c r="T500" s="154" t="n">
        <x:v>51.25927</x:v>
      </x:c>
      <x:c r="U500" s="63" t="str">
        <x:v>approximate</x:v>
      </x:c>
      <x:c r="V500" s="63" t="str">
        <x:v>ALBERTA_MAJOR_PROJECTS</x:v>
      </x:c>
      <x:c r="W500" s="63" t="str">
        <x:v>observed</x:v>
      </x:c>
      <x:c r="X500" s="155" t="n">
        <x:v>46265</x:v>
      </x:c>
      <x:c r="Y500" s="63" t="str">
        <x:v>https://www.majorprojects.alberta.ca/</x:v>
      </x:c>
    </x:row>
    <x:row r="501">
      <x:c r="A501" s="63" t="str">
        <x:v>ABMP_11248</x:v>
      </x:c>
      <x:c r="B501" s="63" t="str">
        <x:v>New K-8 School in Windsong (SW Airdrie)</x:v>
      </x:c>
      <x:c r="C501" s="63" t="str">
        <x:v>Schools And Postsecondary</x:v>
      </x:c>
      <x:c r="D501" s="63" t="str">
        <x:v>inferred</x:v>
      </x:c>
      <x:c r="E501" s="63" t="str">
        <x:v>School</x:v>
      </x:c>
      <x:c r="F501" s="63" t="str">
        <x:v>Institutional</x:v>
      </x:c>
      <x:c r="G501" s="63" t="str">
        <x:v>Alberta Infrastructure</x:v>
      </x:c>
      <x:c r="H501" s="63" t="str">
        <x:v>Government Or Public Institution Signal</x:v>
      </x:c>
      <x:c r="I501" s="63" t="str">
        <x:v>inferred</x:v>
      </x:c>
      <x:c r="J501" s="63" t="str">
        <x:v>Airdrie</x:v>
      </x:c>
      <x:c r="K501" s="63" t="str">
        <x:v>Under Construction</x:v>
      </x:c>
      <x:c r="L501" s="143" t="n">
        <x:v>64300000</x:v>
      </x:c>
      <x:c r="M501" s="179" t="n">
        <x:v>2025</x:v>
      </x:c>
      <x:c r="N501" s="179" t="n">
        <x:v>2027</x:v>
      </x:c>
      <x:c r="O501" s="63" t="str">
        <x:v>overlaps</x:v>
      </x:c>
      <x:c r="P501" s="63" t="str">
        <x:v>2027</x:v>
      </x:c>
      <x:c r="Q501" s="143" t="n">
        <x:v>21433333.333333332</x:v>
      </x:c>
      <x:c r="R501" s="143" t="n">
        <x:v>21433333.333333332</x:v>
      </x:c>
      <x:c r="S501" s="154" t="n">
        <x:v>-114.035</x:v>
      </x:c>
      <x:c r="T501" s="154" t="n">
        <x:v>51.251139</x:v>
      </x:c>
      <x:c r="U501" s="63" t="str">
        <x:v>reported</x:v>
      </x:c>
      <x:c r="V501" s="63" t="str">
        <x:v>ALBERTA_MAJOR_PROJECTS</x:v>
      </x:c>
      <x:c r="W501" s="63" t="str">
        <x:v>observed</x:v>
      </x:c>
      <x:c r="X501" s="155" t="n">
        <x:v>46265</x:v>
      </x:c>
      <x:c r="Y501" s="63" t="str">
        <x:v>https://www.majorprojects.alberta.ca/</x:v>
      </x:c>
    </x:row>
    <x:row r="502">
      <x:c r="A502" s="63" t="str">
        <x:v>ABMP_11705</x:v>
      </x:c>
      <x:c r="B502" s="63" t="str">
        <x:v>New K-9 Catholic School in Carrington N Calgary</x:v>
      </x:c>
      <x:c r="C502" s="63" t="str">
        <x:v>Schools And Postsecondary</x:v>
      </x:c>
      <x:c r="D502" s="63" t="str">
        <x:v>inferred</x:v>
      </x:c>
      <x:c r="E502" s="63" t="str">
        <x:v>School</x:v>
      </x:c>
      <x:c r="F502" s="63" t="str">
        <x:v>Institutional</x:v>
      </x:c>
      <x:c r="G502" s="63" t="str">
        <x:v>Alberta Infrastructure</x:v>
      </x:c>
      <x:c r="H502" s="63" t="str">
        <x:v>Government Or Public Institution Signal</x:v>
      </x:c>
      <x:c r="I502" s="63" t="str">
        <x:v>inferred</x:v>
      </x:c>
      <x:c r="J502" s="63" t="str">
        <x:v>Calgary</x:v>
      </x:c>
      <x:c r="K502" s="63" t="str">
        <x:v>Proposed</x:v>
      </x:c>
      <x:c r="L502" s="143"/>
      <x:c r="M502" s="179"/>
      <x:c r="N502" s="179"/>
      <x:c r="O502" s="63" t="str">
        <x:v>indeterminate_incomplete_schedule</x:v>
      </x:c>
      <x:c r="P502" s="63" t="str"/>
      <x:c r="Q502" s="143"/>
      <x:c r="R502" s="143"/>
      <x:c r="S502" s="154" t="n">
        <x:v>-114.08863</x:v>
      </x:c>
      <x:c r="T502" s="154" t="n">
        <x:v>51.185911</x:v>
      </x:c>
      <x:c r="U502" s="63" t="str">
        <x:v>reported</x:v>
      </x:c>
      <x:c r="V502" s="63" t="str">
        <x:v>ALBERTA_MAJOR_PROJECTS</x:v>
      </x:c>
      <x:c r="W502" s="63" t="str">
        <x:v>observed</x:v>
      </x:c>
      <x:c r="X502" s="155" t="n">
        <x:v>46265</x:v>
      </x:c>
      <x:c r="Y502" s="63" t="str">
        <x:v>https://www.majorprojects.alberta.ca/</x:v>
      </x:c>
    </x:row>
    <x:row r="503">
      <x:c r="A503" s="63" t="str">
        <x:v>ABMP_11252</x:v>
      </x:c>
      <x:c r="B503" s="63" t="str">
        <x:v>New K-9 Catholic School in Chestermere</x:v>
      </x:c>
      <x:c r="C503" s="63" t="str">
        <x:v>Schools And Postsecondary</x:v>
      </x:c>
      <x:c r="D503" s="63" t="str">
        <x:v>inferred</x:v>
      </x:c>
      <x:c r="E503" s="63" t="str">
        <x:v>School</x:v>
      </x:c>
      <x:c r="F503" s="63" t="str">
        <x:v>Institutional</x:v>
      </x:c>
      <x:c r="G503" s="63" t="str">
        <x:v>Alberta Infrastructure</x:v>
      </x:c>
      <x:c r="H503" s="63" t="str">
        <x:v>Government Or Public Institution Signal</x:v>
      </x:c>
      <x:c r="I503" s="63" t="str">
        <x:v>inferred</x:v>
      </x:c>
      <x:c r="J503" s="63" t="str">
        <x:v>Chestermere</x:v>
      </x:c>
      <x:c r="K503" s="63" t="str">
        <x:v>Under Construction</x:v>
      </x:c>
      <x:c r="L503" s="143" t="n">
        <x:v>46400000</x:v>
      </x:c>
      <x:c r="M503" s="179" t="n">
        <x:v>2025</x:v>
      </x:c>
      <x:c r="N503" s="179" t="n">
        <x:v>2027</x:v>
      </x:c>
      <x:c r="O503" s="63" t="str">
        <x:v>overlaps</x:v>
      </x:c>
      <x:c r="P503" s="63" t="str">
        <x:v>2027</x:v>
      </x:c>
      <x:c r="Q503" s="143" t="n">
        <x:v>15466666.666666666</x:v>
      </x:c>
      <x:c r="R503" s="143" t="n">
        <x:v>15466666.666666666</x:v>
      </x:c>
      <x:c r="S503" s="154" t="n">
        <x:v>-113.848</x:v>
      </x:c>
      <x:c r="T503" s="154" t="n">
        <x:v>51.024199</x:v>
      </x:c>
      <x:c r="U503" s="63" t="str">
        <x:v>reported</x:v>
      </x:c>
      <x:c r="V503" s="63" t="str">
        <x:v>ALBERTA_MAJOR_PROJECTS</x:v>
      </x:c>
      <x:c r="W503" s="63" t="str">
        <x:v>observed</x:v>
      </x:c>
      <x:c r="X503" s="155" t="n">
        <x:v>46265</x:v>
      </x:c>
      <x:c r="Y503" s="63" t="str">
        <x:v>https://www.majorprojects.alberta.ca/</x:v>
      </x:c>
    </x:row>
    <x:row r="504">
      <x:c r="A504" s="63" t="str">
        <x:v>ABMP_11701</x:v>
      </x:c>
      <x:c r="B504" s="63" t="str">
        <x:v>New K-9 Catholic School in Cornerstone NE Calgary</x:v>
      </x:c>
      <x:c r="C504" s="63" t="str">
        <x:v>Schools And Postsecondary</x:v>
      </x:c>
      <x:c r="D504" s="63" t="str">
        <x:v>inferred</x:v>
      </x:c>
      <x:c r="E504" s="63" t="str">
        <x:v>School</x:v>
      </x:c>
      <x:c r="F504" s="63" t="str">
        <x:v>Institutional</x:v>
      </x:c>
      <x:c r="G504" s="63" t="str">
        <x:v>Alberta Infrastructure</x:v>
      </x:c>
      <x:c r="H504" s="63" t="str">
        <x:v>Government Or Public Institution Signal</x:v>
      </x:c>
      <x:c r="I504" s="63" t="str">
        <x:v>inferred</x:v>
      </x:c>
      <x:c r="J504" s="63" t="str">
        <x:v>Calgary</x:v>
      </x:c>
      <x:c r="K504" s="63" t="str">
        <x:v>Proposed</x:v>
      </x:c>
      <x:c r="L504" s="143" t="n">
        <x:v>5100000</x:v>
      </x:c>
      <x:c r="M504" s="179"/>
      <x:c r="N504" s="179" t="n">
        <x:v>2029</x:v>
      </x:c>
      <x:c r="O504" s="63" t="str">
        <x:v>indeterminate_incomplete_schedule</x:v>
      </x:c>
      <x:c r="P504" s="63" t="str"/>
      <x:c r="Q504" s="143"/>
      <x:c r="R504" s="143"/>
      <x:c r="S504" s="154" t="n">
        <x:v>-113.939787</x:v>
      </x:c>
      <x:c r="T504" s="154" t="n">
        <x:v>51.166634</x:v>
      </x:c>
      <x:c r="U504" s="63" t="str">
        <x:v>reported</x:v>
      </x:c>
      <x:c r="V504" s="63" t="str">
        <x:v>ALBERTA_MAJOR_PROJECTS</x:v>
      </x:c>
      <x:c r="W504" s="63" t="str">
        <x:v>observed</x:v>
      </x:c>
      <x:c r="X504" s="155" t="n">
        <x:v>46265</x:v>
      </x:c>
      <x:c r="Y504" s="63" t="str">
        <x:v>https://www.majorprojects.alberta.ca/</x:v>
      </x:c>
    </x:row>
    <x:row r="505">
      <x:c r="A505" s="63" t="str">
        <x:v>ABMP_11693</x:v>
      </x:c>
      <x:c r="B505" s="63" t="str">
        <x:v>New K-9 Catholic School in Walden South Calgary</x:v>
      </x:c>
      <x:c r="C505" s="63" t="str">
        <x:v>Schools And Postsecondary</x:v>
      </x:c>
      <x:c r="D505" s="63" t="str">
        <x:v>inferred</x:v>
      </x:c>
      <x:c r="E505" s="63" t="str">
        <x:v>School</x:v>
      </x:c>
      <x:c r="F505" s="63" t="str">
        <x:v>Institutional</x:v>
      </x:c>
      <x:c r="G505" s="63" t="str">
        <x:v>Alberta Infrastructure</x:v>
      </x:c>
      <x:c r="H505" s="63" t="str">
        <x:v>Government Or Public Institution Signal</x:v>
      </x:c>
      <x:c r="I505" s="63" t="str">
        <x:v>inferred</x:v>
      </x:c>
      <x:c r="J505" s="63" t="str">
        <x:v>Calgary</x:v>
      </x:c>
      <x:c r="K505" s="63" t="str">
        <x:v>Proposed</x:v>
      </x:c>
      <x:c r="L505" s="143"/>
      <x:c r="M505" s="179"/>
      <x:c r="N505" s="179"/>
      <x:c r="O505" s="63" t="str">
        <x:v>indeterminate_incomplete_schedule</x:v>
      </x:c>
      <x:c r="P505" s="63" t="str"/>
      <x:c r="Q505" s="143"/>
      <x:c r="R505" s="143"/>
      <x:c r="S505" s="154" t="n">
        <x:v>-114.025446</x:v>
      </x:c>
      <x:c r="T505" s="154" t="n">
        <x:v>50.867473</x:v>
      </x:c>
      <x:c r="U505" s="63" t="str">
        <x:v>approximate</x:v>
      </x:c>
      <x:c r="V505" s="63" t="str">
        <x:v>ALBERTA_MAJOR_PROJECTS</x:v>
      </x:c>
      <x:c r="W505" s="63" t="str">
        <x:v>observed</x:v>
      </x:c>
      <x:c r="X505" s="155" t="n">
        <x:v>46265</x:v>
      </x:c>
      <x:c r="Y505" s="63" t="str">
        <x:v>https://www.majorprojects.alberta.ca/</x:v>
      </x:c>
    </x:row>
    <x:row r="506">
      <x:c r="A506" s="63" t="str">
        <x:v>ABMP_11442</x:v>
      </x:c>
      <x:c r="B506" s="63" t="str">
        <x:v>New K-9 Francophone Catholic School in North Calgary</x:v>
      </x:c>
      <x:c r="C506" s="63" t="str">
        <x:v>Schools And Postsecondary</x:v>
      </x:c>
      <x:c r="D506" s="63" t="str">
        <x:v>inferred</x:v>
      </x:c>
      <x:c r="E506" s="63" t="str">
        <x:v>School</x:v>
      </x:c>
      <x:c r="F506" s="63" t="str">
        <x:v>Institutional</x:v>
      </x:c>
      <x:c r="G506" s="63" t="str">
        <x:v>Alberta Infrastructure</x:v>
      </x:c>
      <x:c r="H506" s="63" t="str">
        <x:v>Government Or Public Institution Signal</x:v>
      </x:c>
      <x:c r="I506" s="63" t="str">
        <x:v>inferred</x:v>
      </x:c>
      <x:c r="J506" s="63" t="str">
        <x:v>Calgary</x:v>
      </x:c>
      <x:c r="K506" s="63" t="str">
        <x:v>Proposed</x:v>
      </x:c>
      <x:c r="L506" s="143"/>
      <x:c r="M506" s="179"/>
      <x:c r="N506" s="179"/>
      <x:c r="O506" s="63" t="str">
        <x:v>indeterminate_incomplete_schedule</x:v>
      </x:c>
      <x:c r="P506" s="63" t="str"/>
      <x:c r="Q506" s="143"/>
      <x:c r="R506" s="143"/>
      <x:c r="S506" s="154" t="n">
        <x:v>-114.146</x:v>
      </x:c>
      <x:c r="T506" s="154" t="n">
        <x:v>51.142188</x:v>
      </x:c>
      <x:c r="U506" s="63" t="str">
        <x:v>reported</x:v>
      </x:c>
      <x:c r="V506" s="63" t="str">
        <x:v>ALBERTA_MAJOR_PROJECTS</x:v>
      </x:c>
      <x:c r="W506" s="63" t="str">
        <x:v>observed</x:v>
      </x:c>
      <x:c r="X506" s="155" t="n">
        <x:v>46265</x:v>
      </x:c>
      <x:c r="Y506" s="63" t="str">
        <x:v>https://www.majorprojects.alberta.ca/</x:v>
      </x:c>
    </x:row>
    <x:row r="507">
      <x:c r="A507" s="63" t="str">
        <x:v>ABMP_10932</x:v>
      </x:c>
      <x:c r="B507" s="63" t="str">
        <x:v>New K-9 Nolan Hill (Calgary)</x:v>
      </x:c>
      <x:c r="C507" s="63" t="str">
        <x:v>Schools And Postsecondary</x:v>
      </x:c>
      <x:c r="D507" s="63" t="str">
        <x:v>inferred</x:v>
      </x:c>
      <x:c r="E507" s="63" t="str">
        <x:v>School</x:v>
      </x:c>
      <x:c r="F507" s="63" t="str">
        <x:v>Institutional</x:v>
      </x:c>
      <x:c r="G507" s="63" t="str">
        <x:v>Alberta Infrastructure</x:v>
      </x:c>
      <x:c r="H507" s="63" t="str">
        <x:v>Government Or Public Institution Signal</x:v>
      </x:c>
      <x:c r="I507" s="63" t="str">
        <x:v>inferred</x:v>
      </x:c>
      <x:c r="J507" s="63" t="str">
        <x:v>Calgary</x:v>
      </x:c>
      <x:c r="K507" s="63" t="str">
        <x:v>Under Construction</x:v>
      </x:c>
      <x:c r="L507" s="143" t="n">
        <x:v>54100000</x:v>
      </x:c>
      <x:c r="M507" s="179" t="n">
        <x:v>2025</x:v>
      </x:c>
      <x:c r="N507" s="179" t="n">
        <x:v>2027</x:v>
      </x:c>
      <x:c r="O507" s="63" t="str">
        <x:v>overlaps</x:v>
      </x:c>
      <x:c r="P507" s="63" t="str">
        <x:v>2027</x:v>
      </x:c>
      <x:c r="Q507" s="143" t="n">
        <x:v>18033333.333333332</x:v>
      </x:c>
      <x:c r="R507" s="143" t="n">
        <x:v>18033333.333333332</x:v>
      </x:c>
      <x:c r="S507" s="154" t="n">
        <x:v>-114.163</x:v>
      </x:c>
      <x:c r="T507" s="154" t="n">
        <x:v>51.17582212</x:v>
      </x:c>
      <x:c r="U507" s="63" t="str">
        <x:v>reported</x:v>
      </x:c>
      <x:c r="V507" s="63" t="str">
        <x:v>ALBERTA_MAJOR_PROJECTS</x:v>
      </x:c>
      <x:c r="W507" s="63" t="str">
        <x:v>observed</x:v>
      </x:c>
      <x:c r="X507" s="155" t="n">
        <x:v>46265</x:v>
      </x:c>
      <x:c r="Y507" s="63" t="str">
        <x:v>https://www.majorprojects.alberta.ca/</x:v>
      </x:c>
    </x:row>
    <x:row r="508">
      <x:c r="A508" s="63" t="str">
        <x:v>ABMP_11706</x:v>
      </x:c>
      <x:c r="B508" s="63" t="str">
        <x:v>New K-9 School in Cherot, St. Albert</x:v>
      </x:c>
      <x:c r="C508" s="63" t="str">
        <x:v>Schools And Postsecondary</x:v>
      </x:c>
      <x:c r="D508" s="63" t="str">
        <x:v>inferred</x:v>
      </x:c>
      <x:c r="E508" s="63" t="str">
        <x:v>School</x:v>
      </x:c>
      <x:c r="F508" s="63" t="str">
        <x:v>Institutional</x:v>
      </x:c>
      <x:c r="G508" s="63" t="str">
        <x:v>Alberta Infrastructure</x:v>
      </x:c>
      <x:c r="H508" s="63" t="str">
        <x:v>Government Or Public Institution Signal</x:v>
      </x:c>
      <x:c r="I508" s="63" t="str">
        <x:v>inferred</x:v>
      </x:c>
      <x:c r="J508" s="63" t="str">
        <x:v>St. Albert</x:v>
      </x:c>
      <x:c r="K508" s="63" t="str">
        <x:v>Proposed</x:v>
      </x:c>
      <x:c r="L508" s="143" t="n">
        <x:v>5500000</x:v>
      </x:c>
      <x:c r="M508" s="179"/>
      <x:c r="N508" s="179"/>
      <x:c r="O508" s="63" t="str">
        <x:v>indeterminate_incomplete_schedule</x:v>
      </x:c>
      <x:c r="P508" s="63" t="str"/>
      <x:c r="Q508" s="143"/>
      <x:c r="R508" s="143"/>
      <x:c r="S508" s="154" t="n">
        <x:v>-113.684531</x:v>
      </x:c>
      <x:c r="T508" s="154" t="n">
        <x:v>53.644108</x:v>
      </x:c>
      <x:c r="U508" s="63" t="str">
        <x:v>reported</x:v>
      </x:c>
      <x:c r="V508" s="63" t="str">
        <x:v>ALBERTA_MAJOR_PROJECTS</x:v>
      </x:c>
      <x:c r="W508" s="63" t="str">
        <x:v>observed</x:v>
      </x:c>
      <x:c r="X508" s="155" t="n">
        <x:v>46265</x:v>
      </x:c>
      <x:c r="Y508" s="63" t="str">
        <x:v>https://www.majorprojects.alberta.ca/</x:v>
      </x:c>
    </x:row>
    <x:row r="509">
      <x:c r="A509" s="63" t="str">
        <x:v>ABMP_11444</x:v>
      </x:c>
      <x:c r="B509" s="63" t="str">
        <x:v>New K-9 School in Chestermere</x:v>
      </x:c>
      <x:c r="C509" s="63" t="str">
        <x:v>Schools And Postsecondary</x:v>
      </x:c>
      <x:c r="D509" s="63" t="str">
        <x:v>inferred</x:v>
      </x:c>
      <x:c r="E509" s="63" t="str">
        <x:v>School</x:v>
      </x:c>
      <x:c r="F509" s="63" t="str">
        <x:v>Institutional</x:v>
      </x:c>
      <x:c r="G509" s="63" t="str">
        <x:v>Alberta Infrastructure</x:v>
      </x:c>
      <x:c r="H509" s="63" t="str">
        <x:v>Government Or Public Institution Signal</x:v>
      </x:c>
      <x:c r="I509" s="63" t="str">
        <x:v>inferred</x:v>
      </x:c>
      <x:c r="J509" s="63" t="str">
        <x:v>Chestermere</x:v>
      </x:c>
      <x:c r="K509" s="63" t="str">
        <x:v>Proposed</x:v>
      </x:c>
      <x:c r="L509" s="143" t="n">
        <x:v>53200000</x:v>
      </x:c>
      <x:c r="M509" s="179"/>
      <x:c r="N509" s="179"/>
      <x:c r="O509" s="63" t="str">
        <x:v>indeterminate_incomplete_schedule</x:v>
      </x:c>
      <x:c r="P509" s="63" t="str"/>
      <x:c r="Q509" s="143"/>
      <x:c r="R509" s="143"/>
      <x:c r="S509" s="154" t="n">
        <x:v>-113.85122</x:v>
      </x:c>
      <x:c r="T509" s="154" t="n">
        <x:v>51.03285</x:v>
      </x:c>
      <x:c r="U509" s="63" t="str">
        <x:v>reported</x:v>
      </x:c>
      <x:c r="V509" s="63" t="str">
        <x:v>ALBERTA_MAJOR_PROJECTS</x:v>
      </x:c>
      <x:c r="W509" s="63" t="str">
        <x:v>observed</x:v>
      </x:c>
      <x:c r="X509" s="155" t="n">
        <x:v>46265</x:v>
      </x:c>
      <x:c r="Y509" s="63" t="str">
        <x:v>https://www.majorprojects.alberta.ca/</x:v>
      </x:c>
    </x:row>
    <x:row r="510">
      <x:c r="A510" s="63" t="str">
        <x:v>ABMP_10936</x:v>
      </x:c>
      <x:c r="B510" s="63" t="str">
        <x:v>New K-9 School in Edgemont (Edmonton)</x:v>
      </x:c>
      <x:c r="C510" s="63" t="str">
        <x:v>Schools And Postsecondary</x:v>
      </x:c>
      <x:c r="D510" s="63" t="str">
        <x:v>inferred</x:v>
      </x:c>
      <x:c r="E510" s="63" t="str">
        <x:v>School</x:v>
      </x:c>
      <x:c r="F510" s="63" t="str">
        <x:v>Institutional</x:v>
      </x:c>
      <x:c r="G510" s="63" t="str">
        <x:v>Alberta Infrastructure</x:v>
      </x:c>
      <x:c r="H510" s="63" t="str">
        <x:v>Government Or Public Institution Signal</x:v>
      </x:c>
      <x:c r="I510" s="63" t="str">
        <x:v>inferred</x:v>
      </x:c>
      <x:c r="J510" s="63" t="str">
        <x:v>Edmonton</x:v>
      </x:c>
      <x:c r="K510" s="63" t="str">
        <x:v>Proposed</x:v>
      </x:c>
      <x:c r="L510" s="143" t="n">
        <x:v>63200000</x:v>
      </x:c>
      <x:c r="M510" s="179"/>
      <x:c r="N510" s="179"/>
      <x:c r="O510" s="63" t="str">
        <x:v>indeterminate_incomplete_schedule</x:v>
      </x:c>
      <x:c r="P510" s="63" t="str"/>
      <x:c r="Q510" s="143"/>
      <x:c r="R510" s="143"/>
      <x:c r="S510" s="154" t="n">
        <x:v>-113.678</x:v>
      </x:c>
      <x:c r="T510" s="154" t="n">
        <x:v>53.47088188</x:v>
      </x:c>
      <x:c r="U510" s="63" t="str">
        <x:v>reported</x:v>
      </x:c>
      <x:c r="V510" s="63" t="str">
        <x:v>ALBERTA_MAJOR_PROJECTS</x:v>
      </x:c>
      <x:c r="W510" s="63" t="str">
        <x:v>observed</x:v>
      </x:c>
      <x:c r="X510" s="155" t="n">
        <x:v>46265</x:v>
      </x:c>
      <x:c r="Y510" s="63" t="str">
        <x:v>https://www.majorprojects.alberta.ca/</x:v>
      </x:c>
    </x:row>
    <x:row r="511">
      <x:c r="A511" s="63" t="str">
        <x:v>ABMP_11455</x:v>
      </x:c>
      <x:c r="B511" s="63" t="str">
        <x:v>New K-9 School in River's Edge</x:v>
      </x:c>
      <x:c r="C511" s="63" t="str">
        <x:v>Schools And Postsecondary</x:v>
      </x:c>
      <x:c r="D511" s="63" t="str">
        <x:v>inferred</x:v>
      </x:c>
      <x:c r="E511" s="63" t="str">
        <x:v>School</x:v>
      </x:c>
      <x:c r="F511" s="63" t="str">
        <x:v>Institutional</x:v>
      </x:c>
      <x:c r="G511" s="63" t="str">
        <x:v>Alberta Infrastructure</x:v>
      </x:c>
      <x:c r="H511" s="63" t="str">
        <x:v>Government Or Public Institution Signal</x:v>
      </x:c>
      <x:c r="I511" s="63" t="str">
        <x:v>inferred</x:v>
      </x:c>
      <x:c r="J511" s="63" t="str">
        <x:v>Edmonton</x:v>
      </x:c>
      <x:c r="K511" s="63" t="str">
        <x:v>Proposed</x:v>
      </x:c>
      <x:c r="L511" s="143" t="n">
        <x:v>60300000</x:v>
      </x:c>
      <x:c r="M511" s="179"/>
      <x:c r="N511" s="179"/>
      <x:c r="O511" s="63" t="str">
        <x:v>indeterminate_incomplete_schedule</x:v>
      </x:c>
      <x:c r="P511" s="63" t="str"/>
      <x:c r="Q511" s="143"/>
      <x:c r="R511" s="143"/>
      <x:c r="S511" s="154" t="n">
        <x:v>-113.641717</x:v>
      </x:c>
      <x:c r="T511" s="154" t="n">
        <x:v>53.451038</x:v>
      </x:c>
      <x:c r="U511" s="63" t="str">
        <x:v>reported</x:v>
      </x:c>
      <x:c r="V511" s="63" t="str">
        <x:v>ALBERTA_MAJOR_PROJECTS</x:v>
      </x:c>
      <x:c r="W511" s="63" t="str">
        <x:v>observed</x:v>
      </x:c>
      <x:c r="X511" s="155" t="n">
        <x:v>46265</x:v>
      </x:c>
      <x:c r="Y511" s="63" t="str">
        <x:v>https://www.majorprojects.alberta.ca/</x:v>
      </x:c>
    </x:row>
    <x:row r="512">
      <x:c r="A512" s="63" t="str">
        <x:v>ABMP_11774</x:v>
      </x:c>
      <x:c r="B512" s="63" t="str">
        <x:v>New Middle School in Redcliff</x:v>
      </x:c>
      <x:c r="C512" s="63" t="str">
        <x:v>Schools And Postsecondary</x:v>
      </x:c>
      <x:c r="D512" s="63" t="str">
        <x:v>inferred</x:v>
      </x:c>
      <x:c r="E512" s="63" t="str">
        <x:v>School</x:v>
      </x:c>
      <x:c r="F512" s="63" t="str">
        <x:v>Institutional</x:v>
      </x:c>
      <x:c r="G512" s="63" t="str">
        <x:v>Alberta Infrastructure</x:v>
      </x:c>
      <x:c r="H512" s="63" t="str">
        <x:v>Government Or Public Institution Signal</x:v>
      </x:c>
      <x:c r="I512" s="63" t="str">
        <x:v>inferred</x:v>
      </x:c>
      <x:c r="J512" s="63" t="str">
        <x:v>Redcliff</x:v>
      </x:c>
      <x:c r="K512" s="63" t="str">
        <x:v>Proposed</x:v>
      </x:c>
      <x:c r="L512" s="143" t="n">
        <x:v>21800000</x:v>
      </x:c>
      <x:c r="M512" s="179"/>
      <x:c r="N512" s="179"/>
      <x:c r="O512" s="63" t="str">
        <x:v>indeterminate_incomplete_schedule</x:v>
      </x:c>
      <x:c r="P512" s="63" t="str"/>
      <x:c r="Q512" s="143"/>
      <x:c r="R512" s="143"/>
      <x:c r="S512" s="154" t="n">
        <x:v>-110.773593</x:v>
      </x:c>
      <x:c r="T512" s="154" t="n">
        <x:v>50.065244</x:v>
      </x:c>
      <x:c r="U512" s="63" t="str">
        <x:v>reported</x:v>
      </x:c>
      <x:c r="V512" s="63" t="str">
        <x:v>ALBERTA_MAJOR_PROJECTS</x:v>
      </x:c>
      <x:c r="W512" s="63" t="str">
        <x:v>observed</x:v>
      </x:c>
      <x:c r="X512" s="155" t="n">
        <x:v>46265</x:v>
      </x:c>
      <x:c r="Y512" s="63" t="str">
        <x:v>https://www.majorprojects.alberta.ca/</x:v>
      </x:c>
    </x:row>
    <x:row r="513">
      <x:c r="A513" s="63" t="str">
        <x:v>ABMP_11251</x:v>
      </x:c>
      <x:c r="B513" s="63" t="str">
        <x:v>New Rangeview High School</x:v>
      </x:c>
      <x:c r="C513" s="63" t="str">
        <x:v>Schools And Postsecondary</x:v>
      </x:c>
      <x:c r="D513" s="63" t="str">
        <x:v>inferred</x:v>
      </x:c>
      <x:c r="E513" s="63" t="str">
        <x:v>School</x:v>
      </x:c>
      <x:c r="F513" s="63" t="str">
        <x:v>Institutional</x:v>
      </x:c>
      <x:c r="G513" s="63" t="str">
        <x:v>Alberta Infrastructure</x:v>
      </x:c>
      <x:c r="H513" s="63" t="str">
        <x:v>Government Or Public Institution Signal</x:v>
      </x:c>
      <x:c r="I513" s="63" t="str">
        <x:v>inferred</x:v>
      </x:c>
      <x:c r="J513" s="63" t="str">
        <x:v>Calgary</x:v>
      </x:c>
      <x:c r="K513" s="63" t="str">
        <x:v>Under Construction</x:v>
      </x:c>
      <x:c r="L513" s="143" t="n">
        <x:v>85000000</x:v>
      </x:c>
      <x:c r="M513" s="179" t="n">
        <x:v>2025</x:v>
      </x:c>
      <x:c r="N513" s="179" t="n">
        <x:v>2027</x:v>
      </x:c>
      <x:c r="O513" s="63" t="str">
        <x:v>overlaps</x:v>
      </x:c>
      <x:c r="P513" s="63" t="str">
        <x:v>2027</x:v>
      </x:c>
      <x:c r="Q513" s="143" t="n">
        <x:v>28333333.333333332</x:v>
      </x:c>
      <x:c r="R513" s="143" t="n">
        <x:v>28333333.333333332</x:v>
      </x:c>
      <x:c r="S513" s="154" t="n">
        <x:v>-114.062</x:v>
      </x:c>
      <x:c r="T513" s="154" t="n">
        <x:v>51.04427</x:v>
      </x:c>
      <x:c r="U513" s="63" t="str">
        <x:v>reported</x:v>
      </x:c>
      <x:c r="V513" s="63" t="str">
        <x:v>ALBERTA_MAJOR_PROJECTS</x:v>
      </x:c>
      <x:c r="W513" s="63" t="str">
        <x:v>observed</x:v>
      </x:c>
      <x:c r="X513" s="155" t="n">
        <x:v>46265</x:v>
      </x:c>
      <x:c r="Y513" s="63" t="str">
        <x:v>https://www.majorprojects.alberta.ca/</x:v>
      </x:c>
    </x:row>
    <x:row r="514">
      <x:c r="A514" s="63" t="str">
        <x:v>ABMP_10930</x:v>
      </x:c>
      <x:c r="B514" s="63" t="str">
        <x:v>New Secondary (7-12) School in Airdrie</x:v>
      </x:c>
      <x:c r="C514" s="63" t="str">
        <x:v>Schools And Postsecondary</x:v>
      </x:c>
      <x:c r="D514" s="63" t="str">
        <x:v>inferred</x:v>
      </x:c>
      <x:c r="E514" s="63" t="str">
        <x:v>School</x:v>
      </x:c>
      <x:c r="F514" s="63" t="str">
        <x:v>Institutional</x:v>
      </x:c>
      <x:c r="G514" s="63" t="str">
        <x:v>Alberta Infrastructure</x:v>
      </x:c>
      <x:c r="H514" s="63" t="str">
        <x:v>Government Or Public Institution Signal</x:v>
      </x:c>
      <x:c r="I514" s="63" t="str">
        <x:v>inferred</x:v>
      </x:c>
      <x:c r="J514" s="63" t="str">
        <x:v>Airdrie</x:v>
      </x:c>
      <x:c r="K514" s="63" t="str">
        <x:v>Under Construction</x:v>
      </x:c>
      <x:c r="L514" s="143" t="n">
        <x:v>32300000</x:v>
      </x:c>
      <x:c r="M514" s="179" t="n">
        <x:v>2026</x:v>
      </x:c>
      <x:c r="N514" s="179" t="n">
        <x:v>2027</x:v>
      </x:c>
      <x:c r="O514" s="63" t="str">
        <x:v>overlaps</x:v>
      </x:c>
      <x:c r="P514" s="63" t="str">
        <x:v>2027</x:v>
      </x:c>
      <x:c r="Q514" s="143" t="n">
        <x:v>16150000</x:v>
      </x:c>
      <x:c r="R514" s="143" t="n">
        <x:v>16150000</x:v>
      </x:c>
      <x:c r="S514" s="154" t="n">
        <x:v>-114.039</x:v>
      </x:c>
      <x:c r="T514" s="154" t="n">
        <x:v>51.303522</x:v>
      </x:c>
      <x:c r="U514" s="63" t="str">
        <x:v>reported</x:v>
      </x:c>
      <x:c r="V514" s="63" t="str">
        <x:v>ALBERTA_MAJOR_PROJECTS</x:v>
      </x:c>
      <x:c r="W514" s="63" t="str">
        <x:v>observed</x:v>
      </x:c>
      <x:c r="X514" s="155" t="n">
        <x:v>46265</x:v>
      </x:c>
      <x:c r="Y514" s="63" t="str">
        <x:v>https://www.majorprojects.alberta.ca/</x:v>
      </x:c>
    </x:row>
    <x:row r="515">
      <x:c r="A515" s="63" t="str">
        <x:v>ABMP_11761</x:v>
      </x:c>
      <x:c r="B515" s="63" t="str">
        <x:v>NorQuest Career Skills Centre</x:v>
      </x:c>
      <x:c r="C515" s="63" t="str">
        <x:v>Schools And Postsecondary</x:v>
      </x:c>
      <x:c r="D515" s="63" t="str">
        <x:v>inferred</x:v>
      </x:c>
      <x:c r="E515" s="63" t="str">
        <x:v>Post-Secondary</x:v>
      </x:c>
      <x:c r="F515" s="63" t="str">
        <x:v>Institutional</x:v>
      </x:c>
      <x:c r="G515" s="63" t="str">
        <x:v>NorQuest College</x:v>
      </x:c>
      <x:c r="H515" s="63" t="str">
        <x:v>Government Or Public Institution Signal</x:v>
      </x:c>
      <x:c r="I515" s="63" t="str">
        <x:v>inferred</x:v>
      </x:c>
      <x:c r="J515" s="63" t="str">
        <x:v>Edmonton</x:v>
      </x:c>
      <x:c r="K515" s="63" t="str">
        <x:v>Proposed</x:v>
      </x:c>
      <x:c r="L515" s="143" t="n">
        <x:v>245000000</x:v>
      </x:c>
      <x:c r="M515" s="179" t="n">
        <x:v>2027</x:v>
      </x:c>
      <x:c r="N515" s="179" t="n">
        <x:v>2029</x:v>
      </x:c>
      <x:c r="O515" s="63" t="str">
        <x:v>overlaps</x:v>
      </x:c>
      <x:c r="P515" s="63" t="str">
        <x:v>2027|2028|2029</x:v>
      </x:c>
      <x:c r="Q515" s="143" t="n">
        <x:v>81666666.66666667</x:v>
      </x:c>
      <x:c r="R515" s="143" t="n">
        <x:v>245000000</x:v>
      </x:c>
      <x:c r="S515" s="154" t="n">
        <x:v>-113.507074</x:v>
      </x:c>
      <x:c r="T515" s="154" t="n">
        <x:v>53.543436</x:v>
      </x:c>
      <x:c r="U515" s="63" t="str">
        <x:v>reported</x:v>
      </x:c>
      <x:c r="V515" s="63" t="str">
        <x:v>ALBERTA_MAJOR_PROJECTS</x:v>
      </x:c>
      <x:c r="W515" s="63" t="str">
        <x:v>observed</x:v>
      </x:c>
      <x:c r="X515" s="155" t="n">
        <x:v>46265</x:v>
      </x:c>
      <x:c r="Y515" s="63" t="str">
        <x:v>https://www.majorprojects.alberta.ca/</x:v>
      </x:c>
    </x:row>
    <x:row r="516">
      <x:c r="A516" s="63" t="str">
        <x:v>ABMP_11463</x:v>
      </x:c>
      <x:c r="B516" s="63" t="str">
        <x:v>Norwood K-8 Replacement School</x:v>
      </x:c>
      <x:c r="C516" s="63" t="str">
        <x:v>Schools And Postsecondary</x:v>
      </x:c>
      <x:c r="D516" s="63" t="str">
        <x:v>inferred</x:v>
      </x:c>
      <x:c r="E516" s="63" t="str">
        <x:v>School</x:v>
      </x:c>
      <x:c r="F516" s="63" t="str">
        <x:v>Institutional</x:v>
      </x:c>
      <x:c r="G516" s="63" t="str">
        <x:v>Alberta Infrastructure</x:v>
      </x:c>
      <x:c r="H516" s="63" t="str">
        <x:v>Government Or Public Institution Signal</x:v>
      </x:c>
      <x:c r="I516" s="63" t="str">
        <x:v>inferred</x:v>
      </x:c>
      <x:c r="J516" s="63" t="str">
        <x:v>Wetaskiwin</x:v>
      </x:c>
      <x:c r="K516" s="63" t="str">
        <x:v>Proposed</x:v>
      </x:c>
      <x:c r="L516" s="143"/>
      <x:c r="M516" s="179"/>
      <x:c r="N516" s="179"/>
      <x:c r="O516" s="63" t="str">
        <x:v>indeterminate_incomplete_schedule</x:v>
      </x:c>
      <x:c r="P516" s="63" t="str"/>
      <x:c r="Q516" s="143"/>
      <x:c r="R516" s="143"/>
      <x:c r="S516" s="154" t="n">
        <x:v>-113.357</x:v>
      </x:c>
      <x:c r="T516" s="154" t="n">
        <x:v>52.97357019</x:v>
      </x:c>
      <x:c r="U516" s="63" t="str">
        <x:v>reported</x:v>
      </x:c>
      <x:c r="V516" s="63" t="str">
        <x:v>ALBERTA_MAJOR_PROJECTS</x:v>
      </x:c>
      <x:c r="W516" s="63" t="str">
        <x:v>observed</x:v>
      </x:c>
      <x:c r="X516" s="155" t="n">
        <x:v>46265</x:v>
      </x:c>
      <x:c r="Y516" s="63" t="str">
        <x:v>https://www.majorprojects.alberta.ca/</x:v>
      </x:c>
    </x:row>
    <x:row r="517">
      <x:c r="A517" s="63" t="str">
        <x:v>ABMP_11450</x:v>
      </x:c>
      <x:c r="B517" s="63" t="str">
        <x:v>Our Lady of Hope Catholic School</x:v>
      </x:c>
      <x:c r="C517" s="63" t="str">
        <x:v>Schools And Postsecondary</x:v>
      </x:c>
      <x:c r="D517" s="63" t="str">
        <x:v>inferred</x:v>
      </x:c>
      <x:c r="E517" s="63" t="str">
        <x:v>School</x:v>
      </x:c>
      <x:c r="F517" s="63" t="str">
        <x:v>Institutional</x:v>
      </x:c>
      <x:c r="G517" s="63" t="str">
        <x:v>Alberta Infrastructure</x:v>
      </x:c>
      <x:c r="H517" s="63" t="str">
        <x:v>Government Or Public Institution Signal</x:v>
      </x:c>
      <x:c r="I517" s="63" t="str">
        <x:v>inferred</x:v>
      </x:c>
      <x:c r="J517" s="63" t="str">
        <x:v>Edmonton</x:v>
      </x:c>
      <x:c r="K517" s="63" t="str">
        <x:v>Under Construction</x:v>
      </x:c>
      <x:c r="L517" s="143" t="n">
        <x:v>49900000</x:v>
      </x:c>
      <x:c r="M517" s="179" t="n">
        <x:v>2026</x:v>
      </x:c>
      <x:c r="N517" s="179"/>
      <x:c r="O517" s="63" t="str">
        <x:v>indeterminate_incomplete_schedule</x:v>
      </x:c>
      <x:c r="P517" s="63" t="str"/>
      <x:c r="Q517" s="143"/>
      <x:c r="R517" s="143"/>
      <x:c r="S517" s="154" t="n">
        <x:v>-113.4510357</x:v>
      </x:c>
      <x:c r="T517" s="154" t="n">
        <x:v>53.64318224</x:v>
      </x:c>
      <x:c r="U517" s="63" t="str">
        <x:v>reported</x:v>
      </x:c>
      <x:c r="V517" s="63" t="str">
        <x:v>ALBERTA_MAJOR_PROJECTS</x:v>
      </x:c>
      <x:c r="W517" s="63" t="str">
        <x:v>observed</x:v>
      </x:c>
      <x:c r="X517" s="155" t="n">
        <x:v>46265</x:v>
      </x:c>
      <x:c r="Y517" s="63" t="str">
        <x:v>https://www.majorprojects.alberta.ca/</x:v>
      </x:c>
    </x:row>
    <x:row r="518">
      <x:c r="A518" s="63" t="str">
        <x:v>ABMP_11775</x:v>
      </x:c>
      <x:c r="B518" s="63" t="str">
        <x:v>Peace Wapiti 9-12 Academy Replacement</x:v>
      </x:c>
      <x:c r="C518" s="63" t="str">
        <x:v>Schools And Postsecondary</x:v>
      </x:c>
      <x:c r="D518" s="63" t="str">
        <x:v>inferred</x:v>
      </x:c>
      <x:c r="E518" s="63" t="str">
        <x:v>School</x:v>
      </x:c>
      <x:c r="F518" s="63" t="str">
        <x:v>Institutional</x:v>
      </x:c>
      <x:c r="G518" s="63" t="str">
        <x:v>Alberta Infrastructure</x:v>
      </x:c>
      <x:c r="H518" s="63" t="str">
        <x:v>Government Or Public Institution Signal</x:v>
      </x:c>
      <x:c r="I518" s="63" t="str">
        <x:v>inferred</x:v>
      </x:c>
      <x:c r="J518" s="63" t="str">
        <x:v>Morinville</x:v>
      </x:c>
      <x:c r="K518" s="63" t="str">
        <x:v>Proposed</x:v>
      </x:c>
      <x:c r="L518" s="143" t="n">
        <x:v>10000000</x:v>
      </x:c>
      <x:c r="M518" s="179"/>
      <x:c r="N518" s="179" t="n">
        <x:v>2029</x:v>
      </x:c>
      <x:c r="O518" s="63" t="str">
        <x:v>indeterminate_incomplete_schedule</x:v>
      </x:c>
      <x:c r="P518" s="63" t="str"/>
      <x:c r="Q518" s="143"/>
      <x:c r="R518" s="143"/>
      <x:c r="S518" s="154" t="n">
        <x:v>-113.646528</x:v>
      </x:c>
      <x:c r="T518" s="154" t="n">
        <x:v>53.804846</x:v>
      </x:c>
      <x:c r="U518" s="63" t="str">
        <x:v>approximate</x:v>
      </x:c>
      <x:c r="V518" s="63" t="str">
        <x:v>ALBERTA_MAJOR_PROJECTS</x:v>
      </x:c>
      <x:c r="W518" s="63" t="str">
        <x:v>observed</x:v>
      </x:c>
      <x:c r="X518" s="155" t="n">
        <x:v>46265</x:v>
      </x:c>
      <x:c r="Y518" s="63" t="str">
        <x:v>https://www.majorprojects.alberta.ca/</x:v>
      </x:c>
    </x:row>
    <x:row r="519">
      <x:c r="A519" s="63" t="str">
        <x:v>ABMP_11836</x:v>
      </x:c>
      <x:c r="B519" s="63" t="str">
        <x:v>Quarry Park 9-12 Charter School Modernization</x:v>
      </x:c>
      <x:c r="C519" s="63" t="str">
        <x:v>Schools And Postsecondary</x:v>
      </x:c>
      <x:c r="D519" s="63" t="str">
        <x:v>inferred</x:v>
      </x:c>
      <x:c r="E519" s="63" t="str">
        <x:v>School</x:v>
      </x:c>
      <x:c r="F519" s="63" t="str">
        <x:v>Institutional</x:v>
      </x:c>
      <x:c r="G519" s="63" t="str">
        <x:v>Alberta Infrastructure</x:v>
      </x:c>
      <x:c r="H519" s="63" t="str">
        <x:v>Government Or Public Institution Signal</x:v>
      </x:c>
      <x:c r="I519" s="63" t="str">
        <x:v>inferred</x:v>
      </x:c>
      <x:c r="J519" s="63" t="str">
        <x:v>Calgary</x:v>
      </x:c>
      <x:c r="K519" s="63" t="str">
        <x:v>Proposed</x:v>
      </x:c>
      <x:c r="L519" s="143"/>
      <x:c r="M519" s="179"/>
      <x:c r="N519" s="179"/>
      <x:c r="O519" s="63" t="str">
        <x:v>indeterminate_incomplete_schedule</x:v>
      </x:c>
      <x:c r="P519" s="63" t="str"/>
      <x:c r="Q519" s="143"/>
      <x:c r="R519" s="143"/>
      <x:c r="S519" s="154" t="n">
        <x:v>-114.0063393</x:v>
      </x:c>
      <x:c r="T519" s="154" t="n">
        <x:v>50.96314627</x:v>
      </x:c>
      <x:c r="U519" s="63" t="str">
        <x:v>approximate</x:v>
      </x:c>
      <x:c r="V519" s="63" t="str">
        <x:v>ALBERTA_MAJOR_PROJECTS</x:v>
      </x:c>
      <x:c r="W519" s="63" t="str">
        <x:v>observed</x:v>
      </x:c>
      <x:c r="X519" s="155" t="n">
        <x:v>46265</x:v>
      </x:c>
      <x:c r="Y519" s="63" t="str">
        <x:v>https://www.majorprojects.alberta.ca/</x:v>
      </x:c>
    </x:row>
    <x:row r="520">
      <x:c r="A520" s="63" t="str">
        <x:v>ABMP_11053</x:v>
      </x:c>
      <x:c r="B520" s="63" t="str">
        <x:v>Raymond High School</x:v>
      </x:c>
      <x:c r="C520" s="63" t="str">
        <x:v>Schools And Postsecondary</x:v>
      </x:c>
      <x:c r="D520" s="63" t="str">
        <x:v>inferred</x:v>
      </x:c>
      <x:c r="E520" s="63" t="str">
        <x:v>School</x:v>
      </x:c>
      <x:c r="F520" s="63" t="str">
        <x:v>Institutional</x:v>
      </x:c>
      <x:c r="G520" s="63" t="str">
        <x:v>Alberta Infrastructure</x:v>
      </x:c>
      <x:c r="H520" s="63" t="str">
        <x:v>Government Or Public Institution Signal</x:v>
      </x:c>
      <x:c r="I520" s="63" t="str">
        <x:v>inferred</x:v>
      </x:c>
      <x:c r="J520" s="63" t="str">
        <x:v>Raymond</x:v>
      </x:c>
      <x:c r="K520" s="63" t="str">
        <x:v>Under Construction</x:v>
      </x:c>
      <x:c r="L520" s="143" t="n">
        <x:v>43900000</x:v>
      </x:c>
      <x:c r="M520" s="179" t="n">
        <x:v>2024</x:v>
      </x:c>
      <x:c r="N520" s="179" t="n">
        <x:v>2026</x:v>
      </x:c>
      <x:c r="O520" s="63" t="str">
        <x:v>outside_window</x:v>
      </x:c>
      <x:c r="P520" s="63" t="str"/>
      <x:c r="Q520" s="143" t="n">
        <x:v>14633333.333333334</x:v>
      </x:c>
      <x:c r="R520" s="143" t="n">
        <x:v>0</x:v>
      </x:c>
      <x:c r="S520" s="154" t="n">
        <x:v>-112.66393838</x:v>
      </x:c>
      <x:c r="T520" s="154" t="n">
        <x:v>49.45514892</x:v>
      </x:c>
      <x:c r="U520" s="63" t="str">
        <x:v>approximate</x:v>
      </x:c>
      <x:c r="V520" s="63" t="str">
        <x:v>ALBERTA_MAJOR_PROJECTS</x:v>
      </x:c>
      <x:c r="W520" s="63" t="str">
        <x:v>observed</x:v>
      </x:c>
      <x:c r="X520" s="155" t="n">
        <x:v>46265</x:v>
      </x:c>
      <x:c r="Y520" s="63" t="str">
        <x:v>https://www.majorprojects.alberta.ca/</x:v>
      </x:c>
    </x:row>
    <x:row r="521">
      <x:c r="A521" s="63" t="str">
        <x:v>ABMP_11433</x:v>
      </x:c>
      <x:c r="B521" s="63" t="str">
        <x:v>Red Earth Creek K-12 Replacement School</x:v>
      </x:c>
      <x:c r="C521" s="63" t="str">
        <x:v>Schools And Postsecondary</x:v>
      </x:c>
      <x:c r="D521" s="63" t="str">
        <x:v>inferred</x:v>
      </x:c>
      <x:c r="E521" s="63" t="str">
        <x:v>School</x:v>
      </x:c>
      <x:c r="F521" s="63" t="str">
        <x:v>Institutional</x:v>
      </x:c>
      <x:c r="G521" s="63" t="str">
        <x:v>Alberta Infrastructure</x:v>
      </x:c>
      <x:c r="H521" s="63" t="str">
        <x:v>Government Or Public Institution Signal</x:v>
      </x:c>
      <x:c r="I521" s="63" t="str">
        <x:v>inferred</x:v>
      </x:c>
      <x:c r="J521" s="63" t="str">
        <x:v>Opportunity No. 17</x:v>
      </x:c>
      <x:c r="K521" s="63" t="str">
        <x:v>Proposed</x:v>
      </x:c>
      <x:c r="L521" s="143" t="n">
        <x:v>23400000</x:v>
      </x:c>
      <x:c r="M521" s="179"/>
      <x:c r="N521" s="179" t="n">
        <x:v>2028</x:v>
      </x:c>
      <x:c r="O521" s="63" t="str">
        <x:v>indeterminate_incomplete_schedule</x:v>
      </x:c>
      <x:c r="P521" s="63" t="str"/>
      <x:c r="Q521" s="143"/>
      <x:c r="R521" s="143"/>
      <x:c r="S521" s="154" t="n">
        <x:v>-115.317</x:v>
      </x:c>
      <x:c r="T521" s="154" t="n">
        <x:v>56.546822</x:v>
      </x:c>
      <x:c r="U521" s="63" t="str">
        <x:v>reported</x:v>
      </x:c>
      <x:c r="V521" s="63" t="str">
        <x:v>ALBERTA_MAJOR_PROJECTS</x:v>
      </x:c>
      <x:c r="W521" s="63" t="str">
        <x:v>observed</x:v>
      </x:c>
      <x:c r="X521" s="155" t="n">
        <x:v>46265</x:v>
      </x:c>
      <x:c r="Y521" s="63" t="str">
        <x:v>https://www.majorprojects.alberta.ca/</x:v>
      </x:c>
    </x:row>
    <x:row r="522">
      <x:c r="A522" s="63" t="str">
        <x:v>ABMP_11457</x:v>
      </x:c>
      <x:c r="B522" s="63" t="str">
        <x:v>Replacement of 7-9 Spruce Avenue School</x:v>
      </x:c>
      <x:c r="C522" s="63" t="str">
        <x:v>Schools And Postsecondary</x:v>
      </x:c>
      <x:c r="D522" s="63" t="str">
        <x:v>inferred</x:v>
      </x:c>
      <x:c r="E522" s="63" t="str">
        <x:v>School</x:v>
      </x:c>
      <x:c r="F522" s="63" t="str">
        <x:v>Institutional</x:v>
      </x:c>
      <x:c r="G522" s="63" t="str">
        <x:v>Alberta Infrastructure</x:v>
      </x:c>
      <x:c r="H522" s="63" t="str">
        <x:v>Government Or Public Institution Signal</x:v>
      </x:c>
      <x:c r="I522" s="63" t="str">
        <x:v>inferred</x:v>
      </x:c>
      <x:c r="J522" s="63" t="str">
        <x:v>Edmonton</x:v>
      </x:c>
      <x:c r="K522" s="63" t="str">
        <x:v>Proposed</x:v>
      </x:c>
      <x:c r="L522" s="143" t="n">
        <x:v>49400000</x:v>
      </x:c>
      <x:c r="M522" s="179"/>
      <x:c r="N522" s="179" t="n">
        <x:v>2028</x:v>
      </x:c>
      <x:c r="O522" s="63" t="str">
        <x:v>indeterminate_incomplete_schedule</x:v>
      </x:c>
      <x:c r="P522" s="63" t="str"/>
      <x:c r="Q522" s="143"/>
      <x:c r="R522" s="143"/>
      <x:c r="S522" s="154" t="n">
        <x:v>-113.496</x:v>
      </x:c>
      <x:c r="T522" s="154" t="n">
        <x:v>53.56514325</x:v>
      </x:c>
      <x:c r="U522" s="63" t="str">
        <x:v>reported</x:v>
      </x:c>
      <x:c r="V522" s="63" t="str">
        <x:v>ALBERTA_MAJOR_PROJECTS</x:v>
      </x:c>
      <x:c r="W522" s="63" t="str">
        <x:v>observed</x:v>
      </x:c>
      <x:c r="X522" s="155" t="n">
        <x:v>46265</x:v>
      </x:c>
      <x:c r="Y522" s="63" t="str">
        <x:v>https://www.majorprojects.alberta.ca/</x:v>
      </x:c>
    </x:row>
    <x:row r="523">
      <x:c r="A523" s="63" t="str">
        <x:v>ABMP_11708</x:v>
      </x:c>
      <x:c r="B523" s="63" t="str">
        <x:v>Replacement of St. Thomas More School in Fairview</x:v>
      </x:c>
      <x:c r="C523" s="63" t="str">
        <x:v>Schools And Postsecondary</x:v>
      </x:c>
      <x:c r="D523" s="63" t="str">
        <x:v>inferred</x:v>
      </x:c>
      <x:c r="E523" s="63" t="str">
        <x:v>School</x:v>
      </x:c>
      <x:c r="F523" s="63" t="str">
        <x:v>Institutional</x:v>
      </x:c>
      <x:c r="G523" s="63" t="str">
        <x:v>Alberta Infrastructure</x:v>
      </x:c>
      <x:c r="H523" s="63" t="str">
        <x:v>Government Or Public Institution Signal</x:v>
      </x:c>
      <x:c r="I523" s="63" t="str">
        <x:v>inferred</x:v>
      </x:c>
      <x:c r="J523" s="63" t="str">
        <x:v>Fairview</x:v>
      </x:c>
      <x:c r="K523" s="63" t="str">
        <x:v>Proposed</x:v>
      </x:c>
      <x:c r="L523" s="143"/>
      <x:c r="M523" s="179"/>
      <x:c r="N523" s="179"/>
      <x:c r="O523" s="63" t="str">
        <x:v>indeterminate_incomplete_schedule</x:v>
      </x:c>
      <x:c r="P523" s="63" t="str"/>
      <x:c r="Q523" s="143"/>
      <x:c r="R523" s="143"/>
      <x:c r="S523" s="154" t="n">
        <x:v>-118.39432</x:v>
      </x:c>
      <x:c r="T523" s="154" t="n">
        <x:v>56.06733</x:v>
      </x:c>
      <x:c r="U523" s="63" t="str">
        <x:v>approximate</x:v>
      </x:c>
      <x:c r="V523" s="63" t="str">
        <x:v>ALBERTA_MAJOR_PROJECTS</x:v>
      </x:c>
      <x:c r="W523" s="63" t="str">
        <x:v>observed</x:v>
      </x:c>
      <x:c r="X523" s="155" t="n">
        <x:v>46265</x:v>
      </x:c>
      <x:c r="Y523" s="63" t="str">
        <x:v>https://www.majorprojects.alberta.ca/</x:v>
      </x:c>
    </x:row>
    <x:row r="524">
      <x:c r="A524" s="63" t="str">
        <x:v>ABMP_11085</x:v>
      </x:c>
      <x:c r="B524" s="63" t="str">
        <x:v>SAIT Taylor Family Campus Centre Project</x:v>
      </x:c>
      <x:c r="C524" s="63" t="str">
        <x:v>Schools And Postsecondary</x:v>
      </x:c>
      <x:c r="D524" s="63" t="str">
        <x:v>inferred</x:v>
      </x:c>
      <x:c r="E524" s="63" t="str">
        <x:v>Post-Secondary</x:v>
      </x:c>
      <x:c r="F524" s="63" t="str">
        <x:v>Institutional</x:v>
      </x:c>
      <x:c r="G524" s="63" t="str">
        <x:v>Southern Alberta Institute of Technology (SAIT)</x:v>
      </x:c>
      <x:c r="H524" s="63" t="str">
        <x:v>Government Or Public Institution Signal</x:v>
      </x:c>
      <x:c r="I524" s="63" t="str">
        <x:v>inferred</x:v>
      </x:c>
      <x:c r="J524" s="63" t="str">
        <x:v>Calgary</x:v>
      </x:c>
      <x:c r="K524" s="63" t="str">
        <x:v>Under Construction</x:v>
      </x:c>
      <x:c r="L524" s="143" t="n">
        <x:v>169000000</x:v>
      </x:c>
      <x:c r="M524" s="179" t="n">
        <x:v>2024</x:v>
      </x:c>
      <x:c r="N524" s="179" t="n">
        <x:v>2027</x:v>
      </x:c>
      <x:c r="O524" s="63" t="str">
        <x:v>overlaps</x:v>
      </x:c>
      <x:c r="P524" s="63" t="str">
        <x:v>2027</x:v>
      </x:c>
      <x:c r="Q524" s="143" t="n">
        <x:v>42250000</x:v>
      </x:c>
      <x:c r="R524" s="143" t="n">
        <x:v>42250000</x:v>
      </x:c>
      <x:c r="S524" s="154" t="n">
        <x:v>-114.088302</x:v>
      </x:c>
      <x:c r="T524" s="154" t="n">
        <x:v>51.062435</x:v>
      </x:c>
      <x:c r="U524" s="63" t="str">
        <x:v>reported</x:v>
      </x:c>
      <x:c r="V524" s="63" t="str">
        <x:v>ALBERTA_MAJOR_PROJECTS</x:v>
      </x:c>
      <x:c r="W524" s="63" t="str">
        <x:v>observed</x:v>
      </x:c>
      <x:c r="X524" s="155" t="n">
        <x:v>46265</x:v>
      </x:c>
      <x:c r="Y524" s="63" t="str">
        <x:v>https://www.majorprojects.alberta.ca/</x:v>
      </x:c>
    </x:row>
    <x:row r="525">
      <x:c r="A525" s="63" t="str">
        <x:v>ABMP_11713</x:v>
      </x:c>
      <x:c r="B525" s="63" t="str">
        <x:v>School Solution in Palisades or Oxford NW Edmonton</x:v>
      </x:c>
      <x:c r="C525" s="63" t="str">
        <x:v>Schools And Postsecondary</x:v>
      </x:c>
      <x:c r="D525" s="63" t="str">
        <x:v>inferred</x:v>
      </x:c>
      <x:c r="E525" s="63" t="str">
        <x:v>School</x:v>
      </x:c>
      <x:c r="F525" s="63" t="str">
        <x:v>Institutional</x:v>
      </x:c>
      <x:c r="G525" s="63" t="str">
        <x:v>Alberta Infrastructure</x:v>
      </x:c>
      <x:c r="H525" s="63" t="str">
        <x:v>Government Or Public Institution Signal</x:v>
      </x:c>
      <x:c r="I525" s="63" t="str">
        <x:v>inferred</x:v>
      </x:c>
      <x:c r="J525" s="63" t="str">
        <x:v>Edmonton</x:v>
      </x:c>
      <x:c r="K525" s="63" t="str">
        <x:v>Proposed</x:v>
      </x:c>
      <x:c r="L525" s="143"/>
      <x:c r="M525" s="179"/>
      <x:c r="N525" s="179"/>
      <x:c r="O525" s="63" t="str">
        <x:v>indeterminate_incomplete_schedule</x:v>
      </x:c>
      <x:c r="P525" s="63" t="str"/>
      <x:c r="Q525" s="143"/>
      <x:c r="R525" s="143"/>
      <x:c r="S525" s="154" t="n">
        <x:v>-113.544139</x:v>
      </x:c>
      <x:c r="T525" s="154" t="n">
        <x:v>53.627111</x:v>
      </x:c>
      <x:c r="U525" s="63" t="str">
        <x:v>reported</x:v>
      </x:c>
      <x:c r="V525" s="63" t="str">
        <x:v>ALBERTA_MAJOR_PROJECTS</x:v>
      </x:c>
      <x:c r="W525" s="63" t="str">
        <x:v>observed</x:v>
      </x:c>
      <x:c r="X525" s="155" t="n">
        <x:v>46265</x:v>
      </x:c>
      <x:c r="Y525" s="63" t="str">
        <x:v>https://www.majorprojects.alberta.ca/</x:v>
      </x:c>
    </x:row>
    <x:row r="526">
      <x:c r="A526" s="63" t="str">
        <x:v>ABMP_11432</x:v>
      </x:c>
      <x:c r="B526" s="63" t="str">
        <x:v>Solution for Nanton School</x:v>
      </x:c>
      <x:c r="C526" s="63" t="str">
        <x:v>Schools And Postsecondary</x:v>
      </x:c>
      <x:c r="D526" s="63" t="str">
        <x:v>inferred</x:v>
      </x:c>
      <x:c r="E526" s="63" t="str">
        <x:v>School</x:v>
      </x:c>
      <x:c r="F526" s="63" t="str">
        <x:v>Institutional</x:v>
      </x:c>
      <x:c r="G526" s="63" t="str">
        <x:v>Alberta Infrastructure</x:v>
      </x:c>
      <x:c r="H526" s="63" t="str">
        <x:v>Government Or Public Institution Signal</x:v>
      </x:c>
      <x:c r="I526" s="63" t="str">
        <x:v>inferred</x:v>
      </x:c>
      <x:c r="J526" s="63" t="str">
        <x:v>Nanton</x:v>
      </x:c>
      <x:c r="K526" s="63" t="str">
        <x:v>Under Construction</x:v>
      </x:c>
      <x:c r="L526" s="143" t="n">
        <x:v>57400000</x:v>
      </x:c>
      <x:c r="M526" s="179" t="n">
        <x:v>2025</x:v>
      </x:c>
      <x:c r="N526" s="179" t="n">
        <x:v>2027</x:v>
      </x:c>
      <x:c r="O526" s="63" t="str">
        <x:v>overlaps</x:v>
      </x:c>
      <x:c r="P526" s="63" t="str">
        <x:v>2027</x:v>
      </x:c>
      <x:c r="Q526" s="143" t="n">
        <x:v>19133333.333333332</x:v>
      </x:c>
      <x:c r="R526" s="143" t="n">
        <x:v>19133333.333333332</x:v>
      </x:c>
      <x:c r="S526" s="154" t="n">
        <x:v>-113.776</x:v>
      </x:c>
      <x:c r="T526" s="154" t="n">
        <x:v>50.341592</x:v>
      </x:c>
      <x:c r="U526" s="63" t="str">
        <x:v>reported</x:v>
      </x:c>
      <x:c r="V526" s="63" t="str">
        <x:v>ALBERTA_MAJOR_PROJECTS</x:v>
      </x:c>
      <x:c r="W526" s="63" t="str">
        <x:v>observed</x:v>
      </x:c>
      <x:c r="X526" s="155" t="n">
        <x:v>46265</x:v>
      </x:c>
      <x:c r="Y526" s="63" t="str">
        <x:v>https://www.majorprojects.alberta.ca/</x:v>
      </x:c>
    </x:row>
    <x:row r="527">
      <x:c r="A527" s="63" t="str">
        <x:v>ABMP_11253</x:v>
      </x:c>
      <x:c r="B527" s="63" t="str">
        <x:v>Solution for Rundle Heights K-9 School</x:v>
      </x:c>
      <x:c r="C527" s="63" t="str">
        <x:v>Schools And Postsecondary</x:v>
      </x:c>
      <x:c r="D527" s="63" t="str">
        <x:v>inferred</x:v>
      </x:c>
      <x:c r="E527" s="63" t="str">
        <x:v>School</x:v>
      </x:c>
      <x:c r="F527" s="63" t="str">
        <x:v>Institutional</x:v>
      </x:c>
      <x:c r="G527" s="63" t="str">
        <x:v>Alberta Infrastructure</x:v>
      </x:c>
      <x:c r="H527" s="63" t="str">
        <x:v>Government Or Public Institution Signal</x:v>
      </x:c>
      <x:c r="I527" s="63" t="str">
        <x:v>inferred</x:v>
      </x:c>
      <x:c r="J527" s="63" t="str">
        <x:v>Edmonton</x:v>
      </x:c>
      <x:c r="K527" s="63" t="str">
        <x:v>Under Construction</x:v>
      </x:c>
      <x:c r="L527" s="143" t="n">
        <x:v>39300000</x:v>
      </x:c>
      <x:c r="M527" s="179" t="n">
        <x:v>2025</x:v>
      </x:c>
      <x:c r="N527" s="179" t="n">
        <x:v>2027</x:v>
      </x:c>
      <x:c r="O527" s="63" t="str">
        <x:v>overlaps</x:v>
      </x:c>
      <x:c r="P527" s="63" t="str">
        <x:v>2027</x:v>
      </x:c>
      <x:c r="Q527" s="143" t="n">
        <x:v>13100000</x:v>
      </x:c>
      <x:c r="R527" s="143" t="n">
        <x:v>13100000</x:v>
      </x:c>
      <x:c r="S527" s="154" t="n">
        <x:v>-113.393</x:v>
      </x:c>
      <x:c r="T527" s="154" t="n">
        <x:v>53.56104</x:v>
      </x:c>
      <x:c r="U527" s="63" t="str">
        <x:v>reported</x:v>
      </x:c>
      <x:c r="V527" s="63" t="str">
        <x:v>ALBERTA_MAJOR_PROJECTS</x:v>
      </x:c>
      <x:c r="W527" s="63" t="str">
        <x:v>observed</x:v>
      </x:c>
      <x:c r="X527" s="155" t="n">
        <x:v>46265</x:v>
      </x:c>
      <x:c r="Y527" s="63" t="str">
        <x:v>https://www.majorprojects.alberta.ca/</x:v>
      </x:c>
    </x:row>
    <x:row r="528">
      <x:c r="A528" s="63" t="str">
        <x:v>ABMP_11055</x:v>
      </x:c>
      <x:c r="B528" s="63" t="str">
        <x:v>Solution for Sherwood Park Replacement School</x:v>
      </x:c>
      <x:c r="C528" s="63" t="str">
        <x:v>Schools And Postsecondary</x:v>
      </x:c>
      <x:c r="D528" s="63" t="str">
        <x:v>inferred</x:v>
      </x:c>
      <x:c r="E528" s="63" t="str">
        <x:v>School</x:v>
      </x:c>
      <x:c r="F528" s="63" t="str">
        <x:v>Institutional</x:v>
      </x:c>
      <x:c r="G528" s="63" t="str">
        <x:v>Alberta Infrastructure</x:v>
      </x:c>
      <x:c r="H528" s="63" t="str">
        <x:v>Government Or Public Institution Signal</x:v>
      </x:c>
      <x:c r="I528" s="63" t="str">
        <x:v>inferred</x:v>
      </x:c>
      <x:c r="J528" s="63" t="str">
        <x:v>Strathcona County</x:v>
      </x:c>
      <x:c r="K528" s="63" t="str">
        <x:v>Under Construction</x:v>
      </x:c>
      <x:c r="L528" s="143" t="n">
        <x:v>53700000</x:v>
      </x:c>
      <x:c r="M528" s="179" t="n">
        <x:v>2024</x:v>
      </x:c>
      <x:c r="N528" s="179" t="n">
        <x:v>2026</x:v>
      </x:c>
      <x:c r="O528" s="63" t="str">
        <x:v>outside_window</x:v>
      </x:c>
      <x:c r="P528" s="63" t="str"/>
      <x:c r="Q528" s="143" t="n">
        <x:v>17900000</x:v>
      </x:c>
      <x:c r="R528" s="143" t="n">
        <x:v>0</x:v>
      </x:c>
      <x:c r="S528" s="154" t="n">
        <x:v>-113.305846</x:v>
      </x:c>
      <x:c r="T528" s="154" t="n">
        <x:v>53.519189</x:v>
      </x:c>
      <x:c r="U528" s="63" t="str">
        <x:v>reported</x:v>
      </x:c>
      <x:c r="V528" s="63" t="str">
        <x:v>ALBERTA_MAJOR_PROJECTS</x:v>
      </x:c>
      <x:c r="W528" s="63" t="str">
        <x:v>observed</x:v>
      </x:c>
      <x:c r="X528" s="155" t="n">
        <x:v>46265</x:v>
      </x:c>
      <x:c r="Y528" s="63" t="str">
        <x:v>https://www.majorprojects.alberta.ca/</x:v>
      </x:c>
    </x:row>
    <x:row r="529">
      <x:c r="A529" s="63" t="str">
        <x:v>ABMP_11342</x:v>
      </x:c>
      <x:c r="B529" s="63" t="str">
        <x:v>Solution for Valleyview Replacement School</x:v>
      </x:c>
      <x:c r="C529" s="63" t="str">
        <x:v>Schools And Postsecondary</x:v>
      </x:c>
      <x:c r="D529" s="63" t="str">
        <x:v>inferred</x:v>
      </x:c>
      <x:c r="E529" s="63" t="str">
        <x:v>School</x:v>
      </x:c>
      <x:c r="F529" s="63" t="str">
        <x:v>Institutional</x:v>
      </x:c>
      <x:c r="G529" s="63" t="str">
        <x:v>Alberta Infrastructure</x:v>
      </x:c>
      <x:c r="H529" s="63" t="str">
        <x:v>Government Or Public Institution Signal</x:v>
      </x:c>
      <x:c r="I529" s="63" t="str">
        <x:v>inferred</x:v>
      </x:c>
      <x:c r="J529" s="63" t="str">
        <x:v>Valleyview</x:v>
      </x:c>
      <x:c r="K529" s="63" t="str">
        <x:v>Proposed</x:v>
      </x:c>
      <x:c r="L529" s="143" t="n">
        <x:v>63200000</x:v>
      </x:c>
      <x:c r="M529" s="179"/>
      <x:c r="N529" s="179" t="n">
        <x:v>2028</x:v>
      </x:c>
      <x:c r="O529" s="63" t="str">
        <x:v>indeterminate_incomplete_schedule</x:v>
      </x:c>
      <x:c r="P529" s="63" t="str"/>
      <x:c r="Q529" s="143"/>
      <x:c r="R529" s="143"/>
      <x:c r="S529" s="154" t="n">
        <x:v>-117.2735801</x:v>
      </x:c>
      <x:c r="T529" s="154" t="n">
        <x:v>55.0757218</x:v>
      </x:c>
      <x:c r="U529" s="63" t="str">
        <x:v>reported</x:v>
      </x:c>
      <x:c r="V529" s="63" t="str">
        <x:v>ALBERTA_MAJOR_PROJECTS</x:v>
      </x:c>
      <x:c r="W529" s="63" t="str">
        <x:v>observed</x:v>
      </x:c>
      <x:c r="X529" s="155" t="n">
        <x:v>46265</x:v>
      </x:c>
      <x:c r="Y529" s="63" t="str">
        <x:v>https://www.majorprojects.alberta.ca/</x:v>
      </x:c>
    </x:row>
    <x:row r="530">
      <x:c r="A530" s="63" t="str">
        <x:v>ABMP_10933</x:v>
      </x:c>
      <x:c r="B530" s="63" t="str">
        <x:v>Solution for �cole Michaelle Jean &amp; Gabrielle Roy</x:v>
      </x:c>
      <x:c r="C530" s="63" t="str">
        <x:v>Schools And Postsecondary</x:v>
      </x:c>
      <x:c r="D530" s="63" t="str">
        <x:v>inferred</x:v>
      </x:c>
      <x:c r="E530" s="63" t="str">
        <x:v>School</x:v>
      </x:c>
      <x:c r="F530" s="63" t="str">
        <x:v>Institutional</x:v>
      </x:c>
      <x:c r="G530" s="63" t="str">
        <x:v>Alberta Infrastructure</x:v>
      </x:c>
      <x:c r="H530" s="63" t="str">
        <x:v>Government Or Public Institution Signal</x:v>
      </x:c>
      <x:c r="I530" s="63" t="str">
        <x:v>inferred</x:v>
      </x:c>
      <x:c r="J530" s="63" t="str">
        <x:v>Edmonton</x:v>
      </x:c>
      <x:c r="K530" s="63" t="str">
        <x:v>Under Construction</x:v>
      </x:c>
      <x:c r="L530" s="143" t="n">
        <x:v>61400000</x:v>
      </x:c>
      <x:c r="M530" s="179" t="n">
        <x:v>2025</x:v>
      </x:c>
      <x:c r="N530" s="179" t="n">
        <x:v>2028</x:v>
      </x:c>
      <x:c r="O530" s="63" t="str">
        <x:v>overlaps</x:v>
      </x:c>
      <x:c r="P530" s="63" t="str">
        <x:v>2027|2028</x:v>
      </x:c>
      <x:c r="Q530" s="143" t="n">
        <x:v>15350000</x:v>
      </x:c>
      <x:c r="R530" s="143" t="n">
        <x:v>30700000</x:v>
      </x:c>
      <x:c r="S530" s="154" t="n">
        <x:v>-113.463</x:v>
      </x:c>
      <x:c r="T530" s="154" t="n">
        <x:v>53.53006329</x:v>
      </x:c>
      <x:c r="U530" s="63" t="str">
        <x:v>reported</x:v>
      </x:c>
      <x:c r="V530" s="63" t="str">
        <x:v>ALBERTA_MAJOR_PROJECTS</x:v>
      </x:c>
      <x:c r="W530" s="63" t="str">
        <x:v>observed</x:v>
      </x:c>
      <x:c r="X530" s="155" t="n">
        <x:v>46265</x:v>
      </x:c>
      <x:c r="Y530" s="63" t="str">
        <x:v>https://www.majorprojects.alberta.ca/</x:v>
      </x:c>
    </x:row>
    <x:row r="531">
      <x:c r="A531" s="63" t="str">
        <x:v>ABMP_11847</x:v>
      </x:c>
      <x:c r="B531" s="63" t="str">
        <x:v>Southside Islamic School (Omar Ibn Al-Khattab Academy)</x:v>
      </x:c>
      <x:c r="C531" s="63" t="str">
        <x:v>Schools And Postsecondary</x:v>
      </x:c>
      <x:c r="D531" s="63" t="str">
        <x:v>inferred</x:v>
      </x:c>
      <x:c r="E531" s="63" t="str">
        <x:v>School</x:v>
      </x:c>
      <x:c r="F531" s="63" t="str">
        <x:v>Institutional</x:v>
      </x:c>
      <x:c r="G531" s="63" t="str">
        <x:v>Omar Ibn Al Khattab Centre</x:v>
      </x:c>
      <x:c r="H531" s="63" t="str">
        <x:v>Unresolved</x:v>
      </x:c>
      <x:c r="I531" s="63" t="str">
        <x:v>inferred</x:v>
      </x:c>
      <x:c r="J531" s="63" t="str">
        <x:v>Edmonton</x:v>
      </x:c>
      <x:c r="K531" s="63" t="str">
        <x:v>Under Construction</x:v>
      </x:c>
      <x:c r="L531" s="143" t="n">
        <x:v>30000000</x:v>
      </x:c>
      <x:c r="M531" s="179" t="n">
        <x:v>2025</x:v>
      </x:c>
      <x:c r="N531" s="179" t="n">
        <x:v>2026</x:v>
      </x:c>
      <x:c r="O531" s="63" t="str">
        <x:v>outside_window</x:v>
      </x:c>
      <x:c r="P531" s="63" t="str"/>
      <x:c r="Q531" s="143" t="n">
        <x:v>15000000</x:v>
      </x:c>
      <x:c r="R531" s="143" t="n">
        <x:v>0</x:v>
      </x:c>
      <x:c r="S531" s="154" t="n">
        <x:v>-113.465564</x:v>
      </x:c>
      <x:c r="T531" s="154" t="n">
        <x:v>53.39489</x:v>
      </x:c>
      <x:c r="U531" s="63" t="str">
        <x:v>reported</x:v>
      </x:c>
      <x:c r="V531" s="63" t="str">
        <x:v>ALBERTA_MAJOR_PROJECTS</x:v>
      </x:c>
      <x:c r="W531" s="63" t="str">
        <x:v>observed</x:v>
      </x:c>
      <x:c r="X531" s="155" t="n">
        <x:v>46265</x:v>
      </x:c>
      <x:c r="Y531" s="63" t="str">
        <x:v>https://www.majorprojects.alberta.ca/</x:v>
      </x:c>
    </x:row>
    <x:row r="532">
      <x:c r="A532" s="63" t="str">
        <x:v>ABMP_10940</x:v>
      </x:c>
      <x:c r="B532" s="63" t="str">
        <x:v>Spruce Grove Composite High School Replacement</x:v>
      </x:c>
      <x:c r="C532" s="63" t="str">
        <x:v>Schools And Postsecondary</x:v>
      </x:c>
      <x:c r="D532" s="63" t="str">
        <x:v>inferred</x:v>
      </x:c>
      <x:c r="E532" s="63" t="str">
        <x:v>School</x:v>
      </x:c>
      <x:c r="F532" s="63" t="str">
        <x:v>Institutional</x:v>
      </x:c>
      <x:c r="G532" s="63" t="str">
        <x:v>Alberta Infrastructure</x:v>
      </x:c>
      <x:c r="H532" s="63" t="str">
        <x:v>Government Or Public Institution Signal</x:v>
      </x:c>
      <x:c r="I532" s="63" t="str">
        <x:v>inferred</x:v>
      </x:c>
      <x:c r="J532" s="63" t="str">
        <x:v>Spruce Grove</x:v>
      </x:c>
      <x:c r="K532" s="63" t="str">
        <x:v>Under Construction</x:v>
      </x:c>
      <x:c r="L532" s="143" t="n">
        <x:v>126100000</x:v>
      </x:c>
      <x:c r="M532" s="179" t="n">
        <x:v>2025</x:v>
      </x:c>
      <x:c r="N532" s="179" t="n">
        <x:v>2028</x:v>
      </x:c>
      <x:c r="O532" s="63" t="str">
        <x:v>overlaps</x:v>
      </x:c>
      <x:c r="P532" s="63" t="str">
        <x:v>2027|2028</x:v>
      </x:c>
      <x:c r="Q532" s="143" t="n">
        <x:v>31525000</x:v>
      </x:c>
      <x:c r="R532" s="143" t="n">
        <x:v>63050000</x:v>
      </x:c>
      <x:c r="S532" s="154" t="n">
        <x:v>-113.90704386</x:v>
      </x:c>
      <x:c r="T532" s="154" t="n">
        <x:v>53.55713748</x:v>
      </x:c>
      <x:c r="U532" s="63" t="str">
        <x:v>reported</x:v>
      </x:c>
      <x:c r="V532" s="63" t="str">
        <x:v>ALBERTA_MAJOR_PROJECTS</x:v>
      </x:c>
      <x:c r="W532" s="63" t="str">
        <x:v>observed</x:v>
      </x:c>
      <x:c r="X532" s="155" t="n">
        <x:v>46265</x:v>
      </x:c>
      <x:c r="Y532" s="63" t="str">
        <x:v>https://www.majorprojects.alberta.ca/</x:v>
      </x:c>
    </x:row>
    <x:row r="533">
      <x:c r="A533" s="63" t="str">
        <x:v>ABMP_7529</x:v>
      </x:c>
      <x:c r="B533" s="63" t="str">
        <x:v>St. Carlo Acutis Catholic High School (Edmonton)</x:v>
      </x:c>
      <x:c r="C533" s="63" t="str">
        <x:v>Schools And Postsecondary</x:v>
      </x:c>
      <x:c r="D533" s="63" t="str">
        <x:v>inferred</x:v>
      </x:c>
      <x:c r="E533" s="63" t="str">
        <x:v>School</x:v>
      </x:c>
      <x:c r="F533" s="63" t="str">
        <x:v>Institutional</x:v>
      </x:c>
      <x:c r="G533" s="63" t="str">
        <x:v>Alberta Infrastructure</x:v>
      </x:c>
      <x:c r="H533" s="63" t="str">
        <x:v>Government Or Public Institution Signal</x:v>
      </x:c>
      <x:c r="I533" s="63" t="str">
        <x:v>inferred</x:v>
      </x:c>
      <x:c r="J533" s="63" t="str">
        <x:v>Edmonton</x:v>
      </x:c>
      <x:c r="K533" s="63" t="str">
        <x:v>Under Construction</x:v>
      </x:c>
      <x:c r="L533" s="143" t="n">
        <x:v>59600000</x:v>
      </x:c>
      <x:c r="M533" s="179" t="n">
        <x:v>2023</x:v>
      </x:c>
      <x:c r="N533" s="179" t="n">
        <x:v>2026</x:v>
      </x:c>
      <x:c r="O533" s="63" t="str">
        <x:v>outside_window</x:v>
      </x:c>
      <x:c r="P533" s="63" t="str"/>
      <x:c r="Q533" s="143" t="n">
        <x:v>14900000</x:v>
      </x:c>
      <x:c r="R533" s="143" t="n">
        <x:v>0</x:v>
      </x:c>
      <x:c r="S533" s="154" t="n">
        <x:v>-113.523032860572</x:v>
      </x:c>
      <x:c r="T533" s="154" t="n">
        <x:v>53.6152589390016</x:v>
      </x:c>
      <x:c r="U533" s="63" t="str">
        <x:v>reported</x:v>
      </x:c>
      <x:c r="V533" s="63" t="str">
        <x:v>ALBERTA_MAJOR_PROJECTS</x:v>
      </x:c>
      <x:c r="W533" s="63" t="str">
        <x:v>observed</x:v>
      </x:c>
      <x:c r="X533" s="155" t="n">
        <x:v>46265</x:v>
      </x:c>
      <x:c r="Y533" s="63" t="str">
        <x:v>https://www.majorprojects.alberta.ca/</x:v>
      </x:c>
    </x:row>
    <x:row r="534">
      <x:c r="A534" s="63" t="str">
        <x:v>ABMP_11451</x:v>
      </x:c>
      <x:c r="B534" s="63" t="str">
        <x:v>St. Genevieve Catholic Elementary/Junior High School</x:v>
      </x:c>
      <x:c r="C534" s="63" t="str">
        <x:v>Schools And Postsecondary</x:v>
      </x:c>
      <x:c r="D534" s="63" t="str">
        <x:v>inferred</x:v>
      </x:c>
      <x:c r="E534" s="63" t="str">
        <x:v>School</x:v>
      </x:c>
      <x:c r="F534" s="63" t="str">
        <x:v>Institutional</x:v>
      </x:c>
      <x:c r="G534" s="63" t="str">
        <x:v>Alberta Infrastructure</x:v>
      </x:c>
      <x:c r="H534" s="63" t="str">
        <x:v>Government Or Public Institution Signal</x:v>
      </x:c>
      <x:c r="I534" s="63" t="str">
        <x:v>inferred</x:v>
      </x:c>
      <x:c r="J534" s="63" t="str">
        <x:v>Edmonton</x:v>
      </x:c>
      <x:c r="K534" s="63" t="str">
        <x:v>Proposed</x:v>
      </x:c>
      <x:c r="L534" s="143" t="n">
        <x:v>55900000</x:v>
      </x:c>
      <x:c r="M534" s="179"/>
      <x:c r="N534" s="179"/>
      <x:c r="O534" s="63" t="str">
        <x:v>indeterminate_incomplete_schedule</x:v>
      </x:c>
      <x:c r="P534" s="63" t="str"/>
      <x:c r="Q534" s="143"/>
      <x:c r="R534" s="143"/>
      <x:c r="S534" s="154" t="n">
        <x:v>-113.38569</x:v>
      </x:c>
      <x:c r="T534" s="154" t="n">
        <x:v>53.447097</x:v>
      </x:c>
      <x:c r="U534" s="63" t="str">
        <x:v>reported</x:v>
      </x:c>
      <x:c r="V534" s="63" t="str">
        <x:v>ALBERTA_MAJOR_PROJECTS</x:v>
      </x:c>
      <x:c r="W534" s="63" t="str">
        <x:v>observed</x:v>
      </x:c>
      <x:c r="X534" s="155" t="n">
        <x:v>46265</x:v>
      </x:c>
      <x:c r="Y534" s="63" t="str">
        <x:v>https://www.majorprojects.alberta.ca/</x:v>
      </x:c>
    </x:row>
    <x:row r="535">
      <x:c r="A535" s="63" t="str">
        <x:v>ABMP_11056</x:v>
      </x:c>
      <x:c r="B535" s="63" t="str">
        <x:v>St. Kateri Elementary School (West Lethbridge)</x:v>
      </x:c>
      <x:c r="C535" s="63" t="str">
        <x:v>Schools And Postsecondary</x:v>
      </x:c>
      <x:c r="D535" s="63" t="str">
        <x:v>inferred</x:v>
      </x:c>
      <x:c r="E535" s="63" t="str">
        <x:v>School</x:v>
      </x:c>
      <x:c r="F535" s="63" t="str">
        <x:v>Institutional</x:v>
      </x:c>
      <x:c r="G535" s="63" t="str">
        <x:v>Alberta Infrastructure</x:v>
      </x:c>
      <x:c r="H535" s="63" t="str">
        <x:v>Government Or Public Institution Signal</x:v>
      </x:c>
      <x:c r="I535" s="63" t="str">
        <x:v>inferred</x:v>
      </x:c>
      <x:c r="J535" s="63" t="str">
        <x:v>Lethbridge</x:v>
      </x:c>
      <x:c r="K535" s="63" t="str">
        <x:v>Under Construction</x:v>
      </x:c>
      <x:c r="L535" s="143" t="n">
        <x:v>22600000</x:v>
      </x:c>
      <x:c r="M535" s="179" t="n">
        <x:v>2025</x:v>
      </x:c>
      <x:c r="N535" s="179" t="n">
        <x:v>2027</x:v>
      </x:c>
      <x:c r="O535" s="63" t="str">
        <x:v>overlaps</x:v>
      </x:c>
      <x:c r="P535" s="63" t="str">
        <x:v>2027</x:v>
      </x:c>
      <x:c r="Q535" s="143" t="n">
        <x:v>7533333.333333333</x:v>
      </x:c>
      <x:c r="R535" s="143" t="n">
        <x:v>7533333.333333333</x:v>
      </x:c>
      <x:c r="S535" s="154" t="n">
        <x:v>-112.91385</x:v>
      </x:c>
      <x:c r="T535" s="154" t="n">
        <x:v>49.67882882</x:v>
      </x:c>
      <x:c r="U535" s="63" t="str">
        <x:v>reported</x:v>
      </x:c>
      <x:c r="V535" s="63" t="str">
        <x:v>ALBERTA_MAJOR_PROJECTS</x:v>
      </x:c>
      <x:c r="W535" s="63" t="str">
        <x:v>observed</x:v>
      </x:c>
      <x:c r="X535" s="155" t="n">
        <x:v>46265</x:v>
      </x:c>
      <x:c r="Y535" s="63" t="str">
        <x:v>https://www.majorprojects.alberta.ca/</x:v>
      </x:c>
    </x:row>
    <x:row r="536">
      <x:c r="A536" s="63" t="str">
        <x:v>ABMP_4503</x:v>
      </x:c>
      <x:c r="B536" s="63" t="str">
        <x:v>St. Martin de Porres High School Addition</x:v>
      </x:c>
      <x:c r="C536" s="63" t="str">
        <x:v>Schools And Postsecondary</x:v>
      </x:c>
      <x:c r="D536" s="63" t="str">
        <x:v>inferred</x:v>
      </x:c>
      <x:c r="E536" s="63" t="str">
        <x:v>School</x:v>
      </x:c>
      <x:c r="F536" s="63" t="str">
        <x:v>Institutional</x:v>
      </x:c>
      <x:c r="G536" s="63" t="str">
        <x:v>Alberta Infrastructure</x:v>
      </x:c>
      <x:c r="H536" s="63" t="str">
        <x:v>Government Or Public Institution Signal</x:v>
      </x:c>
      <x:c r="I536" s="63" t="str">
        <x:v>inferred</x:v>
      </x:c>
      <x:c r="J536" s="63" t="str">
        <x:v>Airdrie</x:v>
      </x:c>
      <x:c r="K536" s="63" t="str">
        <x:v>Under Construction</x:v>
      </x:c>
      <x:c r="L536" s="143" t="n">
        <x:v>68100000</x:v>
      </x:c>
      <x:c r="M536" s="179" t="n">
        <x:v>2024</x:v>
      </x:c>
      <x:c r="N536" s="179" t="n">
        <x:v>2028</x:v>
      </x:c>
      <x:c r="O536" s="63" t="str">
        <x:v>overlaps</x:v>
      </x:c>
      <x:c r="P536" s="63" t="str">
        <x:v>2027|2028</x:v>
      </x:c>
      <x:c r="Q536" s="143" t="n">
        <x:v>13620000</x:v>
      </x:c>
      <x:c r="R536" s="143" t="n">
        <x:v>27240000</x:v>
      </x:c>
      <x:c r="S536" s="154" t="n">
        <x:v>-114.016</x:v>
      </x:c>
      <x:c r="T536" s="154" t="n">
        <x:v>51.2715</x:v>
      </x:c>
      <x:c r="U536" s="63" t="str">
        <x:v>reported</x:v>
      </x:c>
      <x:c r="V536" s="63" t="str">
        <x:v>ALBERTA_MAJOR_PROJECTS</x:v>
      </x:c>
      <x:c r="W536" s="63" t="str">
        <x:v>observed</x:v>
      </x:c>
      <x:c r="X536" s="155" t="n">
        <x:v>46265</x:v>
      </x:c>
      <x:c r="Y536" s="63" t="str">
        <x:v>https://www.majorprojects.alberta.ca/</x:v>
      </x:c>
    </x:row>
    <x:row r="537">
      <x:c r="A537" s="63" t="str">
        <x:v>ABMP_11452</x:v>
      </x:c>
      <x:c r="B537" s="63" t="str">
        <x:v>St. Michael the Archangel Catholic School</x:v>
      </x:c>
      <x:c r="C537" s="63" t="str">
        <x:v>Schools And Postsecondary</x:v>
      </x:c>
      <x:c r="D537" s="63" t="str">
        <x:v>inferred</x:v>
      </x:c>
      <x:c r="E537" s="63" t="str">
        <x:v>School</x:v>
      </x:c>
      <x:c r="F537" s="63" t="str">
        <x:v>Institutional</x:v>
      </x:c>
      <x:c r="G537" s="63" t="str">
        <x:v>Alberta Infrastructure</x:v>
      </x:c>
      <x:c r="H537" s="63" t="str">
        <x:v>Government Or Public Institution Signal</x:v>
      </x:c>
      <x:c r="I537" s="63" t="str">
        <x:v>inferred</x:v>
      </x:c>
      <x:c r="J537" s="63" t="str">
        <x:v>Edmonton</x:v>
      </x:c>
      <x:c r="K537" s="63" t="str">
        <x:v>Under Construction</x:v>
      </x:c>
      <x:c r="L537" s="143" t="n">
        <x:v>49900000</x:v>
      </x:c>
      <x:c r="M537" s="179" t="n">
        <x:v>2026</x:v>
      </x:c>
      <x:c r="N537" s="179"/>
      <x:c r="O537" s="63" t="str">
        <x:v>indeterminate_incomplete_schedule</x:v>
      </x:c>
      <x:c r="P537" s="63" t="str"/>
      <x:c r="Q537" s="143"/>
      <x:c r="R537" s="143"/>
      <x:c r="S537" s="154" t="n">
        <x:v>-113.574</x:v>
      </x:c>
      <x:c r="T537" s="154" t="n">
        <x:v>53.41146</x:v>
      </x:c>
      <x:c r="U537" s="63" t="str">
        <x:v>reported</x:v>
      </x:c>
      <x:c r="V537" s="63" t="str">
        <x:v>ALBERTA_MAJOR_PROJECTS</x:v>
      </x:c>
      <x:c r="W537" s="63" t="str">
        <x:v>observed</x:v>
      </x:c>
      <x:c r="X537" s="155" t="n">
        <x:v>46265</x:v>
      </x:c>
      <x:c r="Y537" s="63" t="str">
        <x:v>https://www.majorprojects.alberta.ca/</x:v>
      </x:c>
    </x:row>
    <x:row r="538">
      <x:c r="A538" s="63" t="str">
        <x:v>ABMP_11446</x:v>
      </x:c>
      <x:c r="B538" s="63" t="str">
        <x:v>St. Sophia Catholic School</x:v>
      </x:c>
      <x:c r="C538" s="63" t="str">
        <x:v>Schools And Postsecondary</x:v>
      </x:c>
      <x:c r="D538" s="63" t="str">
        <x:v>inferred</x:v>
      </x:c>
      <x:c r="E538" s="63" t="str">
        <x:v>School</x:v>
      </x:c>
      <x:c r="F538" s="63" t="str">
        <x:v>Institutional</x:v>
      </x:c>
      <x:c r="G538" s="63" t="str">
        <x:v>Alberta Infrastructure</x:v>
      </x:c>
      <x:c r="H538" s="63" t="str">
        <x:v>Government Or Public Institution Signal</x:v>
      </x:c>
      <x:c r="I538" s="63" t="str">
        <x:v>inferred</x:v>
      </x:c>
      <x:c r="J538" s="63" t="str">
        <x:v>Edmonton</x:v>
      </x:c>
      <x:c r="K538" s="63" t="str">
        <x:v>Under Construction</x:v>
      </x:c>
      <x:c r="L538" s="143" t="n">
        <x:v>57900000</x:v>
      </x:c>
      <x:c r="M538" s="179" t="n">
        <x:v>2026</x:v>
      </x:c>
      <x:c r="N538" s="179"/>
      <x:c r="O538" s="63" t="str">
        <x:v>indeterminate_incomplete_schedule</x:v>
      </x:c>
      <x:c r="P538" s="63" t="str"/>
      <x:c r="Q538" s="143"/>
      <x:c r="R538" s="143"/>
      <x:c r="S538" s="154" t="n">
        <x:v>-113.513</x:v>
      </x:c>
      <x:c r="T538" s="154" t="n">
        <x:v>53.41039</x:v>
      </x:c>
      <x:c r="U538" s="63" t="str">
        <x:v>reported</x:v>
      </x:c>
      <x:c r="V538" s="63" t="str">
        <x:v>ALBERTA_MAJOR_PROJECTS</x:v>
      </x:c>
      <x:c r="W538" s="63" t="str">
        <x:v>observed</x:v>
      </x:c>
      <x:c r="X538" s="155" t="n">
        <x:v>46265</x:v>
      </x:c>
      <x:c r="Y538" s="63" t="str">
        <x:v>https://www.majorprojects.alberta.ca/</x:v>
      </x:c>
    </x:row>
    <x:row r="539">
      <x:c r="A539" s="63" t="str">
        <x:v>ABMP_11872</x:v>
      </x:c>
      <x:c r="B539" s="63" t="str">
        <x:v>Suzuki Charter School K-9 Replacement</x:v>
      </x:c>
      <x:c r="C539" s="63" t="str">
        <x:v>Schools And Postsecondary</x:v>
      </x:c>
      <x:c r="D539" s="63" t="str">
        <x:v>inferred</x:v>
      </x:c>
      <x:c r="E539" s="63" t="str">
        <x:v>School</x:v>
      </x:c>
      <x:c r="F539" s="63" t="str">
        <x:v>Institutional</x:v>
      </x:c>
      <x:c r="G539" s="63" t="str">
        <x:v>Alberta Infrastructure</x:v>
      </x:c>
      <x:c r="H539" s="63" t="str">
        <x:v>Government Or Public Institution Signal</x:v>
      </x:c>
      <x:c r="I539" s="63" t="str">
        <x:v>inferred</x:v>
      </x:c>
      <x:c r="J539" s="63" t="str">
        <x:v>Edmonton</x:v>
      </x:c>
      <x:c r="K539" s="63" t="str">
        <x:v>Proposed</x:v>
      </x:c>
      <x:c r="L539" s="143"/>
      <x:c r="M539" s="179"/>
      <x:c r="N539" s="179"/>
      <x:c r="O539" s="63" t="str">
        <x:v>indeterminate_incomplete_schedule</x:v>
      </x:c>
      <x:c r="P539" s="63" t="str"/>
      <x:c r="Q539" s="143"/>
      <x:c r="R539" s="143"/>
      <x:c r="S539" s="154" t="n">
        <x:v>-113.423059</x:v>
      </x:c>
      <x:c r="T539" s="154" t="n">
        <x:v>53.554353</x:v>
      </x:c>
      <x:c r="U539" s="63" t="str">
        <x:v>reported</x:v>
      </x:c>
      <x:c r="V539" s="63" t="str">
        <x:v>ALBERTA_MAJOR_PROJECTS</x:v>
      </x:c>
      <x:c r="W539" s="63" t="str">
        <x:v>observed</x:v>
      </x:c>
      <x:c r="X539" s="155" t="n">
        <x:v>46265</x:v>
      </x:c>
      <x:c r="Y539" s="63" t="str">
        <x:v>https://www.majorprojects.alberta.ca/</x:v>
      </x:c>
    </x:row>
    <x:row r="540">
      <x:c r="A540" s="63" t="str">
        <x:v>ABMP_11788</x:v>
      </x:c>
      <x:c r="B540" s="63" t="str">
        <x:v>The Centre for Excellence in the Sciences at The King's University</x:v>
      </x:c>
      <x:c r="C540" s="63" t="str">
        <x:v>Schools And Postsecondary</x:v>
      </x:c>
      <x:c r="D540" s="63" t="str">
        <x:v>inferred</x:v>
      </x:c>
      <x:c r="E540" s="63" t="str">
        <x:v>Post-Secondary</x:v>
      </x:c>
      <x:c r="F540" s="63" t="str">
        <x:v>Institutional</x:v>
      </x:c>
      <x:c r="G540" s="63" t="str">
        <x:v>The King's University</x:v>
      </x:c>
      <x:c r="H540" s="63" t="str">
        <x:v>Government Or Public Institution Signal</x:v>
      </x:c>
      <x:c r="I540" s="63" t="str">
        <x:v>inferred</x:v>
      </x:c>
      <x:c r="J540" s="63" t="str">
        <x:v>Edmonton</x:v>
      </x:c>
      <x:c r="K540" s="63" t="str">
        <x:v>Under Construction</x:v>
      </x:c>
      <x:c r="L540" s="143" t="n">
        <x:v>20000000</x:v>
      </x:c>
      <x:c r="M540" s="179" t="n">
        <x:v>2025</x:v>
      </x:c>
      <x:c r="N540" s="179" t="n">
        <x:v>2026</x:v>
      </x:c>
      <x:c r="O540" s="63" t="str">
        <x:v>outside_window</x:v>
      </x:c>
      <x:c r="P540" s="63" t="str"/>
      <x:c r="Q540" s="143" t="n">
        <x:v>10000000</x:v>
      </x:c>
      <x:c r="R540" s="143" t="n">
        <x:v>0</x:v>
      </x:c>
      <x:c r="S540" s="154" t="n">
        <x:v>-113.41663263</x:v>
      </x:c>
      <x:c r="T540" s="154" t="n">
        <x:v>53.52574555</x:v>
      </x:c>
      <x:c r="U540" s="63" t="str">
        <x:v>reported</x:v>
      </x:c>
      <x:c r="V540" s="63" t="str">
        <x:v>ALBERTA_MAJOR_PROJECTS</x:v>
      </x:c>
      <x:c r="W540" s="63" t="str">
        <x:v>observed</x:v>
      </x:c>
      <x:c r="X540" s="155" t="n">
        <x:v>46265</x:v>
      </x:c>
      <x:c r="Y540" s="63" t="str">
        <x:v>https://www.majorprojects.alberta.ca/</x:v>
      </x:c>
    </x:row>
    <x:row r="541">
      <x:c r="A541" s="63" t="str">
        <x:v>ABMP_11874</x:v>
      </x:c>
      <x:c r="B541" s="63" t="str">
        <x:v>Thrive Charter School New K-9 School</x:v>
      </x:c>
      <x:c r="C541" s="63" t="str">
        <x:v>Schools And Postsecondary</x:v>
      </x:c>
      <x:c r="D541" s="63" t="str">
        <x:v>inferred</x:v>
      </x:c>
      <x:c r="E541" s="63" t="str">
        <x:v>School</x:v>
      </x:c>
      <x:c r="F541" s="63" t="str">
        <x:v>Institutional</x:v>
      </x:c>
      <x:c r="G541" s="63" t="str">
        <x:v>Alberta Infrastructure</x:v>
      </x:c>
      <x:c r="H541" s="63" t="str">
        <x:v>Government Or Public Institution Signal</x:v>
      </x:c>
      <x:c r="I541" s="63" t="str">
        <x:v>inferred</x:v>
      </x:c>
      <x:c r="J541" s="63" t="str">
        <x:v>Edmonton</x:v>
      </x:c>
      <x:c r="K541" s="63" t="str">
        <x:v>Proposed</x:v>
      </x:c>
      <x:c r="L541" s="143"/>
      <x:c r="M541" s="179"/>
      <x:c r="N541" s="179"/>
      <x:c r="O541" s="63" t="str">
        <x:v>indeterminate_incomplete_schedule</x:v>
      </x:c>
      <x:c r="P541" s="63" t="str"/>
      <x:c r="Q541" s="143"/>
      <x:c r="R541" s="143"/>
      <x:c r="S541" s="154" t="n">
        <x:v>-113.492855</x:v>
      </x:c>
      <x:c r="T541" s="154" t="n">
        <x:v>53.594097</x:v>
      </x:c>
      <x:c r="U541" s="63" t="str">
        <x:v>approximate</x:v>
      </x:c>
      <x:c r="V541" s="63" t="str">
        <x:v>ALBERTA_MAJOR_PROJECTS</x:v>
      </x:c>
      <x:c r="W541" s="63" t="str">
        <x:v>observed</x:v>
      </x:c>
      <x:c r="X541" s="155" t="n">
        <x:v>46265</x:v>
      </x:c>
      <x:c r="Y541" s="63" t="str">
        <x:v>https://www.majorprojects.alberta.ca/</x:v>
      </x:c>
    </x:row>
    <x:row r="542">
      <x:c r="A542" s="63" t="str">
        <x:v>ABMP_11495</x:v>
      </x:c>
      <x:c r="B542" s="63" t="str">
        <x:v>Universiade Pavilion Envelope Renewal</x:v>
      </x:c>
      <x:c r="C542" s="63" t="str">
        <x:v>Schools And Postsecondary</x:v>
      </x:c>
      <x:c r="D542" s="63" t="str">
        <x:v>inferred</x:v>
      </x:c>
      <x:c r="E542" s="63" t="str">
        <x:v>Post-Secondary</x:v>
      </x:c>
      <x:c r="F542" s="63" t="str">
        <x:v>Institutional</x:v>
      </x:c>
      <x:c r="G542" s="63" t="str">
        <x:v>University of Alberta</x:v>
      </x:c>
      <x:c r="H542" s="63" t="str">
        <x:v>Government Or Public Institution Signal</x:v>
      </x:c>
      <x:c r="I542" s="63" t="str">
        <x:v>inferred</x:v>
      </x:c>
      <x:c r="J542" s="63" t="str">
        <x:v>Edmonton</x:v>
      </x:c>
      <x:c r="K542" s="63" t="str">
        <x:v>Under Construction</x:v>
      </x:c>
      <x:c r="L542" s="143" t="n">
        <x:v>27000000</x:v>
      </x:c>
      <x:c r="M542" s="179" t="n">
        <x:v>2026</x:v>
      </x:c>
      <x:c r="N542" s="179" t="n">
        <x:v>2027</x:v>
      </x:c>
      <x:c r="O542" s="63" t="str">
        <x:v>overlaps</x:v>
      </x:c>
      <x:c r="P542" s="63" t="str">
        <x:v>2027</x:v>
      </x:c>
      <x:c r="Q542" s="143" t="n">
        <x:v>13500000</x:v>
      </x:c>
      <x:c r="R542" s="143" t="n">
        <x:v>13500000</x:v>
      </x:c>
      <x:c r="S542" s="154" t="n">
        <x:v>-113.528448</x:v>
      </x:c>
      <x:c r="T542" s="154" t="n">
        <x:v>53.523395</x:v>
      </x:c>
      <x:c r="U542" s="63" t="str">
        <x:v>reported</x:v>
      </x:c>
      <x:c r="V542" s="63" t="str">
        <x:v>ALBERTA_MAJOR_PROJECTS</x:v>
      </x:c>
      <x:c r="W542" s="63" t="str">
        <x:v>observed</x:v>
      </x:c>
      <x:c r="X542" s="155" t="n">
        <x:v>46265</x:v>
      </x:c>
      <x:c r="Y542" s="63" t="str">
        <x:v>https://www.majorprojects.alberta.ca/</x:v>
      </x:c>
    </x:row>
    <x:row r="543">
      <x:c r="A543" s="63" t="str">
        <x:v>ABMP_11550</x:v>
      </x:c>
      <x:c r="B543" s="63" t="str">
        <x:v>University of Calgary Building Alterations</x:v>
      </x:c>
      <x:c r="C543" s="63" t="str">
        <x:v>Schools And Postsecondary</x:v>
      </x:c>
      <x:c r="D543" s="63" t="str">
        <x:v>inferred</x:v>
      </x:c>
      <x:c r="E543" s="63" t="str">
        <x:v>Post-Secondary</x:v>
      </x:c>
      <x:c r="F543" s="63" t="str">
        <x:v>Institutional</x:v>
      </x:c>
      <x:c r="G543" s="63" t="str">
        <x:v>University of Calgary</x:v>
      </x:c>
      <x:c r="H543" s="63" t="str">
        <x:v>Government Or Public Institution Signal</x:v>
      </x:c>
      <x:c r="I543" s="63" t="str">
        <x:v>inferred</x:v>
      </x:c>
      <x:c r="J543" s="63" t="str">
        <x:v>Calgary</x:v>
      </x:c>
      <x:c r="K543" s="63" t="str">
        <x:v>Proposed</x:v>
      </x:c>
      <x:c r="L543" s="143" t="n">
        <x:v>6400000</x:v>
      </x:c>
      <x:c r="M543" s="179"/>
      <x:c r="N543" s="179"/>
      <x:c r="O543" s="63" t="str">
        <x:v>indeterminate_incomplete_schedule</x:v>
      </x:c>
      <x:c r="P543" s="63" t="str"/>
      <x:c r="Q543" s="143"/>
      <x:c r="R543" s="143"/>
      <x:c r="S543" s="154" t="n">
        <x:v>-114.12859548400233</x:v>
      </x:c>
      <x:c r="T543" s="154" t="n">
        <x:v>51.07454402740891</x:v>
      </x:c>
      <x:c r="U543" s="63" t="str">
        <x:v>reported</x:v>
      </x:c>
      <x:c r="V543" s="63" t="str">
        <x:v>ALBERTA_MAJOR_PROJECTS</x:v>
      </x:c>
      <x:c r="W543" s="63" t="str">
        <x:v>observed</x:v>
      </x:c>
      <x:c r="X543" s="155" t="n">
        <x:v>46265</x:v>
      </x:c>
      <x:c r="Y543" s="63" t="str">
        <x:v>https://www.majorprojects.alberta.ca/</x:v>
      </x:c>
    </x:row>
    <x:row r="544">
      <x:c r="A544" s="63" t="str">
        <x:v>ABMP_11076</x:v>
      </x:c>
      <x:c r="B544" s="63" t="str">
        <x:v>University of Calgary Multidisciplinary Science Hub</x:v>
      </x:c>
      <x:c r="C544" s="63" t="str">
        <x:v>Schools And Postsecondary</x:v>
      </x:c>
      <x:c r="D544" s="63" t="str">
        <x:v>inferred</x:v>
      </x:c>
      <x:c r="E544" s="63" t="str">
        <x:v>Post-Secondary</x:v>
      </x:c>
      <x:c r="F544" s="63" t="str">
        <x:v>Institutional</x:v>
      </x:c>
      <x:c r="G544" s="63" t="str">
        <x:v>The University of Calgary</x:v>
      </x:c>
      <x:c r="H544" s="63" t="str">
        <x:v>Government Or Public Institution Signal</x:v>
      </x:c>
      <x:c r="I544" s="63" t="str">
        <x:v>inferred</x:v>
      </x:c>
      <x:c r="J544" s="63" t="str">
        <x:v>Calgary</x:v>
      </x:c>
      <x:c r="K544" s="63" t="str">
        <x:v>Proposed</x:v>
      </x:c>
      <x:c r="L544" s="143" t="n">
        <x:v>450000000</x:v>
      </x:c>
      <x:c r="M544" s="179"/>
      <x:c r="N544" s="179" t="n">
        <x:v>2030</x:v>
      </x:c>
      <x:c r="O544" s="63" t="str">
        <x:v>indeterminate_incomplete_schedule</x:v>
      </x:c>
      <x:c r="P544" s="63" t="str"/>
      <x:c r="Q544" s="143"/>
      <x:c r="R544" s="143"/>
      <x:c r="S544" s="154" t="n">
        <x:v>-114.125295</x:v>
      </x:c>
      <x:c r="T544" s="154" t="n">
        <x:v>51.078002</x:v>
      </x:c>
      <x:c r="U544" s="63" t="str">
        <x:v>reported</x:v>
      </x:c>
      <x:c r="V544" s="63" t="str">
        <x:v>ALBERTA_MAJOR_PROJECTS</x:v>
      </x:c>
      <x:c r="W544" s="63" t="str">
        <x:v>observed</x:v>
      </x:c>
      <x:c r="X544" s="155" t="n">
        <x:v>46265</x:v>
      </x:c>
      <x:c r="Y544" s="63" t="str">
        <x:v>https://www.majorprojects.alberta.ca/</x:v>
      </x:c>
    </x:row>
    <x:row r="545">
      <x:c r="A545" s="63" t="str">
        <x:v>ABMP_11410</x:v>
      </x:c>
      <x:c r="B545" s="63" t="str">
        <x:v>Vera M. Welsh School Replacement</x:v>
      </x:c>
      <x:c r="C545" s="63" t="str">
        <x:v>Schools And Postsecondary</x:v>
      </x:c>
      <x:c r="D545" s="63" t="str">
        <x:v>inferred</x:v>
      </x:c>
      <x:c r="E545" s="63" t="str">
        <x:v>School</x:v>
      </x:c>
      <x:c r="F545" s="63" t="str">
        <x:v>Institutional</x:v>
      </x:c>
      <x:c r="G545" s="63" t="str">
        <x:v>Alberta Infrastructure</x:v>
      </x:c>
      <x:c r="H545" s="63" t="str">
        <x:v>Government Or Public Institution Signal</x:v>
      </x:c>
      <x:c r="I545" s="63" t="str">
        <x:v>inferred</x:v>
      </x:c>
      <x:c r="J545" s="63" t="str">
        <x:v>Lac la Biche County</x:v>
      </x:c>
      <x:c r="K545" s="63" t="str">
        <x:v>Under Construction</x:v>
      </x:c>
      <x:c r="L545" s="143" t="n">
        <x:v>32700000</x:v>
      </x:c>
      <x:c r="M545" s="179" t="n">
        <x:v>2025</x:v>
      </x:c>
      <x:c r="N545" s="179" t="n">
        <x:v>2027</x:v>
      </x:c>
      <x:c r="O545" s="63" t="str">
        <x:v>overlaps</x:v>
      </x:c>
      <x:c r="P545" s="63" t="str">
        <x:v>2027</x:v>
      </x:c>
      <x:c r="Q545" s="143" t="n">
        <x:v>10900000</x:v>
      </x:c>
      <x:c r="R545" s="143" t="n">
        <x:v>10900000</x:v>
      </x:c>
      <x:c r="S545" s="154" t="n">
        <x:v>-111.952</x:v>
      </x:c>
      <x:c r="T545" s="154" t="n">
        <x:v>54.768204</x:v>
      </x:c>
      <x:c r="U545" s="63" t="str">
        <x:v>reported</x:v>
      </x:c>
      <x:c r="V545" s="63" t="str">
        <x:v>ALBERTA_MAJOR_PROJECTS</x:v>
      </x:c>
      <x:c r="W545" s="63" t="str">
        <x:v>observed</x:v>
      </x:c>
      <x:c r="X545" s="155" t="n">
        <x:v>46265</x:v>
      </x:c>
      <x:c r="Y545" s="63" t="str">
        <x:v>https://www.majorprojects.alberta.ca/</x:v>
      </x:c>
    </x:row>
    <x:row r="546">
      <x:c r="A546" s="63" t="str">
        <x:v>ABMP_11837</x:v>
      </x:c>
      <x:c r="B546" s="63" t="str">
        <x:v>Vista Heights High School Modernization</x:v>
      </x:c>
      <x:c r="C546" s="63" t="str">
        <x:v>Schools And Postsecondary</x:v>
      </x:c>
      <x:c r="D546" s="63" t="str">
        <x:v>inferred</x:v>
      </x:c>
      <x:c r="E546" s="63" t="str">
        <x:v>School</x:v>
      </x:c>
      <x:c r="F546" s="63" t="str">
        <x:v>Institutional</x:v>
      </x:c>
      <x:c r="G546" s="63" t="str">
        <x:v>Alberta Infrastructure</x:v>
      </x:c>
      <x:c r="H546" s="63" t="str">
        <x:v>Government Or Public Institution Signal</x:v>
      </x:c>
      <x:c r="I546" s="63" t="str">
        <x:v>inferred</x:v>
      </x:c>
      <x:c r="J546" s="63" t="str">
        <x:v>Calgary</x:v>
      </x:c>
      <x:c r="K546" s="63" t="str">
        <x:v>Proposed</x:v>
      </x:c>
      <x:c r="L546" s="143"/>
      <x:c r="M546" s="179"/>
      <x:c r="N546" s="179"/>
      <x:c r="O546" s="63" t="str">
        <x:v>indeterminate_incomplete_schedule</x:v>
      </x:c>
      <x:c r="P546" s="63" t="str"/>
      <x:c r="Q546" s="143"/>
      <x:c r="R546" s="143"/>
      <x:c r="S546" s="154" t="n">
        <x:v>-114.02736</x:v>
      </x:c>
      <x:c r="T546" s="154" t="n">
        <x:v>51.07712</x:v>
      </x:c>
      <x:c r="U546" s="63" t="str">
        <x:v>reported</x:v>
      </x:c>
      <x:c r="V546" s="63" t="str">
        <x:v>ALBERTA_MAJOR_PROJECTS</x:v>
      </x:c>
      <x:c r="W546" s="63" t="str">
        <x:v>observed</x:v>
      </x:c>
      <x:c r="X546" s="155" t="n">
        <x:v>46265</x:v>
      </x:c>
      <x:c r="Y546" s="63" t="str">
        <x:v>https://www.majorprojects.alberta.ca/</x:v>
      </x:c>
    </x:row>
    <x:row r="547">
      <x:c r="A547" s="63" t="str">
        <x:v>ABMP_11645</x:v>
      </x:c>
      <x:c r="B547" s="63" t="str">
        <x:v>W.J. Elliott (Trades) Building Renovation</x:v>
      </x:c>
      <x:c r="C547" s="63" t="str">
        <x:v>Schools And Postsecondary</x:v>
      </x:c>
      <x:c r="D547" s="63" t="str">
        <x:v>inferred</x:v>
      </x:c>
      <x:c r="E547" s="63" t="str">
        <x:v>Post-Secondary</x:v>
      </x:c>
      <x:c r="F547" s="63" t="str">
        <x:v>Institutional</x:v>
      </x:c>
      <x:c r="G547" s="63" t="str">
        <x:v>Olds College</x:v>
      </x:c>
      <x:c r="H547" s="63" t="str">
        <x:v>Government Or Public Institution Signal</x:v>
      </x:c>
      <x:c r="I547" s="63" t="str">
        <x:v>inferred</x:v>
      </x:c>
      <x:c r="J547" s="63" t="str">
        <x:v>Olds</x:v>
      </x:c>
      <x:c r="K547" s="63" t="str">
        <x:v>Under Construction</x:v>
      </x:c>
      <x:c r="L547" s="143" t="n">
        <x:v>63000000</x:v>
      </x:c>
      <x:c r="M547" s="179" t="n">
        <x:v>2025</x:v>
      </x:c>
      <x:c r="N547" s="179" t="n">
        <x:v>2027</x:v>
      </x:c>
      <x:c r="O547" s="63" t="str">
        <x:v>overlaps</x:v>
      </x:c>
      <x:c r="P547" s="63" t="str">
        <x:v>2027</x:v>
      </x:c>
      <x:c r="Q547" s="143" t="n">
        <x:v>21000000</x:v>
      </x:c>
      <x:c r="R547" s="143" t="n">
        <x:v>21000000</x:v>
      </x:c>
      <x:c r="S547" s="154" t="n">
        <x:v>-114.092701</x:v>
      </x:c>
      <x:c r="T547" s="154" t="n">
        <x:v>51.792176</x:v>
      </x:c>
      <x:c r="U547" s="63" t="str">
        <x:v>reported</x:v>
      </x:c>
      <x:c r="V547" s="63" t="str">
        <x:v>ALBERTA_MAJOR_PROJECTS</x:v>
      </x:c>
      <x:c r="W547" s="63" t="str">
        <x:v>observed</x:v>
      </x:c>
      <x:c r="X547" s="155" t="n">
        <x:v>46265</x:v>
      </x:c>
      <x:c r="Y547" s="63" t="str">
        <x:v>https://www.majorprojects.alberta.ca/</x:v>
      </x:c>
    </x:row>
    <x:row r="548">
      <x:c r="A548" s="63" t="str">
        <x:v>ABMP_11434</x:v>
      </x:c>
      <x:c r="B548" s="63" t="str">
        <x:v>W.R. Myers High &amp; D.A. Ferguson Middle School Modernization</x:v>
      </x:c>
      <x:c r="C548" s="63" t="str">
        <x:v>Schools And Postsecondary</x:v>
      </x:c>
      <x:c r="D548" s="63" t="str">
        <x:v>inferred</x:v>
      </x:c>
      <x:c r="E548" s="63" t="str">
        <x:v>School</x:v>
      </x:c>
      <x:c r="F548" s="63" t="str">
        <x:v>Institutional</x:v>
      </x:c>
      <x:c r="G548" s="63" t="str">
        <x:v>Alberta Infrastructure</x:v>
      </x:c>
      <x:c r="H548" s="63" t="str">
        <x:v>Government Or Public Institution Signal</x:v>
      </x:c>
      <x:c r="I548" s="63" t="str">
        <x:v>inferred</x:v>
      </x:c>
      <x:c r="J548" s="63" t="str">
        <x:v>Taber</x:v>
      </x:c>
      <x:c r="K548" s="63" t="str">
        <x:v>Under Construction</x:v>
      </x:c>
      <x:c r="L548" s="143" t="n">
        <x:v>53900000</x:v>
      </x:c>
      <x:c r="M548" s="179" t="n">
        <x:v>2025</x:v>
      </x:c>
      <x:c r="N548" s="179"/>
      <x:c r="O548" s="63" t="str">
        <x:v>indeterminate_incomplete_schedule</x:v>
      </x:c>
      <x:c r="P548" s="63" t="str"/>
      <x:c r="Q548" s="143"/>
      <x:c r="R548" s="143"/>
      <x:c r="S548" s="154" t="n">
        <x:v>-112.142</x:v>
      </x:c>
      <x:c r="T548" s="154" t="n">
        <x:v>49.79132</x:v>
      </x:c>
      <x:c r="U548" s="63" t="str">
        <x:v>reported</x:v>
      </x:c>
      <x:c r="V548" s="63" t="str">
        <x:v>ALBERTA_MAJOR_PROJECTS</x:v>
      </x:c>
      <x:c r="W548" s="63" t="str">
        <x:v>observed</x:v>
      </x:c>
      <x:c r="X548" s="155" t="n">
        <x:v>46265</x:v>
      </x:c>
      <x:c r="Y548" s="63" t="str">
        <x:v>https://www.majorprojects.alberta.ca/</x:v>
      </x:c>
    </x:row>
    <x:row r="549">
      <x:c r="A549" s="63" t="str">
        <x:v>ABMP_11343</x:v>
      </x:c>
      <x:c r="B549" s="63" t="str">
        <x:v>Wainwright K-6 Elementary Replacement</x:v>
      </x:c>
      <x:c r="C549" s="63" t="str">
        <x:v>Schools And Postsecondary</x:v>
      </x:c>
      <x:c r="D549" s="63" t="str">
        <x:v>inferred</x:v>
      </x:c>
      <x:c r="E549" s="63" t="str">
        <x:v>School</x:v>
      </x:c>
      <x:c r="F549" s="63" t="str">
        <x:v>Institutional</x:v>
      </x:c>
      <x:c r="G549" s="63" t="str">
        <x:v>Alberta Infrastructure</x:v>
      </x:c>
      <x:c r="H549" s="63" t="str">
        <x:v>Government Or Public Institution Signal</x:v>
      </x:c>
      <x:c r="I549" s="63" t="str">
        <x:v>inferred</x:v>
      </x:c>
      <x:c r="J549" s="63" t="str">
        <x:v>Wainwright</x:v>
      </x:c>
      <x:c r="K549" s="63" t="str">
        <x:v>Under Construction</x:v>
      </x:c>
      <x:c r="L549" s="143" t="n">
        <x:v>34900000</x:v>
      </x:c>
      <x:c r="M549" s="179" t="n">
        <x:v>2025</x:v>
      </x:c>
      <x:c r="N549" s="179" t="n">
        <x:v>2027</x:v>
      </x:c>
      <x:c r="O549" s="63" t="str">
        <x:v>overlaps</x:v>
      </x:c>
      <x:c r="P549" s="63" t="str">
        <x:v>2027</x:v>
      </x:c>
      <x:c r="Q549" s="143" t="n">
        <x:v>11633333.333333334</x:v>
      </x:c>
      <x:c r="R549" s="143" t="n">
        <x:v>11633333.333333334</x:v>
      </x:c>
      <x:c r="S549" s="154" t="n">
        <x:v>-110.833</x:v>
      </x:c>
      <x:c r="T549" s="154" t="n">
        <x:v>52.83620543</x:v>
      </x:c>
      <x:c r="U549" s="63" t="str">
        <x:v>reported</x:v>
      </x:c>
      <x:c r="V549" s="63" t="str">
        <x:v>ALBERTA_MAJOR_PROJECTS</x:v>
      </x:c>
      <x:c r="W549" s="63" t="str">
        <x:v>observed</x:v>
      </x:c>
      <x:c r="X549" s="155" t="n">
        <x:v>46265</x:v>
      </x:c>
      <x:c r="Y549" s="63" t="str">
        <x:v>https://www.majorprojects.alberta.ca/</x:v>
      </x:c>
    </x:row>
    <x:row r="550">
      <x:c r="A550" s="63" t="str">
        <x:v>ABMP_11776</x:v>
      </x:c>
      <x:c r="B550" s="63" t="str">
        <x:v>Westmount K-9 School Replacement</x:v>
      </x:c>
      <x:c r="C550" s="63" t="str">
        <x:v>Schools And Postsecondary</x:v>
      </x:c>
      <x:c r="D550" s="63" t="str">
        <x:v>inferred</x:v>
      </x:c>
      <x:c r="E550" s="63" t="str">
        <x:v>School</x:v>
      </x:c>
      <x:c r="F550" s="63" t="str">
        <x:v>Institutional</x:v>
      </x:c>
      <x:c r="G550" s="63" t="str">
        <x:v>Alberta Infrastructure</x:v>
      </x:c>
      <x:c r="H550" s="63" t="str">
        <x:v>Government Or Public Institution Signal</x:v>
      </x:c>
      <x:c r="I550" s="63" t="str">
        <x:v>inferred</x:v>
      </x:c>
      <x:c r="J550" s="63" t="str">
        <x:v>Strathmore</x:v>
      </x:c>
      <x:c r="K550" s="63" t="str">
        <x:v>Proposed</x:v>
      </x:c>
      <x:c r="L550" s="143"/>
      <x:c r="M550" s="179"/>
      <x:c r="N550" s="179" t="n">
        <x:v>2029</x:v>
      </x:c>
      <x:c r="O550" s="63" t="str">
        <x:v>indeterminate_incomplete_schedule</x:v>
      </x:c>
      <x:c r="P550" s="63" t="str"/>
      <x:c r="Q550" s="143"/>
      <x:c r="R550" s="143"/>
      <x:c r="S550" s="154" t="n">
        <x:v>-113.401529</x:v>
      </x:c>
      <x:c r="T550" s="154" t="n">
        <x:v>51.04176356</x:v>
      </x:c>
      <x:c r="U550" s="63" t="str">
        <x:v>reported</x:v>
      </x:c>
      <x:c r="V550" s="63" t="str">
        <x:v>ALBERTA_MAJOR_PROJECTS</x:v>
      </x:c>
      <x:c r="W550" s="63" t="str">
        <x:v>observed</x:v>
      </x:c>
      <x:c r="X550" s="155" t="n">
        <x:v>46265</x:v>
      </x:c>
      <x:c r="Y550" s="63" t="str">
        <x:v>https://www.majorprojects.alberta.ca/</x:v>
      </x:c>
    </x:row>
    <x:row r="551">
      <x:c r="A551" s="63" t="str">
        <x:v>ABMP_11777</x:v>
      </x:c>
      <x:c r="B551" s="63" t="str">
        <x:v>Westwood 7-12 Community High School Replacement</x:v>
      </x:c>
      <x:c r="C551" s="63" t="str">
        <x:v>Schools And Postsecondary</x:v>
      </x:c>
      <x:c r="D551" s="63" t="str">
        <x:v>inferred</x:v>
      </x:c>
      <x:c r="E551" s="63" t="str">
        <x:v>School</x:v>
      </x:c>
      <x:c r="F551" s="63" t="str">
        <x:v>Institutional</x:v>
      </x:c>
      <x:c r="G551" s="63" t="str">
        <x:v>Alberta Infrastructure</x:v>
      </x:c>
      <x:c r="H551" s="63" t="str">
        <x:v>Government Or Public Institution Signal</x:v>
      </x:c>
      <x:c r="I551" s="63" t="str">
        <x:v>inferred</x:v>
      </x:c>
      <x:c r="J551" s="63" t="str">
        <x:v>Wood Buffalo</x:v>
      </x:c>
      <x:c r="K551" s="63" t="str">
        <x:v>Proposed</x:v>
      </x:c>
      <x:c r="L551" s="143"/>
      <x:c r="M551" s="179"/>
      <x:c r="N551" s="179" t="n">
        <x:v>2029</x:v>
      </x:c>
      <x:c r="O551" s="63" t="str">
        <x:v>indeterminate_incomplete_schedule</x:v>
      </x:c>
      <x:c r="P551" s="63" t="str"/>
      <x:c r="Q551" s="143"/>
      <x:c r="R551" s="143"/>
      <x:c r="S551" s="154" t="n">
        <x:v>-111.454682</x:v>
      </x:c>
      <x:c r="T551" s="154" t="n">
        <x:v>56.728988</x:v>
      </x:c>
      <x:c r="U551" s="63" t="str">
        <x:v>approximate</x:v>
      </x:c>
      <x:c r="V551" s="63" t="str">
        <x:v>ALBERTA_MAJOR_PROJECTS</x:v>
      </x:c>
      <x:c r="W551" s="63" t="str">
        <x:v>observed</x:v>
      </x:c>
      <x:c r="X551" s="155" t="n">
        <x:v>46265</x:v>
      </x:c>
      <x:c r="Y551" s="63" t="str">
        <x:v>https://www.majorprojects.alberta.ca/</x:v>
      </x:c>
    </x:row>
    <x:row r="552">
      <x:c r="A552" s="63" t="str">
        <x:v>ABMP_11254</x:v>
      </x:c>
      <x:c r="B552" s="63" t="str">
        <x:v>�cole Bor�ale K-12 Replacement School</x:v>
      </x:c>
      <x:c r="C552" s="63" t="str">
        <x:v>Schools And Postsecondary</x:v>
      </x:c>
      <x:c r="D552" s="63" t="str">
        <x:v>inferred</x:v>
      </x:c>
      <x:c r="E552" s="63" t="str">
        <x:v>School</x:v>
      </x:c>
      <x:c r="F552" s="63" t="str">
        <x:v>Institutional</x:v>
      </x:c>
      <x:c r="G552" s="63" t="str">
        <x:v>Alberta Infrastructure</x:v>
      </x:c>
      <x:c r="H552" s="63" t="str">
        <x:v>Government Or Public Institution Signal</x:v>
      </x:c>
      <x:c r="I552" s="63" t="str">
        <x:v>inferred</x:v>
      </x:c>
      <x:c r="J552" s="63" t="str">
        <x:v>Wood Buffalo</x:v>
      </x:c>
      <x:c r="K552" s="63" t="str">
        <x:v>Proposed</x:v>
      </x:c>
      <x:c r="L552" s="143" t="n">
        <x:v>43500000</x:v>
      </x:c>
      <x:c r="M552" s="179"/>
      <x:c r="N552" s="179" t="n">
        <x:v>2029</x:v>
      </x:c>
      <x:c r="O552" s="63" t="str">
        <x:v>indeterminate_incomplete_schedule</x:v>
      </x:c>
      <x:c r="P552" s="63" t="str"/>
      <x:c r="Q552" s="143"/>
      <x:c r="R552" s="143"/>
      <x:c r="S552" s="154" t="n">
        <x:v>-111.378</x:v>
      </x:c>
      <x:c r="T552" s="154" t="n">
        <x:v>56.71204111</x:v>
      </x:c>
      <x:c r="U552" s="63" t="str">
        <x:v>reported</x:v>
      </x:c>
      <x:c r="V552" s="63" t="str">
        <x:v>ALBERTA_MAJOR_PROJECTS</x:v>
      </x:c>
      <x:c r="W552" s="63" t="str">
        <x:v>observed</x:v>
      </x:c>
      <x:c r="X552" s="155" t="n">
        <x:v>46265</x:v>
      </x:c>
      <x:c r="Y552" s="63" t="str">
        <x:v>https://www.majorprojects.alberta.ca/</x:v>
      </x:c>
    </x:row>
    <x:row r="553">
      <x:c r="A553" s="63" t="str">
        <x:v>ABMP_11255</x:v>
      </x:c>
      <x:c r="B553" s="63" t="str">
        <x:v>�cole Corinthia Park K-6 School</x:v>
      </x:c>
      <x:c r="C553" s="63" t="str">
        <x:v>Schools And Postsecondary</x:v>
      </x:c>
      <x:c r="D553" s="63" t="str">
        <x:v>inferred</x:v>
      </x:c>
      <x:c r="E553" s="63" t="str">
        <x:v>School</x:v>
      </x:c>
      <x:c r="F553" s="63" t="str">
        <x:v>Institutional</x:v>
      </x:c>
      <x:c r="G553" s="63" t="str">
        <x:v>Alberta Infrastructure</x:v>
      </x:c>
      <x:c r="H553" s="63" t="str">
        <x:v>Government Or Public Institution Signal</x:v>
      </x:c>
      <x:c r="I553" s="63" t="str">
        <x:v>inferred</x:v>
      </x:c>
      <x:c r="J553" s="63" t="str">
        <x:v>Leduc</x:v>
      </x:c>
      <x:c r="K553" s="63" t="str">
        <x:v>Under Construction</x:v>
      </x:c>
      <x:c r="L553" s="143" t="n">
        <x:v>14800000</x:v>
      </x:c>
      <x:c r="M553" s="179" t="n">
        <x:v>2025</x:v>
      </x:c>
      <x:c r="N553" s="179" t="n">
        <x:v>2026</x:v>
      </x:c>
      <x:c r="O553" s="63" t="str">
        <x:v>outside_window</x:v>
      </x:c>
      <x:c r="P553" s="63" t="str"/>
      <x:c r="Q553" s="143" t="n">
        <x:v>7400000</x:v>
      </x:c>
      <x:c r="R553" s="143" t="n">
        <x:v>0</x:v>
      </x:c>
      <x:c r="S553" s="154" t="n">
        <x:v>-113.547</x:v>
      </x:c>
      <x:c r="T553" s="154" t="n">
        <x:v>53.25106091</x:v>
      </x:c>
      <x:c r="U553" s="63" t="str">
        <x:v>reported</x:v>
      </x:c>
      <x:c r="V553" s="63" t="str">
        <x:v>ALBERTA_MAJOR_PROJECTS</x:v>
      </x:c>
      <x:c r="W553" s="63" t="str">
        <x:v>observed</x:v>
      </x:c>
      <x:c r="X553" s="155" t="n">
        <x:v>46265</x:v>
      </x:c>
      <x:c r="Y553" s="63" t="str">
        <x:v>https://www.majorprojects.alberta.ca/</x:v>
      </x:c>
    </x:row>
    <x:row r="554">
      <x:c r="A554" s="63" t="str">
        <x:v>ABMP_10942</x:v>
      </x:c>
      <x:c r="B554" s="63" t="str">
        <x:v>�cole Good Shepherd K-9 Replacement</x:v>
      </x:c>
      <x:c r="C554" s="63" t="str">
        <x:v>Schools And Postsecondary</x:v>
      </x:c>
      <x:c r="D554" s="63" t="str">
        <x:v>inferred</x:v>
      </x:c>
      <x:c r="E554" s="63" t="str">
        <x:v>School</x:v>
      </x:c>
      <x:c r="F554" s="63" t="str">
        <x:v>Institutional</x:v>
      </x:c>
      <x:c r="G554" s="63" t="str">
        <x:v>Alberta Infrastructure</x:v>
      </x:c>
      <x:c r="H554" s="63" t="str">
        <x:v>Government Or Public Institution Signal</x:v>
      </x:c>
      <x:c r="I554" s="63" t="str">
        <x:v>inferred</x:v>
      </x:c>
      <x:c r="J554" s="63" t="str">
        <x:v>Okotoks</x:v>
      </x:c>
      <x:c r="K554" s="63" t="str">
        <x:v>Under Construction</x:v>
      </x:c>
      <x:c r="L554" s="143" t="n">
        <x:v>62700000</x:v>
      </x:c>
      <x:c r="M554" s="179" t="n">
        <x:v>2025</x:v>
      </x:c>
      <x:c r="N554" s="179" t="n">
        <x:v>2027</x:v>
      </x:c>
      <x:c r="O554" s="63" t="str">
        <x:v>overlaps</x:v>
      </x:c>
      <x:c r="P554" s="63" t="str">
        <x:v>2027</x:v>
      </x:c>
      <x:c r="Q554" s="143" t="n">
        <x:v>20900000</x:v>
      </x:c>
      <x:c r="R554" s="143" t="n">
        <x:v>20900000</x:v>
      </x:c>
      <x:c r="S554" s="154" t="n">
        <x:v>-113.982</x:v>
      </x:c>
      <x:c r="T554" s="154" t="n">
        <x:v>50.73684325</x:v>
      </x:c>
      <x:c r="U554" s="63" t="str">
        <x:v>reported</x:v>
      </x:c>
      <x:c r="V554" s="63" t="str">
        <x:v>ALBERTA_MAJOR_PROJECTS</x:v>
      </x:c>
      <x:c r="W554" s="63" t="str">
        <x:v>observed</x:v>
      </x:c>
      <x:c r="X554" s="155" t="n">
        <x:v>46265</x:v>
      </x:c>
      <x:c r="Y554" s="63" t="str">
        <x:v>https://www.majorprojects.alberta.ca/</x:v>
      </x:c>
    </x:row>
    <x:row r="555">
      <x:c r="A555" s="63" t="str">
        <x:v>ABMP_11256</x:v>
      </x:c>
      <x:c r="B555" s="63" t="str">
        <x:v>�cole Mallaig K-12 Replacement School</x:v>
      </x:c>
      <x:c r="C555" s="63" t="str">
        <x:v>Schools And Postsecondary</x:v>
      </x:c>
      <x:c r="D555" s="63" t="str">
        <x:v>inferred</x:v>
      </x:c>
      <x:c r="E555" s="63" t="str">
        <x:v>School</x:v>
      </x:c>
      <x:c r="F555" s="63" t="str">
        <x:v>Institutional</x:v>
      </x:c>
      <x:c r="G555" s="63" t="str">
        <x:v>Alberta Infrastructure</x:v>
      </x:c>
      <x:c r="H555" s="63" t="str">
        <x:v>Government Or Public Institution Signal</x:v>
      </x:c>
      <x:c r="I555" s="63" t="str">
        <x:v>inferred</x:v>
      </x:c>
      <x:c r="J555" s="63" t="str">
        <x:v>St. Paul County No. 19</x:v>
      </x:c>
      <x:c r="K555" s="63" t="str">
        <x:v>Under Construction</x:v>
      </x:c>
      <x:c r="L555" s="143" t="n">
        <x:v>40300000</x:v>
      </x:c>
      <x:c r="M555" s="179" t="n">
        <x:v>2025</x:v>
      </x:c>
      <x:c r="N555" s="179" t="n">
        <x:v>2027</x:v>
      </x:c>
      <x:c r="O555" s="63" t="str">
        <x:v>overlaps</x:v>
      </x:c>
      <x:c r="P555" s="63" t="str">
        <x:v>2027</x:v>
      </x:c>
      <x:c r="Q555" s="143" t="n">
        <x:v>13433333.333333334</x:v>
      </x:c>
      <x:c r="R555" s="143" t="n">
        <x:v>13433333.333333334</x:v>
      </x:c>
      <x:c r="S555" s="154" t="n">
        <x:v>-111.36</x:v>
      </x:c>
      <x:c r="T555" s="154" t="n">
        <x:v>54.210168</x:v>
      </x:c>
      <x:c r="U555" s="63" t="str">
        <x:v>reported</x:v>
      </x:c>
      <x:c r="V555" s="63" t="str">
        <x:v>ALBERTA_MAJOR_PROJECTS</x:v>
      </x:c>
      <x:c r="W555" s="63" t="str">
        <x:v>observed</x:v>
      </x:c>
      <x:c r="X555" s="155" t="n">
        <x:v>46265</x:v>
      </x:c>
      <x:c r="Y555" s="63" t="str">
        <x:v>https://www.majorprojects.alberta.ca/</x:v>
      </x:c>
    </x:row>
  </x:sheetData>
  <x:mergeCells>
    <x:mergeCell ref="A1:Y2"/>
    <x:mergeCell ref="A3:Y3"/>
    <x:mergeCell ref="A12:Y12"/>
  </x:mergeCells>
  <x:pageMargins left="0.7" right="0.7" top="0.75" bottom="0.75" header="0.3" footer="0.3"/>
  <x:tableParts count="2">
    <x:tablePart xmlns:r="http://schemas.openxmlformats.org/officeDocument/2006/relationships" r:id="R20c9337497174d17"/>
    <x:tablePart xmlns:r="http://schemas.openxmlformats.org/officeDocument/2006/relationships" r:id="Rfb036825bce7481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47" hidden="0" customWidth="1"/>
    <x:col min="2" max="2" width="17" hidden="0" customWidth="1"/>
    <x:col min="3" max="3" width="16" hidden="0" customWidth="1"/>
    <x:col min="4" max="4" width="13" hidden="0" customWidth="1"/>
    <x:col min="5" max="5" width="17" hidden="0" customWidth="1"/>
    <x:col min="6" max="6" width="47" hidden="0" customWidth="1"/>
    <x:col min="7" max="7" width="53" hidden="0" customWidth="1"/>
    <x:col min="8" max="8" width="54" hidden="0" customWidth="1"/>
  </x:cols>
  <x:sheetData>
    <x:row r="1" ht="28" customHeight="1">
      <x:c r="A1" s="61" t="str">
        <x:v>Observed AESO data-centre power boundary</x:v>
      </x:c>
      <x:c r="B1" s="61"/>
      <x:c r="C1" s="61"/>
      <x:c r="D1" s="61"/>
      <x:c r="E1" s="61"/>
      <x:c r="F1" s="61"/>
      <x:c r="G1" s="61"/>
      <x:c r="H1" s="61"/>
    </x:row>
    <x:row r="2" ht="28" customHeight="1">
      <x:c r="A2" s="61"/>
      <x:c r="B2" s="61"/>
      <x:c r="C2" s="61"/>
      <x:c r="D2" s="61"/>
      <x:c r="E2" s="61"/>
      <x:c r="F2" s="61"/>
      <x:c r="G2" s="61"/>
      <x:c r="H2" s="61"/>
    </x:row>
    <x:row r="3" ht="21" customHeight="1">
      <x:c r="A3" s="62" t="str">
        <x:v>Requested load, Phase 1 allocation and executed contracts · separate from the AIIO MW scenario</x:v>
      </x:c>
      <x:c r="B3" s="62"/>
      <x:c r="C3" s="62"/>
      <x:c r="D3" s="62"/>
      <x:c r="E3" s="62"/>
      <x:c r="F3" s="62"/>
      <x:c r="G3" s="62"/>
      <x:c r="H3" s="62"/>
    </x:row>
    <x:row r="4">
      <x:c r="A4" s="63"/>
      <x:c r="B4" s="63"/>
      <x:c r="C4" s="63"/>
      <x:c r="D4" s="63"/>
      <x:c r="E4" s="63"/>
      <x:c r="F4" s="63"/>
      <x:c r="G4" s="63"/>
      <x:c r="H4" s="63"/>
    </x:row>
    <x:row r="5">
      <x:c r="A5" s="116" t="str">
        <x:v>Latest requested load (MW)</x:v>
      </x:c>
      <x:c r="B5" s="210" t="n">
        <x:f>C19</x:f>
        <x:v>20700</x:v>
      </x:c>
      <x:c r="C5" s="63"/>
      <x:c r="D5" s="201" t="str">
        <x:v>Connection requests are not contracts, forecasts or realized load and may include projects that do not proceed. Requested load, allocated limits, executed contracts, connected load and forecasts are different quantities. AESO's no-reinforcement statement applies only to its scoped 1,200 MW interim approach through 2028 on the existing transmission system. Additional transmission for the separate $50B counterfactual remains unknown pending locations, connection studies and a system needs assessment.</x:v>
      </x:c>
      <x:c r="E5" s="202"/>
      <x:c r="F5" s="202"/>
      <x:c r="G5" s="202"/>
      <x:c r="H5" s="203"/>
    </x:row>
    <x:row r="6">
      <x:c r="A6" s="116" t="str">
        <x:v>Phase 1 interim limit (MW)</x:v>
      </x:c>
      <x:c r="B6" s="211" t="n">
        <x:f>C20</x:f>
        <x:v>1200</x:v>
      </x:c>
      <x:c r="C6" s="63"/>
      <x:c r="D6" s="204"/>
      <x:c r="E6" s="60"/>
      <x:c r="F6" s="60"/>
      <x:c r="G6" s="60"/>
      <x:c r="H6" s="205"/>
    </x:row>
    <x:row r="7">
      <x:c r="A7" s="116" t="str">
        <x:v>Phase 1 allocated contracts (MW)</x:v>
      </x:c>
      <x:c r="B7" s="211" t="n">
        <x:f>C21</x:f>
        <x:v>1200</x:v>
      </x:c>
      <x:c r="C7" s="63"/>
      <x:c r="D7" s="204"/>
      <x:c r="E7" s="60"/>
      <x:c r="F7" s="60"/>
      <x:c r="G7" s="60"/>
      <x:c r="H7" s="205"/>
    </x:row>
    <x:row r="8">
      <x:c r="A8" s="116" t="str">
        <x:v>Executed contract sum (MW)</x:v>
      </x:c>
      <x:c r="B8" s="211" t="n">
        <x:f>SUM(C22:C23)</x:f>
        <x:v>1200</x:v>
      </x:c>
      <x:c r="C8" s="63"/>
      <x:c r="D8" s="204"/>
      <x:c r="E8" s="60"/>
      <x:c r="F8" s="60"/>
      <x:c r="G8" s="60"/>
      <x:c r="H8" s="205"/>
    </x:row>
    <x:row r="9">
      <x:c r="A9" s="116" t="str">
        <x:v>$50B additional transmission (MW)</x:v>
      </x:c>
      <x:c r="B9" s="212" t="str">
        <x:v>UNKNOWN</x:v>
      </x:c>
      <x:c r="C9" s="63"/>
      <x:c r="D9" s="204"/>
      <x:c r="E9" s="60"/>
      <x:c r="F9" s="60"/>
      <x:c r="G9" s="60"/>
      <x:c r="H9" s="205"/>
    </x:row>
    <x:row r="10">
      <x:c r="A10" s="116" t="str">
        <x:v>Phase 1 reconciliation</x:v>
      </x:c>
      <x:c r="B10" s="213" t="str">
        <x:f>IF(AND(B6=B7,B7=B8),"PASS","FAIL")</x:f>
        <x:v>PASS</x:v>
      </x:c>
      <x:c r="C10" s="63"/>
      <x:c r="D10" s="206"/>
      <x:c r="E10" s="207"/>
      <x:c r="F10" s="207"/>
      <x:c r="G10" s="207"/>
      <x:c r="H10" s="208"/>
    </x:row>
    <x:row r="11">
      <x:c r="A11" s="63"/>
      <x:c r="B11" s="63"/>
      <x:c r="C11" s="63"/>
      <x:c r="D11" s="63"/>
      <x:c r="E11" s="63"/>
      <x:c r="F11" s="63"/>
      <x:c r="G11" s="63"/>
      <x:c r="H11" s="63"/>
    </x:row>
    <x:row r="12">
      <x:c r="A12" s="63"/>
      <x:c r="B12" s="63"/>
      <x:c r="C12" s="63"/>
      <x:c r="D12" s="63"/>
      <x:c r="E12" s="63"/>
      <x:c r="F12" s="63"/>
      <x:c r="G12" s="63"/>
      <x:c r="H12" s="63"/>
    </x:row>
    <x:row r="13" ht="28" customHeight="1">
      <x:c r="A13" s="44" t="str">
        <x:v>Metric ID</x:v>
      </x:c>
      <x:c r="B13" s="84" t="str">
        <x:v>Period</x:v>
      </x:c>
      <x:c r="C13" s="84" t="str">
        <x:v>Value</x:v>
      </x:c>
      <x:c r="D13" s="84" t="str">
        <x:v>Unit</x:v>
      </x:c>
      <x:c r="E13" s="84" t="str">
        <x:v>Evidence status</x:v>
      </x:c>
      <x:c r="F13" s="84" t="str">
        <x:v>Source ID</x:v>
      </x:c>
      <x:c r="G13" s="84" t="str">
        <x:v>Source locator</x:v>
      </x:c>
      <x:c r="H13" s="45" t="str">
        <x:v>Source URL</x:v>
      </x:c>
    </x:row>
    <x:row r="14">
      <x:c r="A14" s="63" t="str">
        <x:v>AESO_DC_REQUESTED_LOAD</x:v>
      </x:c>
      <x:c r="B14" s="63" t="str">
        <x:v>2024-Q2</x:v>
      </x:c>
      <x:c r="C14" s="214" t="n">
        <x:v>5000</x:v>
      </x:c>
      <x:c r="D14" s="63" t="str">
        <x:v>MW</x:v>
      </x:c>
      <x:c r="E14" s="63" t="str">
        <x:v>observed</x:v>
      </x:c>
      <x:c r="F14" s="63" t="str">
        <x:v>AESO_DATA_CENTRE_UPDATE_2025_09</x:v>
      </x:c>
      <x:c r="G14" s="63" t="str">
        <x:v>page 1, Data Centre Cumulative Requested Load bar chart</x:v>
      </x:c>
      <x:c r="H14" s="63" t="str">
        <x:v>https://www.aeso.ca/assets/Uploads/grid/Data-Centre/AESO-Data-Centre-Update-September-2025.pdf</x:v>
      </x:c>
    </x:row>
    <x:row r="15">
      <x:c r="A15" s="63" t="str">
        <x:v>AESO_DC_REQUESTED_LOAD</x:v>
      </x:c>
      <x:c r="B15" s="63" t="str">
        <x:v>2024-Q3</x:v>
      </x:c>
      <x:c r="C15" s="214" t="n">
        <x:v>6400</x:v>
      </x:c>
      <x:c r="D15" s="63" t="str">
        <x:v>MW</x:v>
      </x:c>
      <x:c r="E15" s="63" t="str">
        <x:v>observed</x:v>
      </x:c>
      <x:c r="F15" s="63" t="str">
        <x:v>AESO_DATA_CENTRE_UPDATE_2025_09</x:v>
      </x:c>
      <x:c r="G15" s="63" t="str">
        <x:v>page 1, Data Centre Cumulative Requested Load bar chart</x:v>
      </x:c>
      <x:c r="H15" s="63" t="str">
        <x:v>https://www.aeso.ca/assets/Uploads/grid/Data-Centre/AESO-Data-Centre-Update-September-2025.pdf</x:v>
      </x:c>
    </x:row>
    <x:row r="16">
      <x:c r="A16" s="63" t="str">
        <x:v>AESO_DC_REQUESTED_LOAD</x:v>
      </x:c>
      <x:c r="B16" s="63" t="str">
        <x:v>2024-Q4</x:v>
      </x:c>
      <x:c r="C16" s="214" t="n">
        <x:v>10900</x:v>
      </x:c>
      <x:c r="D16" s="63" t="str">
        <x:v>MW</x:v>
      </x:c>
      <x:c r="E16" s="63" t="str">
        <x:v>observed</x:v>
      </x:c>
      <x:c r="F16" s="63" t="str">
        <x:v>AESO_DATA_CENTRE_UPDATE_2025_09</x:v>
      </x:c>
      <x:c r="G16" s="63" t="str">
        <x:v>page 1, Data Centre Cumulative Requested Load bar chart</x:v>
      </x:c>
      <x:c r="H16" s="63" t="str">
        <x:v>https://www.aeso.ca/assets/Uploads/grid/Data-Centre/AESO-Data-Centre-Update-September-2025.pdf</x:v>
      </x:c>
    </x:row>
    <x:row r="17">
      <x:c r="A17" s="63" t="str">
        <x:v>AESO_DC_REQUESTED_LOAD</x:v>
      </x:c>
      <x:c r="B17" s="63" t="str">
        <x:v>2025-Q1</x:v>
      </x:c>
      <x:c r="C17" s="214" t="n">
        <x:v>14600</x:v>
      </x:c>
      <x:c r="D17" s="63" t="str">
        <x:v>MW</x:v>
      </x:c>
      <x:c r="E17" s="63" t="str">
        <x:v>observed</x:v>
      </x:c>
      <x:c r="F17" s="63" t="str">
        <x:v>AESO_DATA_CENTRE_UPDATE_2025_09</x:v>
      </x:c>
      <x:c r="G17" s="63" t="str">
        <x:v>page 1, Data Centre Cumulative Requested Load bar chart</x:v>
      </x:c>
      <x:c r="H17" s="63" t="str">
        <x:v>https://www.aeso.ca/assets/Uploads/grid/Data-Centre/AESO-Data-Centre-Update-September-2025.pdf</x:v>
      </x:c>
    </x:row>
    <x:row r="18">
      <x:c r="A18" s="63" t="str">
        <x:v>AESO_DC_REQUESTED_LOAD</x:v>
      </x:c>
      <x:c r="B18" s="63" t="str">
        <x:v>2025-Q2</x:v>
      </x:c>
      <x:c r="C18" s="214" t="n">
        <x:v>19800</x:v>
      </x:c>
      <x:c r="D18" s="63" t="str">
        <x:v>MW</x:v>
      </x:c>
      <x:c r="E18" s="63" t="str">
        <x:v>observed</x:v>
      </x:c>
      <x:c r="F18" s="63" t="str">
        <x:v>AESO_DATA_CENTRE_UPDATE_2025_09</x:v>
      </x:c>
      <x:c r="G18" s="63" t="str">
        <x:v>page 1, Data Centre Cumulative Requested Load bar chart</x:v>
      </x:c>
      <x:c r="H18" s="63" t="str">
        <x:v>https://www.aeso.ca/assets/Uploads/grid/Data-Centre/AESO-Data-Centre-Update-September-2025.pdf</x:v>
      </x:c>
    </x:row>
    <x:row r="19">
      <x:c r="A19" s="63" t="str">
        <x:v>AESO_DC_REQUESTED_LOAD</x:v>
      </x:c>
      <x:c r="B19" s="63" t="str">
        <x:v>2025-Q3</x:v>
      </x:c>
      <x:c r="C19" s="214" t="n">
        <x:v>20700</x:v>
      </x:c>
      <x:c r="D19" s="63" t="str">
        <x:v>MW</x:v>
      </x:c>
      <x:c r="E19" s="63" t="str">
        <x:v>observed</x:v>
      </x:c>
      <x:c r="F19" s="63" t="str">
        <x:v>AESO_DATA_CENTRE_UPDATE_2025_09</x:v>
      </x:c>
      <x:c r="G19" s="63" t="str">
        <x:v>page 1, Data Centre Cumulative Requested Load bar chart</x:v>
      </x:c>
      <x:c r="H19" s="63" t="str">
        <x:v>https://www.aeso.ca/assets/Uploads/grid/Data-Centre/AESO-Data-Centre-Update-September-2025.pdf</x:v>
      </x:c>
    </x:row>
    <x:row r="20">
      <x:c r="A20" s="63" t="str">
        <x:v>AESO_PHASE1_INTERIM_LIMIT</x:v>
      </x:c>
      <x:c r="B20" s="63" t="str">
        <x:v>2025-06-04</x:v>
      </x:c>
      <x:c r="C20" s="214" t="n">
        <x:v>1200</x:v>
      </x:c>
      <x:c r="D20" s="63" t="str">
        <x:v>MW</x:v>
      </x:c>
      <x:c r="E20" s="63" t="str">
        <x:v>observed</x:v>
      </x:c>
      <x:c r="F20" s="63" t="str">
        <x:v>AESO_INTERIM_LARGE_LOAD_2025_06</x:v>
      </x:c>
      <x:c r="G20" s="63" t="str">
        <x:v>Managing Demand Responsibly, interim limit</x:v>
      </x:c>
      <x:c r="H20" s="63" t="str">
        <x:v>https://www.aeso.ca/aeso/newsroom/aeso-announces-interim-approach-to-large-load-connections/</x:v>
      </x:c>
    </x:row>
    <x:row r="21">
      <x:c r="A21" s="63" t="str">
        <x:v>AESO_PHASE1_ALLOCATED_LOAD_CONTRACTS</x:v>
      </x:c>
      <x:c r="B21" s="63" t="str">
        <x:v>2026-08-31</x:v>
      </x:c>
      <x:c r="C21" s="214" t="n">
        <x:v>1200</x:v>
      </x:c>
      <x:c r="D21" s="63" t="str">
        <x:v>MW</x:v>
      </x:c>
      <x:c r="E21" s="63" t="str">
        <x:v>observed</x:v>
      </x:c>
      <x:c r="F21" s="63" t="str">
        <x:v>AESO_LARGE_LOAD_PROJECTS</x:v>
      </x:c>
      <x:c r="G21" s="63" t="str">
        <x:v>Phase 1: Large Load Integration | Complete</x:v>
      </x:c>
      <x:c r="H21" s="63" t="str">
        <x:v>https://www.aeso.ca/grid/connecting-to-the-grid/large-load-projects/</x:v>
      </x:c>
    </x:row>
    <x:row r="22">
      <x:c r="A22" s="63" t="str">
        <x:v>AESO_P2936_EXECUTED_LOAD_CONTRACT</x:v>
      </x:c>
      <x:c r="B22" s="63" t="str">
        <x:v>2026-08-31</x:v>
      </x:c>
      <x:c r="C22" s="214" t="n">
        <x:v>970</x:v>
      </x:c>
      <x:c r="D22" s="63" t="str">
        <x:v>MW</x:v>
      </x:c>
      <x:c r="E22" s="63" t="str">
        <x:v>observed</x:v>
      </x:c>
      <x:c r="F22" s="63" t="str">
        <x:v>AESO_LARGE_LOAD_PROJECTS</x:v>
      </x:c>
      <x:c r="G22" s="63" t="str">
        <x:v>Phase 1 project list, P2936</x:v>
      </x:c>
      <x:c r="H22" s="63" t="str">
        <x:v>https://www.aeso.ca/grid/connecting-to-the-grid/large-load-projects/</x:v>
      </x:c>
    </x:row>
    <x:row r="23">
      <x:c r="A23" s="63" t="str">
        <x:v>AESO_P3083_EXECUTED_LOAD_CONTRACT</x:v>
      </x:c>
      <x:c r="B23" s="63" t="str">
        <x:v>2026-08-31</x:v>
      </x:c>
      <x:c r="C23" s="214" t="n">
        <x:v>230</x:v>
      </x:c>
      <x:c r="D23" s="63" t="str">
        <x:v>MW</x:v>
      </x:c>
      <x:c r="E23" s="63" t="str">
        <x:v>observed</x:v>
      </x:c>
      <x:c r="F23" s="63" t="str">
        <x:v>AESO_LARGE_LOAD_PROJECTS</x:v>
      </x:c>
      <x:c r="G23" s="63" t="str">
        <x:v>Phase 1 project list, P3083</x:v>
      </x:c>
      <x:c r="H23" s="63" t="str">
        <x:v>https://www.aeso.ca/grid/connecting-to-the-grid/large-load-projects/</x:v>
      </x:c>
    </x:row>
    <x:row r="24">
      <x:c r="A24" s="63"/>
      <x:c r="B24" s="63"/>
      <x:c r="C24" s="63"/>
      <x:c r="D24" s="63"/>
      <x:c r="E24" s="63"/>
      <x:c r="F24" s="63"/>
      <x:c r="G24" s="63"/>
      <x:c r="H24" s="63"/>
    </x:row>
    <x:row r="25">
      <x:c r="A25" s="63"/>
      <x:c r="B25" s="63"/>
      <x:c r="C25" s="63"/>
      <x:c r="D25" s="63"/>
      <x:c r="E25" s="63"/>
      <x:c r="F25" s="63"/>
      <x:c r="G25" s="63"/>
      <x:c r="H25" s="63"/>
    </x:row>
    <x:row r="26">
      <x:c r="A26" s="63"/>
      <x:c r="B26" s="63"/>
      <x:c r="C26" s="63"/>
      <x:c r="D26" s="63"/>
      <x:c r="E26" s="63"/>
      <x:c r="F26" s="63"/>
      <x:c r="G26" s="63"/>
      <x:c r="H26" s="63"/>
    </x:row>
    <x:row r="27">
      <x:c r="A27" s="63"/>
      <x:c r="B27" s="63"/>
      <x:c r="C27" s="63"/>
      <x:c r="D27" s="63"/>
      <x:c r="E27" s="63"/>
      <x:c r="F27" s="63"/>
      <x:c r="G27" s="63"/>
      <x:c r="H27" s="63"/>
    </x:row>
    <x:row r="28">
      <x:c r="A28" s="63"/>
      <x:c r="B28" s="63"/>
      <x:c r="C28" s="63"/>
      <x:c r="D28" s="63"/>
      <x:c r="E28" s="63"/>
      <x:c r="F28" s="63"/>
      <x:c r="G28" s="63"/>
      <x:c r="H28" s="63"/>
    </x:row>
  </x:sheetData>
  <x:mergeCells>
    <x:mergeCell ref="A1:H2"/>
    <x:mergeCell ref="A3:H3"/>
    <x:mergeCell ref="D5:H10"/>
  </x:mergeCells>
  <x:conditionalFormatting sqref="B10:B10">
    <x:cfRule type="containsText" dxfId="12" priority="1" operator="containsText" text="PASS"/>
    <x:cfRule type="containsText" dxfId="13" priority="2" operator="containsText" text="FAIL"/>
  </x:conditionalFormatting>
  <x:pageMargins left="0.7" right="0.7" top="0.75" bottom="0.75" header="0.3" footer="0.3"/>
  <x:tableParts count="1">
    <x:tablePart xmlns:r="http://schemas.openxmlformats.org/officeDocument/2006/relationships" r:id="R2c724a975d74471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0.6.0-dev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STATCAN_LFS_OCCUPATION_14100416</x:v>
      </x:c>
      <x:c r="B7" s="63" t="str">
        <x:v>Labour force characteristics by occupation, annual</x:v>
      </x:c>
      <x:c r="C7" s="63" t="str">
        <x:v>Statistics Canada</x:v>
      </x:c>
      <x:c r="D7" s="63" t="str">
        <x:v>Labour</x:v>
      </x:c>
      <x:c r="E7" s="63" t="str">
        <x:v>Canada; provinces and territories</x:v>
      </x:c>
      <x:c r="F7" s="155" t="n">
        <x:v>46031</x:v>
      </x:c>
      <x:c r="G7" s="63" t="str">
        <x:v>active</x:v>
      </x:c>
      <x:c r="H7" s="63" t="str">
        <x:v>https://www150.statcan.gc.ca/t1/tbl1/en/tv.action?pid=1410041601</x:v>
      </x:c>
    </x:row>
    <x:row r="8">
      <x:c r="A8" s="63" t="str">
        <x:v>STATCAN_CENSUS_OCCUPATION_98100449</x:v>
      </x:c>
      <x:c r="B8" s="63" t="str">
        <x:v>Occupation unit group by labour force status, highest level of education, age and gender</x:v>
      </x:c>
      <x:c r="C8" s="63" t="str">
        <x:v>Statistics Canada</x:v>
      </x:c>
      <x:c r="D8" s="63" t="str">
        <x:v>Labour</x:v>
      </x:c>
      <x:c r="E8" s="63" t="str">
        <x:v>Canada; provinces and territories</x:v>
      </x:c>
      <x:c r="F8" s="155" t="n">
        <x:v>44895</x:v>
      </x:c>
      <x:c r="G8" s="63" t="str">
        <x:v>active</x:v>
      </x:c>
      <x:c r="H8" s="63" t="str">
        <x:v>https://www150.statcan.gc.ca/t1/tbl1/en/tv.action?pid=9810044901</x:v>
      </x:c>
    </x:row>
    <x:row r="9">
      <x:c r="A9" s="63" t="str">
        <x:v>STATCAN_JVWS_14100444</x:v>
      </x:c>
      <x:c r="B9" s="63" t="str">
        <x:v>Job vacancies and average offered hourly wage by occupation (unit group), quarterly, unadjusted for seasonality</x:v>
      </x:c>
      <x:c r="C9" s="63" t="str">
        <x:v>Statistics Canada</x:v>
      </x:c>
      <x:c r="D9" s="63" t="str">
        <x:v>Labour</x:v>
      </x:c>
      <x:c r="E9" s="63" t="str">
        <x:v>Canada; provinces and territories</x:v>
      </x:c>
      <x:c r="F9" s="155" t="n">
        <x:v>46189</x:v>
      </x:c>
      <x:c r="G9" s="63" t="str">
        <x:v>active</x:v>
      </x:c>
      <x:c r="H9" s="63" t="str">
        <x:v>https://www150.statcan.gc.ca/t1/tbl1/en/tv.action?pid=1410044401</x:v>
      </x:c>
    </x:row>
    <x:row r="10">
      <x:c r="A10" s="63" t="str">
        <x:v>STATCAN_SUPPLY_USE_36100438</x:v>
      </x:c>
      <x:c r="B10" s="63" t="str">
        <x:v>Supply and use tables, summary level, provincial and territorial</x:v>
      </x:c>
      <x:c r="C10" s="63" t="str">
        <x:v>Statistics Canada</x:v>
      </x:c>
      <x:c r="D10" s="63" t="str">
        <x:v>Materials And Industry</x:v>
      </x:c>
      <x:c r="E10" s="63" t="str">
        <x:v>Canada; provinces and territories</x:v>
      </x:c>
      <x:c r="F10" s="155" t="n">
        <x:v>45967</x:v>
      </x:c>
      <x:c r="G10" s="63" t="str">
        <x:v>active</x:v>
      </x:c>
      <x:c r="H10" s="63" t="str">
        <x:v>https://www150.statcan.gc.ca/t1/tbl1/en/tv.action?pid=3610043801</x:v>
      </x:c>
    </x:row>
    <x:row r="11">
      <x:c r="A11" s="63" t="str">
        <x:v>ALBERTA_MAJOR_PROJECTS</x:v>
      </x:c>
      <x:c r="B11" s="63" t="str">
        <x:v>Alberta Major Projects inventory</x:v>
      </x:c>
      <x:c r="C11" s="63" t="str">
        <x:v>Government of Alberta</x:v>
      </x:c>
      <x:c r="D11" s="63" t="str">
        <x:v>Ai Capex And Public Projects</x:v>
      </x:c>
      <x:c r="E11" s="63" t="str">
        <x:v>Alberta</x:v>
      </x:c>
      <x:c r="F11" s="155" t="n">
        <x:v>46265</x:v>
      </x:c>
      <x:c r="G11" s="63" t="str">
        <x:v>candidate</x:v>
      </x:c>
      <x:c r="H11" s="63" t="str">
        <x:v>https://www.majorprojects.alberta.ca/</x:v>
      </x:c>
    </x:row>
    <x:row r="12">
      <x:c r="A12" s="63" t="str">
        <x:v>ALBERTA_MAJOR_PROJECTS_METHOD</x:v>
      </x:c>
      <x:c r="B12" s="63" t="str">
        <x:v>Alberta Major Projects methodology</x:v>
      </x:c>
      <x:c r="C12" s="63" t="str">
        <x:v>Government of Alberta</x:v>
      </x:c>
      <x:c r="D12" s="63" t="str">
        <x:v>Ai Capex And Public Projects</x:v>
      </x:c>
      <x:c r="E12" s="63" t="str">
        <x:v>Alberta</x:v>
      </x:c>
      <x:c r="F12" s="155" t="n">
        <x:v>46265</x:v>
      </x:c>
      <x:c r="G12" s="63" t="str">
        <x:v>active</x:v>
      </x:c>
      <x:c r="H12" s="63" t="str">
        <x:v>https://majorprojects.alberta.ca/methodology</x:v>
      </x:c>
    </x:row>
    <x:row r="13">
      <x:c r="A13" s="63" t="str">
        <x:v>AESO_LARGE_LOAD_PROJECTS</x:v>
      </x:c>
      <x:c r="B13" s="63" t="str">
        <x:v>Large Load Projects</x:v>
      </x:c>
      <x:c r="C13" s="63" t="str">
        <x:v>Alberta Electric System Operator</x:v>
      </x:c>
      <x:c r="D13" s="63" t="str">
        <x:v>Power</x:v>
      </x:c>
      <x:c r="E13" s="63" t="str">
        <x:v>Alberta interconnected electric system</x:v>
      </x:c>
      <x:c r="F13" s="155" t="n">
        <x:v>46265</x:v>
      </x:c>
      <x:c r="G13" s="63" t="str">
        <x:v>active</x:v>
      </x:c>
      <x:c r="H13" s="63" t="str">
        <x:v>https://www.aeso.ca/grid/connecting-to-the-grid/large-load-projects/</x:v>
      </x:c>
    </x:row>
    <x:row r="14">
      <x:c r="A14" s="63" t="str">
        <x:v>AESO_DATA_CENTRE_UPDATE_2025_09</x:v>
      </x:c>
      <x:c r="B14" s="63" t="str">
        <x:v>AESO Update on Data Centres, September 2025</x:v>
      </x:c>
      <x:c r="C14" s="63" t="str">
        <x:v>Alberta Electric System Operator</x:v>
      </x:c>
      <x:c r="D14" s="63" t="str">
        <x:v>Power</x:v>
      </x:c>
      <x:c r="E14" s="63" t="str">
        <x:v>Alberta interconnected electric system</x:v>
      </x:c>
      <x:c r="F14" s="155" t="n">
        <x:v>45926</x:v>
      </x:c>
      <x:c r="G14" s="63" t="str">
        <x:v>active</x:v>
      </x:c>
      <x:c r="H14" s="63" t="str">
        <x:v>https://www.aeso.ca/assets/Uploads/grid/Data-Centre/AESO-Data-Centre-Update-September-2025.pdf</x:v>
      </x:c>
    </x:row>
    <x:row r="15">
      <x:c r="A15" s="63" t="str">
        <x:v>AESO_INTERIM_LARGE_LOAD_2025_06</x:v>
      </x:c>
      <x:c r="B15" s="63" t="str">
        <x:v>AESO Announces Interim Approach to Large Load Connections</x:v>
      </x:c>
      <x:c r="C15" s="63" t="str">
        <x:v>Alberta Electric System Operator</x:v>
      </x:c>
      <x:c r="D15" s="63" t="str">
        <x:v>Power</x:v>
      </x:c>
      <x:c r="E15" s="63" t="str">
        <x:v>Alberta interconnected electric system</x:v>
      </x:c>
      <x:c r="F15" s="155" t="n">
        <x:v>45812</x:v>
      </x:c>
      <x:c r="G15" s="63" t="str">
        <x:v>active</x:v>
      </x:c>
      <x:c r="H15" s="63" t="str">
        <x:v>https://www.aeso.ca/aeso/newsroom/aeso-announces-interim-approach-to-large-load-connections/</x:v>
      </x:c>
    </x:row>
    <x:row r="16">
      <x:c r="A16" s="63" t="str">
        <x:v>AESO_LTO_2026_INPUTS</x:v>
      </x:c>
      <x:c r="B16" s="63" t="str">
        <x:v>2026 Long-Term Outlook input, assumptions and scenarios</x:v>
      </x:c>
      <x:c r="C16" s="63" t="str">
        <x:v>Alberta Electric System Operator</x:v>
      </x:c>
      <x:c r="D16" s="63" t="str">
        <x:v>Power</x:v>
      </x:c>
      <x:c r="E16" s="63" t="str">
        <x:v>Alberta interconnected electric system</x:v>
      </x:c>
      <x:c r="F16" s="155" t="n">
        <x:v>46259</x:v>
      </x:c>
      <x:c r="G16" s="63" t="str">
        <x:v>candidate</x:v>
      </x:c>
      <x:c r="H16" s="63" t="str">
        <x:v>https://aesoengage.aeso.ca/2026-long-term-outlook-plan</x:v>
      </x:c>
    </x:row>
    <x:row r="17">
      <x:c r="A17" t="str">
        <x:v>ALBERTA_AIT_DATA</x:v>
      </x:c>
      <x:c r="B17" t="str">
        <x:v>Apprenticeship and Industry Training data and research library</x:v>
      </x:c>
      <x:c r="C17" t="str">
        <x:v>Government of Alberta</x:v>
      </x:c>
      <x:c r="D17" t="str">
        <x:v>Labour</x:v>
      </x:c>
      <x:c r="E17" t="str">
        <x:v>Alberta</x:v>
      </x:c>
      <x:c r="F17" s="153" t="n">
        <x:v>46128</x:v>
      </x:c>
      <x:c r="G17" t="str">
        <x:v>active</x:v>
      </x:c>
      <x:c r="H17" t="str">
        <x:v>https://tradesecrets.alberta.ca/regulation-resources/data/</x:v>
      </x:c>
    </x:row>
  </x:sheetData>
  <x:mergeCells>
    <x:mergeCell ref="A1:H2"/>
    <x:mergeCell ref="A3:H3"/>
  </x:mergeCells>
  <x:pageMargins left="0.7" right="0.7" top="0.75" bottom="0.75" header="0.3" footer="0.3"/>
  <x:tableParts count="1">
    <x:tablePart xmlns:r="http://schemas.openxmlformats.org/officeDocument/2006/relationships" r:id="R4c185a9e9de947b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54"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0.6.0-dev</x:v>
      </x:c>
      <x:c r="C5" s="63"/>
      <x:c r="D5" s="63"/>
    </x:row>
    <x:row r="6">
      <x:c r="A6" s="72" t="str">
        <x:v>Release ID</x:v>
      </x:c>
      <x:c r="B6" s="63" t="str">
        <x:v>AIIO_RELEASE_0_6_0_DEV</x:v>
      </x:c>
      <x:c r="C6" s="63"/>
      <x:c r="D6" s="63"/>
    </x:row>
    <x:row r="7">
      <x:c r="A7" s="72" t="str">
        <x:v>Schema version</x:v>
      </x:c>
      <x:c r="B7" s="63" t="str">
        <x:v>1.3.0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217" t="str">
        <x:v>7ed419b95772334fc25724eeabc4fa60e7363528</x:v>
      </x:c>
      <x:c r="C11" s="63"/>
      <x:c r="D11" s="63"/>
    </x:row>
    <x:row r="12">
      <x:c r="A12" s="72" t="str">
        <x:v>Input manifest hash</x:v>
      </x:c>
      <x:c r="B12" s="217" t="str">
        <x:v>sha256:21559b99b94ed85ace15546adb4f31223b87ab825859da326233e58c5e27085f</x:v>
      </x:c>
      <x:c r="C12" s="63"/>
      <x:c r="D12" s="63"/>
    </x:row>
    <x:row r="13">
      <x:c r="A13" s="72" t="str">
        <x:v>Dirty worktree at build</x:v>
      </x:c>
      <x:c r="B13" s="218"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t="str">
        <x:v>Suppressed labour values remain flagged</x:v>
      </x:c>
      <x:c r="B23" s="63" t="str">
        <x:f>IF(COUNTIF('Labour Availability'!$O$5:$O$520,"FAIL")=0,"PASS","FAIL")</x:f>
        <x:v>PASS</x:v>
      </x:c>
      <x:c r="C23" s="63" t="str">
        <x:v>PASS</x:v>
      </x:c>
      <x:c r="D23" s="63"/>
    </x:row>
    <x:row r="24">
      <x:c r="A24" s="63" t="str">
        <x:v>Canada labour coverage reconciles to release</x:v>
      </x:c>
      <x:c r="B24" s="63" t="str">
        <x:f>IF(AND(COUNTIF('Labour Canada'!$I$5:$I$17,"FAIL")=0,COUNTIF('Labour Canada'!$Q$22:$Q$177,"FAIL")=0),"PASS","FAIL")</x:f>
        <x:v>PASS</x:v>
      </x:c>
      <x:c r="C24" s="63" t="str">
        <x:v>PASS</x:v>
      </x:c>
      <x:c r="D24" s="63"/>
    </x:row>
    <x:row r="25">
      <x:c r="A25" s="63" t="str">
        <x:v>Workforce stock coverage reconciles to release</x:v>
      </x:c>
      <x:c r="B25" s="63" t="str">
        <x:f>IF(AND(COUNTIF('Workforce Stock'!$J$5:$J$17,"FAIL")=0,COUNTIF('Workforce Stock'!$S$22:$S$99,"FAIL")=0),"PASS","FAIL")</x:f>
        <x:v>PASS</x:v>
      </x:c>
      <x:c r="C25" s="63" t="str">
        <x:v>PASS</x:v>
      </x:c>
      <x:c r="D25" s="63"/>
    </x:row>
    <x:row r="26">
      <x:c r="A26" s="63" t="str">
        <x:v>Cross-vintage diagnostic formulas reconcile</x:v>
      </x:c>
      <x:c r="B26" s="63" t="str">
        <x:f>IF(COUNTIF('Labour Diagnostic'!$N$13:$N$90,"FAIL")=0,"PASS","FAIL")</x:f>
        <x:v>PASS</x:v>
      </x:c>
      <x:c r="C26" s="63" t="str">
        <x:v>PASS</x:v>
      </x:c>
      <x:c r="D26" s="63"/>
    </x:row>
    <x:row r="27">
      <x:c r="A27" s="63" t="str">
        <x:v>Material-screen rows reconcile to release</x:v>
      </x:c>
      <x:c r="B27" s="63" t="str">
        <x:f>IF(ROWS('Material Screen'!$A$5:$A$36)=32,"PASS","FAIL")</x:f>
        <x:v>PASS</x:v>
      </x:c>
      <x:c r="C27" s="63" t="str">
        <x:v>PASS</x:v>
      </x:c>
      <x:c r="D27" s="63"/>
    </x:row>
    <x:row r="28">
      <x:c r="A28" s="63" t="str">
        <x:v>Project-exposure rows reconcile to release</x:v>
      </x:c>
      <x:c r="B28" s="63" t="str">
        <x:f>IF(AND(ROWS('Project Exposure'!$A$15:$A$555)=541,SUM('Project Exposure'!$B$5:$B$10)=541),"PASS","FAIL")</x:f>
        <x:v>PASS</x:v>
      </x:c>
      <x:c r="C28" s="63" t="str">
        <x:v>PASS</x:v>
      </x:c>
      <x:c r="D28" s="63"/>
    </x:row>
    <x:row r="29">
      <x:c r="A29" s="63" t="str">
        <x:v>Power evidence reconciles and transmission remains unknown</x:v>
      </x:c>
      <x:c r="B29" s="63" t="str">
        <x:f>IF(AND('Power Evidence'!B10="PASS",'Power Evidence'!B9="UNKNOWN"),"PASS","FAIL")</x:f>
        <x:v>PASS</x:v>
      </x:c>
      <x:c r="C29" s="63" t="str">
        <x:v>PASS</x:v>
      </x:c>
      <x:c r="D29" s="63"/>
    </x:row>
    <x:row r="30">
      <x:c r="A30" s="63"/>
      <x:c r="B30" s="63"/>
      <x:c r="C30" s="63"/>
      <x:c r="D30" s="63"/>
    </x:row>
    <x:row r="31">
      <x:c r="A31" s="63"/>
      <x:c r="B31" s="63"/>
      <x:c r="C31" s="63"/>
      <x:c r="D31" s="63"/>
    </x:row>
    <x:row r="32">
      <x:c r="A32" s="30" t="str">
        <x:v>A public release is blocked if any check returns FAIL, if the workbook and website manifests differ, or if assumptions/scenarios are presented as observations.</x:v>
      </x:c>
      <x:c r="B32" s="31"/>
      <x:c r="C32" s="31"/>
      <x:c r="D32" s="32"/>
    </x:row>
    <x:row r="33">
      <x:c r="A33" s="36"/>
      <x:c r="B33" s="37"/>
      <x:c r="C33" s="37"/>
      <x:c r="D33" s="38"/>
    </x:row>
    <x:row r="34">
      <x:c r="A34" s="63"/>
      <x:c r="B34" s="63"/>
      <x:c r="C34" s="63"/>
      <x:c r="D34" s="63"/>
    </x:row>
  </x:sheetData>
  <x:mergeCells>
    <x:mergeCell ref="A1:D2"/>
    <x:mergeCell ref="A3:D3"/>
    <x:mergeCell ref="A32:D33"/>
  </x:mergeCells>
  <x:conditionalFormatting sqref="B16:B29">
    <x:cfRule type="containsText" dxfId="14" priority="1" operator="containsText" text="PASS"/>
    <x:cfRule type="containsText" dxfId="15" priority="2" operator="containsText" text="FAIL"/>
  </x:conditionalFormatting>
  <x:pageMargins left="0.7" right="0.7" top="0.75" bottom="0.75" header="0.3" footer="0.3"/>
</x:worksheet>
</file>