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c4b479060394669" /></Relationships>
</file>

<file path=xl/workbook.xml><?xml version="1.0" encoding="utf-8"?>
<x:workbook xmlns:x="http://schemas.openxmlformats.org/spreadsheetml/2006/main">
  <x:sheets>
    <x:sheet xmlns:r="http://schemas.openxmlformats.org/officeDocument/2006/relationships" name="Read Me" sheetId="1" r:id="R0d4e872c235644a7"/>
    <x:sheet xmlns:r="http://schemas.openxmlformats.org/officeDocument/2006/relationships" name="Dashboard" sheetId="2" r:id="Rab1f61d6192e4a9b"/>
    <x:sheet xmlns:r="http://schemas.openxmlformats.org/officeDocument/2006/relationships" name="Assumptions" sheetId="3" r:id="Rd37dff8ee3344e60"/>
    <x:sheet xmlns:r="http://schemas.openxmlformats.org/officeDocument/2006/relationships" name="Scenario Timeline" sheetId="4" r:id="Ra15c64eaa8ea4f0b"/>
    <x:sheet xmlns:r="http://schemas.openxmlformats.org/officeDocument/2006/relationships" name="Pressure Results" sheetId="5" r:id="R076311cd419d4da4"/>
    <x:sheet xmlns:r="http://schemas.openxmlformats.org/officeDocument/2006/relationships" name="AI Projects" sheetId="6" r:id="Rf227769ae34048f5"/>
    <x:sheet xmlns:r="http://schemas.openxmlformats.org/officeDocument/2006/relationships" name="BCPI Data" sheetId="7" r:id="R1b778122a63647fb"/>
    <x:sheet xmlns:r="http://schemas.openxmlformats.org/officeDocument/2006/relationships" name="Sources" sheetId="8" r:id="R6f95ae7ef3974521"/>
    <x:sheet xmlns:r="http://schemas.openxmlformats.org/officeDocument/2006/relationships" name="Release Checks" sheetId="9" r:id="R46c52c0e7ba14120"/>
  </x:sheets>
</x:workbook>
</file>

<file path=xl/comments1.xml><?xml version="1.0" encoding="utf-8"?>
<x:comments xmlns:x="http://schemas.openxmlformats.org/spreadsheetml/2006/main">
  <x:authors>
    <x:author>tc={1D346626-228D-40F3-91DC-194842421E8E}</x:author>
    <x:author>tc={9D33B9E2-00E7-409A-B22C-123508320431}</x:author>
    <x:author>tc={0B5F9ABD-62F9-41E1-B423-1173D00B61FF}</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Scenario-only input. This is not a forecast or a total of committed projects.</x:t>
        </x:r>
      </x:text>
    </x:comment>
    <x:comment ref="B10" authorId="1">
      <x:text>
        <x:r>
          <x:t>[Threaded comment]
Your version of Excel allows you to read this threaded comment; however, any edits to it will get removed if the file is opened in a newer version of Excel. Learn more: https://go.microsoft.com/fwlink/?linkid=870924
Comment:
    Assumed share of locally captured construction and service demand. Test through sensitivity analysis before interpretation.</x:t>
        </x:r>
      </x:text>
    </x:comment>
    <x:comment ref="D25" authorId="2">
      <x:text>
        <x:r>
          <x:t>[Threaded comment]
Your version of Excel allows you to read this threaded comment; however, any edits to it will get removed if the file is opened in a newer version of Excel. Learn more: https://go.microsoft.com/fwlink/?linkid=870924
Comment:
    IT load is an independent power-case assumption. It is not derived from capital expenditure.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
    <x:numFmt numFmtId="201" formatCode="0.0%"/>
    <x:numFmt numFmtId="202" formatCode="#,##0"/>
    <x:numFmt numFmtId="203" formatCode="0.00"/>
    <x:numFmt numFmtId="204" formatCode="#,##0.0"/>
    <x:numFmt numFmtId="205" formatCode="0.000"/>
    <x:numFmt numFmtId="206" formatCode="0.0000"/>
    <x:numFmt numFmtId="207" formatCode="yyyy-mm-dd"/>
    <x:numFmt numFmtId="208" formatCode="0.0"/>
    <x:numFmt numFmtId="209" formatCode="$0.00&quot;B&quot;"/>
    <x:numFmt numFmtId="210" formatCode="0"/>
    <x:numFmt numFmtId="211" formatCode="0.00&quot; GW&quot;"/>
    <x:numFmt numFmtId="212" formatCode="$0.0"/>
  </x:numFmts>
  <x:fonts count="17">
    <x:font>
      <x:sz val="11"/>
      <x:name val="Carlito"/>
    </x:font>
    <x:font>
      <x:b/>
      <x:sz val="22"/>
      <x:color rgb="FFFFFFFF"/>
      <x:name val="Aptos Display"/>
    </x:font>
    <x:font>
      <x:sz val="10"/>
      <x:color rgb="FFB7D9D2"/>
      <x:name val="Carlito"/>
    </x:font>
    <x:font>
      <x:b/>
      <x:sz val="11"/>
      <x:color rgb="FFFFFFFF"/>
      <x:name val="Carlito"/>
    </x:font>
    <x:font>
      <x:sz val="10"/>
      <x:color rgb="FF667873"/>
      <x:name val="Carlito"/>
    </x:font>
    <x:font>
      <x:b/>
      <x:sz val="10"/>
      <x:color rgb="FFFFFFFF"/>
      <x:name val="Carlito"/>
    </x:font>
    <x:font>
      <x:b/>
      <x:sz val="11"/>
      <x:name val="Carlito"/>
    </x:font>
    <x:font>
      <x:b/>
      <x:sz val="11"/>
      <x:color rgb="FF155D58"/>
      <x:name val="Carlito"/>
    </x:font>
    <x:font>
      <x:sz val="11"/>
      <x:color rgb="FF7B4529"/>
      <x:name val="Carlito"/>
    </x:font>
    <x:font>
      <x:sz val="11"/>
      <x:color rgb="FF0070C0"/>
      <x:name val="Carlito"/>
    </x:font>
    <x:font>
      <x:b/>
      <x:sz val="11"/>
      <x:color rgb="FF17343D"/>
      <x:name val="Carlito"/>
    </x:font>
    <x:font>
      <x:sz val="11"/>
      <x:color rgb="FF8A4826"/>
      <x:name val="Carlito"/>
    </x:font>
    <x:font>
      <x:sz val="9"/>
      <x:color rgb="FF667873"/>
      <x:name val="Aptos Mono"/>
    </x:font>
    <x:font>
      <x:b/>
      <x:sz val="9"/>
      <x:color rgb="FF155D58"/>
      <x:name val="Carlito"/>
    </x:font>
    <x:font>
      <x:b/>
      <x:sz val="21"/>
      <x:color rgb="FF17343D"/>
      <x:name val="Carlito"/>
    </x:font>
    <x:font>
      <x:sz val="10"/>
      <x:color rgb="FF7B4529"/>
      <x:name val="Carlito"/>
    </x:font>
    <x:font>
      <x:sz val="8"/>
      <x:color rgb="FF667873"/>
      <x:name val="Aptos Mono"/>
    </x:font>
  </x:fonts>
  <x:fills count="11">
    <x:fill>
      <x:patternFill patternType="none"/>
    </x:fill>
    <x:fill>
      <x:patternFill patternType="gray125"/>
    </x:fill>
    <x:fill>
      <x:patternFill patternType="solid">
        <x:fgColor rgb="FF0B2A36"/>
      </x:patternFill>
    </x:fill>
    <x:fill>
      <x:patternFill patternType="solid">
        <x:fgColor rgb="FF123746"/>
      </x:patternFill>
    </x:fill>
    <x:fill>
      <x:patternFill patternType="solid">
        <x:fgColor rgb="FF155D58"/>
      </x:patternFill>
    </x:fill>
    <x:fill>
      <x:patternFill patternType="solid">
        <x:fgColor rgb="FFEBEEE8"/>
      </x:patternFill>
    </x:fill>
    <x:fill>
      <x:patternFill patternType="solid">
        <x:fgColor rgb="FFD66B35"/>
      </x:patternFill>
    </x:fill>
    <x:fill>
      <x:patternFill patternType="solid">
        <x:fgColor rgb="FFFFF0E4"/>
      </x:patternFill>
    </x:fill>
    <x:fill>
      <x:patternFill patternType="solid">
        <x:fgColor rgb="FFEAF3F8"/>
      </x:patternFill>
    </x:fill>
    <x:fill>
      <x:patternFill patternType="solid">
        <x:fgColor rgb="FFDDEDE8"/>
      </x:patternFill>
    </x:fill>
    <x:fill>
      <x:patternFill patternType="solid">
        <x:fgColor rgb="FFFFFFFF"/>
      </x:patternFill>
    </x:fill>
  </x:fills>
  <x:borders count="43">
    <x:border/>
    <x:border>
      <x:left style="thin">
        <x:color rgb="FFD3DCD6"/>
      </x:left>
      <x:top style="thin">
        <x:color rgb="FFD3DCD6"/>
      </x:top>
    </x:border>
    <x:border>
      <x:top style="thin">
        <x:color rgb="FFD3DCD6"/>
      </x:top>
    </x:border>
    <x:border>
      <x:right style="thin">
        <x:color rgb="FFD3DCD6"/>
      </x:right>
      <x:top style="thin">
        <x:color rgb="FFD3DCD6"/>
      </x:top>
    </x:border>
    <x:border>
      <x:left style="thin">
        <x:color rgb="FFD3DCD6"/>
      </x:left>
    </x:border>
    <x:border>
      <x:right style="thin">
        <x:color rgb="FFD3DCD6"/>
      </x:right>
    </x:border>
    <x:border>
      <x:left style="thin">
        <x:color rgb="FFD3DCD6"/>
      </x:left>
      <x:bottom style="thin">
        <x:color rgb="FFD3DCD6"/>
      </x:bottom>
    </x:border>
    <x:border>
      <x:bottom style="thin">
        <x:color rgb="FFD3DCD6"/>
      </x:bottom>
    </x:border>
    <x:border>
      <x:right style="thin">
        <x:color rgb="FFD3DCD6"/>
      </x:right>
      <x:bottom style="thin">
        <x:color rgb="FFD3DCD6"/>
      </x:bottom>
    </x:border>
    <x:border>
      <x:right style="thin">
        <x:color rgb="FF79A9A0"/>
      </x:right>
    </x:border>
    <x:border>
      <x:left style="thin">
        <x:color rgb="FF79A9A0"/>
      </x:left>
    </x:border>
    <x:border>
      <x:right style="thin">
        <x:color rgb="FFD3DCD6"/>
      </x:right>
      <x:top style="thin">
        <x:color rgb="FFD3DCD6"/>
      </x:top>
      <x:bottom style="thin">
        <x:color rgb="FFD3DCD6"/>
      </x:bottom>
    </x:border>
    <x:border>
      <x:left style="thin">
        <x:color rgb="FFD3DCD6"/>
      </x:left>
      <x:top style="thin">
        <x:color rgb="FFD3DCD6"/>
      </x:top>
      <x:bottom style="thin">
        <x:color rgb="FFD3DCD6"/>
      </x:bottom>
    </x:border>
    <x:border>
      <x:left style="thin">
        <x:color rgb="FFB7CDD9"/>
      </x:left>
      <x:right style="thin">
        <x:color rgb="FFB7CDD9"/>
      </x:right>
      <x:top style="thin">
        <x:color rgb="FFB7CDD9"/>
      </x:top>
    </x:border>
    <x:border>
      <x:left style="thin">
        <x:color rgb="FFB7CDD9"/>
      </x:left>
      <x:right style="thin">
        <x:color rgb="FFB7CDD9"/>
      </x:right>
    </x:border>
    <x:border>
      <x:left style="thin">
        <x:color rgb="FFB7CDD9"/>
      </x:left>
      <x:right style="thin">
        <x:color rgb="FFB7CDD9"/>
      </x:right>
      <x:bottom style="thin">
        <x:color rgb="FFB7CDD9"/>
      </x:bottom>
    </x:border>
    <x:border>
      <x:left style="thin">
        <x:color rgb="FF79A9A0"/>
      </x:left>
      <x:right style="thin">
        <x:color rgb="FF79A9A0"/>
      </x:right>
    </x:border>
    <x:border>
      <x:bottom style="double">
        <x:color rgb="FF2F8F83"/>
      </x:bottom>
    </x:border>
    <x:border>
      <x:left style="thin">
        <x:color rgb="FFB7CDD9"/>
      </x:left>
      <x:top style="thin">
        <x:color rgb="FFB7CDD9"/>
      </x:top>
    </x:border>
    <x:border>
      <x:top style="thin">
        <x:color rgb="FFB7CDD9"/>
      </x:top>
    </x:border>
    <x:border>
      <x:right style="thin">
        <x:color rgb="FFB7CDD9"/>
      </x:right>
      <x:top style="thin">
        <x:color rgb="FFB7CDD9"/>
      </x:top>
    </x:border>
    <x:border>
      <x:left style="thin">
        <x:color rgb="FFB7CDD9"/>
      </x:left>
    </x:border>
    <x:border>
      <x:right style="thin">
        <x:color rgb="FFB7CDD9"/>
      </x:right>
    </x:border>
    <x:border>
      <x:left style="thin">
        <x:color rgb="FFB7CDD9"/>
      </x:left>
      <x:bottom style="thin">
        <x:color rgb="FFB7CDD9"/>
      </x:bottom>
    </x:border>
    <x:border>
      <x:bottom style="thin">
        <x:color rgb="FFB7CDD9"/>
      </x:bottom>
    </x:border>
    <x:border>
      <x:right style="thin">
        <x:color rgb="FFB7CDD9"/>
      </x:right>
      <x:bottom style="thin">
        <x:color rgb="FFB7CDD9"/>
      </x:bottom>
    </x:border>
    <x:border>
      <x:left style="thin">
        <x:color rgb="FFB9CEC7"/>
      </x:left>
      <x:top style="thin">
        <x:color rgb="FFB9CEC7"/>
      </x:top>
      <x:bottom style="thin">
        <x:color rgb="FFB9CEC7"/>
      </x:bottom>
    </x:border>
    <x:border>
      <x:top style="thin">
        <x:color rgb="FFB9CEC7"/>
      </x:top>
      <x:bottom style="thin">
        <x:color rgb="FFB9CEC7"/>
      </x:bottom>
    </x:border>
    <x:border>
      <x:right style="thin">
        <x:color rgb="FFB9CEC7"/>
      </x:right>
      <x:top style="thin">
        <x:color rgb="FFB9CEC7"/>
      </x:top>
      <x:bottom style="thin">
        <x:color rgb="FFB9CEC7"/>
      </x:bottom>
    </x:border>
    <x:border>
      <x:left style="thin">
        <x:color rgb="FFB9CEC7"/>
      </x:left>
      <x:top style="thin">
        <x:color rgb="FFB9CEC7"/>
      </x:top>
    </x:border>
    <x:border>
      <x:top style="thin">
        <x:color rgb="FFB9CEC7"/>
      </x:top>
    </x:border>
    <x:border>
      <x:right style="thin">
        <x:color rgb="FFB9CEC7"/>
      </x:right>
      <x:top style="thin">
        <x:color rgb="FFB9CEC7"/>
      </x:top>
    </x:border>
    <x:border>
      <x:left style="thin">
        <x:color rgb="FFB9CEC7"/>
      </x:left>
      <x:bottom style="thin">
        <x:color rgb="FFB9CEC7"/>
      </x:bottom>
    </x:border>
    <x:border>
      <x:bottom style="thin">
        <x:color rgb="FFB9CEC7"/>
      </x:bottom>
    </x:border>
    <x:border>
      <x:right style="thin">
        <x:color rgb="FFB9CEC7"/>
      </x:right>
      <x:bottom style="thin">
        <x:color rgb="FFB9CEC7"/>
      </x:bottom>
    </x:border>
    <x:border>
      <x:left style="thin">
        <x:color rgb="FFE1B48E"/>
      </x:left>
      <x:top style="thin">
        <x:color rgb="FFE1B48E"/>
      </x:top>
    </x:border>
    <x:border>
      <x:top style="thin">
        <x:color rgb="FFE1B48E"/>
      </x:top>
    </x:border>
    <x:border>
      <x:right style="thin">
        <x:color rgb="FFE1B48E"/>
      </x:right>
      <x:top style="thin">
        <x:color rgb="FFE1B48E"/>
      </x:top>
    </x:border>
    <x:border>
      <x:left style="thin">
        <x:color rgb="FFE1B48E"/>
      </x:left>
    </x:border>
    <x:border>
      <x:right style="thin">
        <x:color rgb="FFE1B48E"/>
      </x:right>
    </x:border>
    <x:border>
      <x:left style="thin">
        <x:color rgb="FFE1B48E"/>
      </x:left>
      <x:bottom style="thin">
        <x:color rgb="FFE1B48E"/>
      </x:bottom>
    </x:border>
    <x:border>
      <x:bottom style="thin">
        <x:color rgb="FFE1B48E"/>
      </x:bottom>
    </x:border>
    <x:border>
      <x:right style="thin">
        <x:color rgb="FFE1B48E"/>
      </x:right>
      <x:bottom style="thin">
        <x:color rgb="FFE1B48E"/>
      </x:bottom>
    </x:border>
  </x:borders>
  <x:cellStyleXfs count="1">
    <x:xf numFmtId="0" fontId="0" fillId="0" borderId="0"/>
  </x:cellStyleXfs>
  <x:cellXfs count="2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5" fillId="4" borderId="0"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9" xfId="0" applyNumberFormat="1" applyFont="1" applyFill="1" applyBorder="1" applyAlignment="1">
      <x:alignment wrapText="1"/>
    </x:xf>
    <x:xf numFmtId="0" fontId="5" fillId="4" borderId="10" xfId="0" applyNumberFormat="1" applyFont="1" applyFill="1" applyBorder="1" applyAlignment="1">
      <x:alignment wrapText="1"/>
    </x:xf>
    <x:xf numFmtId="0" fontId="5" fillId="4" borderId="9"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6" fillId="0" borderId="0" xfId="0" applyNumberFormat="1" applyFont="1" applyFill="1" applyBorder="1"/>
    <x:xf numFmtId="0" fontId="6" fillId="0" borderId="8" xfId="0" applyNumberFormat="1" applyFont="1" applyFill="1" applyBorder="1"/>
    <x:xf numFmtId="0" fontId="0" fillId="0" borderId="6" xfId="0" applyNumberFormat="1" applyFont="1" applyFill="1" applyBorder="1"/>
    <x:xf numFmtId="0" fontId="6" fillId="0" borderId="11" xfId="0" applyNumberFormat="1" applyFont="1" applyFill="1" applyBorder="1"/>
    <x:xf numFmtId="0" fontId="0" fillId="0" borderId="12" xfId="0" applyNumberFormat="1" applyFont="1" applyFill="1" applyBorder="1"/>
    <x:xf numFmtId="0" fontId="6" fillId="0" borderId="3" xfId="0" applyNumberFormat="1" applyFont="1" applyFill="1" applyBorder="1"/>
    <x:xf numFmtId="0" fontId="0" fillId="0" borderId="1" xfId="0" applyNumberFormat="1" applyFont="1" applyFill="1" applyBorder="1"/>
    <x:xf numFmtId="0" fontId="7"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6" fillId="0" borderId="8" xfId="0" applyNumberFormat="1" applyFont="1" applyFill="1" applyBorder="1" applyAlignment="1">
      <x:alignment wrapText="1"/>
    </x:xf>
    <x:xf numFmtId="0" fontId="0" fillId="0" borderId="6" xfId="0" applyNumberFormat="1" applyFont="1" applyFill="1" applyBorder="1" applyAlignment="1">
      <x:alignment wrapText="1"/>
    </x:xf>
    <x:xf numFmtId="0" fontId="6"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6"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x:xf numFmtId="0" fontId="9" fillId="8" borderId="13" xfId="0" applyNumberFormat="1" applyFont="1" applyFill="1" applyBorder="1"/>
    <x:xf numFmtId="0" fontId="9" fillId="8" borderId="14" xfId="0" applyNumberFormat="1" applyFont="1" applyFill="1" applyBorder="1"/>
    <x:xf numFmtId="0" fontId="9" fillId="8" borderId="15" xfId="0" applyNumberFormat="1" applyFont="1" applyFill="1" applyBorder="1"/>
    <x:xf numFmtId="200" fontId="9" fillId="8" borderId="13" xfId="0" applyNumberFormat="1" applyFont="1" applyFill="1" applyBorder="1"/>
    <x:xf numFmtId="201" fontId="9" fillId="8" borderId="15" xfId="0" applyNumberFormat="1" applyFont="1" applyFill="1" applyBorder="1"/>
    <x:xf numFmtId="0" fontId="10" fillId="0" borderId="0" xfId="0" applyNumberFormat="1" applyFont="1" applyFill="1" applyBorder="1"/>
    <x:xf numFmtId="0" fontId="5" fillId="4" borderId="16" xfId="0" applyNumberFormat="1" applyFont="1" applyFill="1" applyBorder="1"/>
    <x:xf numFmtId="0" fontId="5" fillId="4" borderId="16" xfId="0" applyNumberFormat="1" applyFont="1" applyFill="1" applyBorder="1" applyAlignment="1">
      <x:alignment wrapText="1"/>
    </x:xf>
    <x:xf numFmtId="0" fontId="5" fillId="4" borderId="16" xfId="0" applyNumberFormat="1" applyFont="1" applyFill="1" applyBorder="1" applyAlignment="1">
      <x:alignment vertical="center" wrapText="1"/>
    </x:xf>
    <x:xf numFmtId="201" fontId="9" fillId="8" borderId="13" xfId="0" applyNumberFormat="1" applyFont="1" applyFill="1" applyBorder="1"/>
    <x:xf numFmtId="201" fontId="9" fillId="8" borderId="14" xfId="0" applyNumberFormat="1" applyFont="1" applyFill="1" applyBorder="1"/>
    <x:xf numFmtId="201" fontId="0" fillId="0" borderId="0" xfId="0" applyNumberFormat="1" applyFont="1" applyFill="1" applyBorder="1"/>
    <x:xf numFmtId="201" fontId="0" fillId="5" borderId="0" xfId="0" applyNumberFormat="1" applyFont="1" applyFill="1" applyBorder="1"/>
    <x:xf numFmtId="0" fontId="10" fillId="5" borderId="0" xfId="0" applyNumberFormat="1" applyFont="1" applyFill="1" applyBorder="1"/>
    <x:xf numFmtId="201" fontId="10" fillId="5" borderId="0" xfId="0" applyNumberFormat="1" applyFont="1" applyFill="1" applyBorder="1"/>
    <x:xf numFmtId="0" fontId="10" fillId="5" borderId="17" xfId="0" applyNumberFormat="1" applyFont="1" applyFill="1" applyBorder="1"/>
    <x:xf numFmtId="201" fontId="10" fillId="5" borderId="17" xfId="0" applyNumberFormat="1" applyFont="1" applyFill="1" applyBorder="1"/>
    <x:xf numFmtId="0" fontId="9" fillId="8" borderId="18" xfId="0" applyNumberFormat="1" applyFont="1" applyFill="1" applyBorder="1"/>
    <x:xf numFmtId="0" fontId="9" fillId="8" borderId="19" xfId="0" applyNumberFormat="1" applyFont="1" applyFill="1" applyBorder="1"/>
    <x:xf numFmtId="0" fontId="9" fillId="8" borderId="20" xfId="0" applyNumberFormat="1" applyFont="1" applyFill="1" applyBorder="1"/>
    <x:xf numFmtId="0" fontId="9" fillId="8" borderId="21" xfId="0" applyNumberFormat="1" applyFont="1" applyFill="1" applyBorder="1"/>
    <x:xf numFmtId="0" fontId="9" fillId="8" borderId="22" xfId="0" applyNumberFormat="1" applyFont="1" applyFill="1" applyBorder="1"/>
    <x:xf numFmtId="0" fontId="9" fillId="8" borderId="23" xfId="0" applyNumberFormat="1" applyFont="1" applyFill="1" applyBorder="1"/>
    <x:xf numFmtId="0" fontId="9" fillId="8" borderId="24" xfId="0" applyNumberFormat="1" applyFont="1" applyFill="1" applyBorder="1"/>
    <x:xf numFmtId="0" fontId="9" fillId="8" borderId="25" xfId="0" applyNumberFormat="1" applyFont="1" applyFill="1" applyBorder="1"/>
    <x:xf numFmtId="202" fontId="9" fillId="8" borderId="18" xfId="0" applyNumberFormat="1" applyFont="1" applyFill="1" applyBorder="1"/>
    <x:xf numFmtId="202" fontId="9" fillId="8" borderId="21" xfId="0" applyNumberFormat="1" applyFont="1" applyFill="1" applyBorder="1"/>
    <x:xf numFmtId="202" fontId="9" fillId="8" borderId="23" xfId="0" applyNumberFormat="1" applyFont="1" applyFill="1" applyBorder="1"/>
    <x:xf numFmtId="201" fontId="9" fillId="8" borderId="19" xfId="0" applyNumberFormat="1" applyFont="1" applyFill="1" applyBorder="1"/>
    <x:xf numFmtId="201" fontId="9" fillId="8" borderId="20" xfId="0" applyNumberFormat="1" applyFont="1" applyFill="1" applyBorder="1"/>
    <x:xf numFmtId="201" fontId="9" fillId="8" borderId="0" xfId="0" applyNumberFormat="1" applyFont="1" applyFill="1" applyBorder="1"/>
    <x:xf numFmtId="201" fontId="9" fillId="8" borderId="22" xfId="0" applyNumberFormat="1" applyFont="1" applyFill="1" applyBorder="1"/>
    <x:xf numFmtId="201" fontId="9" fillId="8" borderId="24" xfId="0" applyNumberFormat="1" applyFont="1" applyFill="1" applyBorder="1"/>
    <x:xf numFmtId="201" fontId="9" fillId="8" borderId="25" xfId="0" applyNumberFormat="1" applyFont="1" applyFill="1" applyBorder="1"/>
    <x:xf numFmtId="203" fontId="9" fillId="8" borderId="19" xfId="0" applyNumberFormat="1" applyFont="1" applyFill="1" applyBorder="1"/>
    <x:xf numFmtId="203" fontId="9" fillId="8" borderId="0" xfId="0" applyNumberFormat="1" applyFont="1" applyFill="1" applyBorder="1"/>
    <x:xf numFmtId="203" fontId="9" fillId="8" borderId="24" xfId="0" applyNumberFormat="1" applyFont="1" applyFill="1" applyBorder="1"/>
    <x:xf numFmtId="204" fontId="0" fillId="0" borderId="0" xfId="0" applyNumberFormat="1" applyFont="1" applyFill="1" applyBorder="1"/>
    <x:xf numFmtId="200" fontId="9" fillId="8" borderId="14" xfId="0" applyNumberFormat="1" applyFont="1" applyFill="1" applyBorder="1"/>
    <x:xf numFmtId="200" fontId="9" fillId="8" borderId="15" xfId="0" applyNumberFormat="1" applyFont="1" applyFill="1" applyBorder="1"/>
    <x:xf numFmtId="0" fontId="10" fillId="0" borderId="0" xfId="0" applyNumberFormat="1" applyFont="1" applyFill="1" applyBorder="1" applyAlignment="1">
      <x:alignment wrapText="1"/>
    </x:xf>
    <x:xf numFmtId="200" fontId="9" fillId="8" borderId="13" xfId="0" applyNumberFormat="1" applyFont="1" applyFill="1" applyBorder="1" applyAlignment="1">
      <x:alignment wrapText="1"/>
    </x:xf>
    <x:xf numFmtId="0" fontId="9" fillId="8" borderId="14" xfId="0" applyNumberFormat="1" applyFont="1" applyFill="1" applyBorder="1" applyAlignment="1">
      <x:alignment wrapText="1"/>
    </x:xf>
    <x:xf numFmtId="0" fontId="9" fillId="8" borderId="15" xfId="0" applyNumberFormat="1" applyFont="1" applyFill="1" applyBorder="1" applyAlignment="1">
      <x:alignment wrapText="1"/>
    </x:xf>
    <x:xf numFmtId="0" fontId="9" fillId="8" borderId="13" xfId="0" applyNumberFormat="1" applyFont="1" applyFill="1" applyBorder="1" applyAlignment="1">
      <x:alignment wrapText="1"/>
    </x:xf>
    <x:xf numFmtId="201" fontId="9" fillId="8" borderId="15" xfId="0" applyNumberFormat="1" applyFont="1" applyFill="1" applyBorder="1" applyAlignment="1">
      <x:alignment wrapText="1"/>
    </x:xf>
    <x:xf numFmtId="201" fontId="9" fillId="8" borderId="13" xfId="0" applyNumberFormat="1" applyFont="1" applyFill="1" applyBorder="1" applyAlignment="1">
      <x:alignment wrapText="1"/>
    </x:xf>
    <x:xf numFmtId="201" fontId="9" fillId="8" borderId="14" xfId="0" applyNumberFormat="1" applyFont="1" applyFill="1" applyBorder="1" applyAlignment="1">
      <x:alignment wrapText="1"/>
    </x:xf>
    <x:xf numFmtId="0" fontId="10" fillId="5" borderId="17" xfId="0" applyNumberFormat="1" applyFont="1" applyFill="1" applyBorder="1" applyAlignment="1">
      <x:alignment wrapText="1"/>
    </x:xf>
    <x:xf numFmtId="201" fontId="10" fillId="5" borderId="17" xfId="0" applyNumberFormat="1" applyFont="1" applyFill="1" applyBorder="1" applyAlignment="1">
      <x:alignment wrapText="1"/>
    </x:xf>
    <x:xf numFmtId="202" fontId="9" fillId="8" borderId="18" xfId="0" applyNumberFormat="1" applyFont="1" applyFill="1" applyBorder="1" applyAlignment="1">
      <x:alignment wrapText="1"/>
    </x:xf>
    <x:xf numFmtId="203" fontId="9" fillId="8" borderId="19" xfId="0" applyNumberFormat="1" applyFont="1" applyFill="1" applyBorder="1" applyAlignment="1">
      <x:alignment wrapText="1"/>
    </x:xf>
    <x:xf numFmtId="201" fontId="9" fillId="8" borderId="19" xfId="0" applyNumberFormat="1" applyFont="1" applyFill="1" applyBorder="1" applyAlignment="1">
      <x:alignment wrapText="1"/>
    </x:xf>
    <x:xf numFmtId="201" fontId="9" fillId="8" borderId="20" xfId="0" applyNumberFormat="1" applyFont="1" applyFill="1" applyBorder="1" applyAlignment="1">
      <x:alignment wrapText="1"/>
    </x:xf>
    <x:xf numFmtId="204" fontId="0" fillId="0" borderId="0" xfId="0" applyNumberFormat="1" applyFont="1" applyFill="1" applyBorder="1" applyAlignment="1">
      <x:alignment wrapText="1"/>
    </x:xf>
    <x:xf numFmtId="202" fontId="9" fillId="8" borderId="21" xfId="0" applyNumberFormat="1" applyFont="1" applyFill="1" applyBorder="1" applyAlignment="1">
      <x:alignment wrapText="1"/>
    </x:xf>
    <x:xf numFmtId="203" fontId="9" fillId="8" borderId="0" xfId="0" applyNumberFormat="1" applyFont="1" applyFill="1" applyBorder="1" applyAlignment="1">
      <x:alignment wrapText="1"/>
    </x:xf>
    <x:xf numFmtId="201" fontId="9" fillId="8" borderId="0" xfId="0" applyNumberFormat="1" applyFont="1" applyFill="1" applyBorder="1" applyAlignment="1">
      <x:alignment wrapText="1"/>
    </x:xf>
    <x:xf numFmtId="201" fontId="9" fillId="8" borderId="22" xfId="0" applyNumberFormat="1" applyFont="1" applyFill="1" applyBorder="1" applyAlignment="1">
      <x:alignment wrapText="1"/>
    </x:xf>
    <x:xf numFmtId="202" fontId="9" fillId="8" borderId="23" xfId="0" applyNumberFormat="1" applyFont="1" applyFill="1" applyBorder="1" applyAlignment="1">
      <x:alignment wrapText="1"/>
    </x:xf>
    <x:xf numFmtId="203" fontId="9" fillId="8" borderId="24" xfId="0" applyNumberFormat="1" applyFont="1" applyFill="1" applyBorder="1" applyAlignment="1">
      <x:alignment wrapText="1"/>
    </x:xf>
    <x:xf numFmtId="201" fontId="9" fillId="8" borderId="24" xfId="0" applyNumberFormat="1" applyFont="1" applyFill="1" applyBorder="1" applyAlignment="1">
      <x:alignment wrapText="1"/>
    </x:xf>
    <x:xf numFmtId="201" fontId="9" fillId="8" borderId="25" xfId="0" applyNumberFormat="1" applyFont="1" applyFill="1" applyBorder="1" applyAlignment="1">
      <x:alignment wrapText="1"/>
    </x:xf>
    <x:xf numFmtId="200" fontId="9" fillId="8" borderId="14" xfId="0" applyNumberFormat="1" applyFont="1" applyFill="1" applyBorder="1" applyAlignment="1">
      <x:alignment wrapText="1"/>
    </x:xf>
    <x:xf numFmtId="200" fontId="9" fillId="8" borderId="15" xfId="0" applyNumberFormat="1" applyFont="1" applyFill="1" applyBorder="1" applyAlignment="1">
      <x:alignment wrapText="1"/>
    </x:xf>
    <x:xf numFmtId="200" fontId="0" fillId="0" borderId="0" xfId="0" applyNumberFormat="1" applyFont="1" applyFill="1" applyBorder="1"/>
    <x:xf numFmtId="200" fontId="10" fillId="5" borderId="17" xfId="0" applyNumberFormat="1" applyFont="1" applyFill="1" applyBorder="1"/>
    <x:xf numFmtId="200" fontId="0" fillId="0" borderId="0" xfId="0" applyNumberFormat="1" applyFont="1" applyFill="1" applyBorder="1" applyAlignment="1">
      <x:alignment wrapText="1"/>
    </x:xf>
    <x:xf numFmtId="200" fontId="10" fillId="5" borderId="17" xfId="0" applyNumberFormat="1" applyFont="1" applyFill="1" applyBorder="1" applyAlignment="1">
      <x:alignment wrapText="1"/>
    </x:xf>
    <x:xf numFmtId="205" fontId="0" fillId="0" borderId="0" xfId="0" applyNumberFormat="1" applyFont="1" applyFill="1" applyBorder="1"/>
    <x:xf numFmtId="0" fontId="11" fillId="7" borderId="0" xfId="0" applyNumberFormat="1" applyFont="1" applyFill="1" applyBorder="1"/>
    <x:xf numFmtId="205" fontId="0" fillId="0" borderId="0" xfId="0" applyNumberFormat="1" applyFont="1" applyFill="1" applyBorder="1" applyAlignment="1">
      <x:alignment wrapText="1"/>
    </x:xf>
    <x:xf numFmtId="0" fontId="11" fillId="7" borderId="0" xfId="0" applyNumberFormat="1" applyFont="1" applyFill="1" applyBorder="1" applyAlignment="1">
      <x:alignment wrapText="1"/>
    </x:xf>
    <x:xf numFmtId="206" fontId="0" fillId="0" borderId="0" xfId="0" applyNumberFormat="1" applyFont="1" applyFill="1" applyBorder="1"/>
    <x:xf numFmtId="207" fontId="0" fillId="0" borderId="0" xfId="0" applyNumberFormat="1" applyFont="1" applyFill="1" applyBorder="1"/>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208" fontId="0" fillId="0" borderId="0" xfId="0" applyNumberFormat="1" applyFont="1" applyFill="1" applyBorder="1"/>
    <x:xf numFmtId="208"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xf numFmtId="0" fontId="12"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9" borderId="0" xfId="0" applyNumberFormat="1" applyFont="1" applyFill="1" applyBorder="1"/>
    <x:xf numFmtId="0" fontId="13" fillId="9" borderId="0" xfId="0" applyNumberFormat="1" applyFont="1" applyFill="1" applyBorder="1"/>
    <x:xf numFmtId="0" fontId="13" fillId="9" borderId="26" xfId="0" applyNumberFormat="1" applyFont="1" applyFill="1" applyBorder="1"/>
    <x:xf numFmtId="0" fontId="13" fillId="9" borderId="27" xfId="0" applyNumberFormat="1" applyFont="1" applyFill="1" applyBorder="1"/>
    <x:xf numFmtId="0" fontId="13" fillId="9" borderId="28" xfId="0" applyNumberFormat="1" applyFont="1" applyFill="1" applyBorder="1"/>
    <x:xf numFmtId="0" fontId="13" fillId="9" borderId="26" xfId="0" applyNumberFormat="1" applyFont="1" applyFill="1" applyBorder="1" applyAlignment="1">
      <x:alignment horizontal="center"/>
    </x:xf>
    <x:xf numFmtId="0" fontId="13" fillId="9" borderId="27" xfId="0" applyNumberFormat="1" applyFont="1" applyFill="1" applyBorder="1" applyAlignment="1">
      <x:alignment horizontal="center"/>
    </x:xf>
    <x:xf numFmtId="0" fontId="13" fillId="9" borderId="28" xfId="0" applyNumberFormat="1" applyFont="1" applyFill="1" applyBorder="1" applyAlignment="1">
      <x:alignment horizontal="center"/>
    </x:xf>
    <x:xf numFmtId="0" fontId="13" fillId="9" borderId="26" xfId="0" applyNumberFormat="1" applyFont="1" applyFill="1" applyBorder="1" applyAlignment="1">
      <x:alignment horizontal="center" vertical="center"/>
    </x:xf>
    <x:xf numFmtId="0" fontId="13" fillId="9" borderId="27" xfId="0" applyNumberFormat="1" applyFont="1" applyFill="1" applyBorder="1" applyAlignment="1">
      <x:alignment horizontal="center" vertical="center"/>
    </x:xf>
    <x:xf numFmtId="0" fontId="13" fillId="9" borderId="28" xfId="0" applyNumberFormat="1" applyFont="1" applyFill="1" applyBorder="1" applyAlignment="1">
      <x:alignment horizontal="center" vertical="center"/>
    </x:xf>
    <x:xf numFmtId="0" fontId="0" fillId="10" borderId="0" xfId="0" applyNumberFormat="1" applyFont="1" applyFill="1" applyBorder="1"/>
    <x:xf numFmtId="0" fontId="14" fillId="10" borderId="0" xfId="0" applyNumberFormat="1" applyFont="1" applyFill="1" applyBorder="1"/>
    <x:xf numFmtId="0" fontId="14" fillId="10" borderId="29" xfId="0" applyNumberFormat="1" applyFont="1" applyFill="1" applyBorder="1"/>
    <x:xf numFmtId="0" fontId="14" fillId="10" borderId="30" xfId="0" applyNumberFormat="1" applyFont="1" applyFill="1" applyBorder="1"/>
    <x:xf numFmtId="0" fontId="14" fillId="10" borderId="31" xfId="0" applyNumberFormat="1" applyFont="1" applyFill="1" applyBorder="1"/>
    <x:xf numFmtId="0" fontId="14" fillId="10" borderId="32" xfId="0" applyNumberFormat="1" applyFont="1" applyFill="1" applyBorder="1"/>
    <x:xf numFmtId="0" fontId="14" fillId="10" borderId="33" xfId="0" applyNumberFormat="1" applyFont="1" applyFill="1" applyBorder="1"/>
    <x:xf numFmtId="0" fontId="14" fillId="10" borderId="34" xfId="0" applyNumberFormat="1" applyFont="1" applyFill="1" applyBorder="1"/>
    <x:xf numFmtId="0" fontId="14" fillId="10" borderId="29" xfId="0" applyNumberFormat="1" applyFont="1" applyFill="1" applyBorder="1" applyAlignment="1">
      <x:alignment horizontal="center"/>
    </x:xf>
    <x:xf numFmtId="0" fontId="14" fillId="10" borderId="30" xfId="0" applyNumberFormat="1" applyFont="1" applyFill="1" applyBorder="1" applyAlignment="1">
      <x:alignment horizontal="center"/>
    </x:xf>
    <x:xf numFmtId="0" fontId="14" fillId="10" borderId="31" xfId="0" applyNumberFormat="1" applyFont="1" applyFill="1" applyBorder="1" applyAlignment="1">
      <x:alignment horizontal="center"/>
    </x:xf>
    <x:xf numFmtId="0" fontId="14" fillId="10" borderId="32" xfId="0" applyNumberFormat="1" applyFont="1" applyFill="1" applyBorder="1" applyAlignment="1">
      <x:alignment horizontal="center"/>
    </x:xf>
    <x:xf numFmtId="0" fontId="14" fillId="10" borderId="33" xfId="0" applyNumberFormat="1" applyFont="1" applyFill="1" applyBorder="1" applyAlignment="1">
      <x:alignment horizontal="center"/>
    </x:xf>
    <x:xf numFmtId="0" fontId="14" fillId="10" borderId="34" xfId="0" applyNumberFormat="1" applyFont="1" applyFill="1" applyBorder="1" applyAlignment="1">
      <x:alignment horizontal="center"/>
    </x:xf>
    <x:xf numFmtId="0" fontId="14" fillId="10" borderId="29" xfId="0" applyNumberFormat="1" applyFont="1" applyFill="1" applyBorder="1" applyAlignment="1">
      <x:alignment horizontal="center" vertical="center"/>
    </x:xf>
    <x:xf numFmtId="0" fontId="14" fillId="10" borderId="30" xfId="0" applyNumberFormat="1" applyFont="1" applyFill="1" applyBorder="1" applyAlignment="1">
      <x:alignment horizontal="center" vertical="center"/>
    </x:xf>
    <x:xf numFmtId="0" fontId="14" fillId="10" borderId="31" xfId="0" applyNumberFormat="1" applyFont="1" applyFill="1" applyBorder="1" applyAlignment="1">
      <x:alignment horizontal="center" vertical="center"/>
    </x:xf>
    <x:xf numFmtId="0" fontId="14" fillId="10" borderId="32" xfId="0" applyNumberFormat="1" applyFont="1" applyFill="1" applyBorder="1" applyAlignment="1">
      <x:alignment horizontal="center" vertical="center"/>
    </x:xf>
    <x:xf numFmtId="0" fontId="14" fillId="10" borderId="33" xfId="0" applyNumberFormat="1" applyFont="1" applyFill="1" applyBorder="1" applyAlignment="1">
      <x:alignment horizontal="center" vertical="center"/>
    </x:xf>
    <x:xf numFmtId="0" fontId="14" fillId="10" borderId="34" xfId="0" applyNumberFormat="1" applyFont="1" applyFill="1" applyBorder="1" applyAlignment="1">
      <x:alignment horizontal="center" vertical="center"/>
    </x:xf>
    <x:xf numFmtId="209" fontId="14" fillId="10" borderId="29" xfId="0" applyNumberFormat="1" applyFont="1" applyFill="1" applyBorder="1" applyAlignment="1">
      <x:alignment horizontal="center" vertical="center"/>
    </x:xf>
    <x:xf numFmtId="210" fontId="14" fillId="10" borderId="29" xfId="0" applyNumberFormat="1" applyFont="1" applyFill="1" applyBorder="1" applyAlignment="1">
      <x:alignment horizontal="center" vertical="center"/>
    </x:xf>
    <x:xf numFmtId="205" fontId="14" fillId="10" borderId="29" xfId="0" applyNumberFormat="1" applyFont="1" applyFill="1" applyBorder="1" applyAlignment="1">
      <x:alignment horizontal="center" vertical="center"/>
    </x:xf>
    <x:xf numFmtId="211" fontId="14" fillId="10" borderId="29" xfId="0" applyNumberFormat="1" applyFont="1" applyFill="1" applyBorder="1" applyAlignment="1">
      <x:alignment horizontal="center" vertical="center"/>
    </x:xf>
    <x:xf numFmtId="212" fontId="0" fillId="0" borderId="0" xfId="0" applyNumberFormat="1" applyFont="1" applyFill="1" applyBorder="1"/>
    <x:xf numFmtId="0" fontId="15" fillId="7" borderId="0" xfId="0" applyNumberFormat="1" applyFont="1" applyFill="1" applyBorder="1"/>
    <x:xf numFmtId="0" fontId="15" fillId="7" borderId="35" xfId="0" applyNumberFormat="1" applyFont="1" applyFill="1" applyBorder="1"/>
    <x:xf numFmtId="0" fontId="15" fillId="7" borderId="36" xfId="0" applyNumberFormat="1" applyFont="1" applyFill="1" applyBorder="1"/>
    <x:xf numFmtId="0" fontId="15" fillId="7" borderId="37" xfId="0" applyNumberFormat="1" applyFont="1" applyFill="1" applyBorder="1"/>
    <x:xf numFmtId="0" fontId="15" fillId="7" borderId="38" xfId="0" applyNumberFormat="1" applyFont="1" applyFill="1" applyBorder="1"/>
    <x:xf numFmtId="0" fontId="15" fillId="7" borderId="39" xfId="0" applyNumberFormat="1" applyFont="1" applyFill="1" applyBorder="1"/>
    <x:xf numFmtId="0" fontId="15" fillId="7" borderId="40" xfId="0" applyNumberFormat="1" applyFont="1" applyFill="1" applyBorder="1"/>
    <x:xf numFmtId="0" fontId="15" fillId="7" borderId="41" xfId="0" applyNumberFormat="1" applyFont="1" applyFill="1" applyBorder="1"/>
    <x:xf numFmtId="0" fontId="15" fillId="7" borderId="42" xfId="0" applyNumberFormat="1" applyFont="1" applyFill="1" applyBorder="1"/>
    <x:xf numFmtId="0" fontId="15" fillId="7" borderId="35" xfId="0" applyNumberFormat="1" applyFont="1" applyFill="1" applyBorder="1" applyAlignment="1">
      <x:alignment wrapText="1"/>
    </x:xf>
    <x:xf numFmtId="0" fontId="15" fillId="7" borderId="36" xfId="0" applyNumberFormat="1" applyFont="1" applyFill="1" applyBorder="1" applyAlignment="1">
      <x:alignment wrapText="1"/>
    </x:xf>
    <x:xf numFmtId="0" fontId="15" fillId="7" borderId="37" xfId="0" applyNumberFormat="1" applyFont="1" applyFill="1" applyBorder="1" applyAlignment="1">
      <x:alignment wrapText="1"/>
    </x:xf>
    <x:xf numFmtId="0" fontId="15" fillId="7" borderId="38" xfId="0" applyNumberFormat="1" applyFont="1" applyFill="1" applyBorder="1" applyAlignment="1">
      <x:alignment wrapText="1"/>
    </x:xf>
    <x:xf numFmtId="0" fontId="15" fillId="7" borderId="0" xfId="0" applyNumberFormat="1" applyFont="1" applyFill="1" applyBorder="1" applyAlignment="1">
      <x:alignment wrapText="1"/>
    </x:xf>
    <x:xf numFmtId="0" fontId="15" fillId="7" borderId="39" xfId="0" applyNumberFormat="1" applyFont="1" applyFill="1" applyBorder="1" applyAlignment="1">
      <x:alignment wrapText="1"/>
    </x:xf>
    <x:xf numFmtId="0" fontId="15" fillId="7" borderId="40" xfId="0" applyNumberFormat="1" applyFont="1" applyFill="1" applyBorder="1" applyAlignment="1">
      <x:alignment wrapText="1"/>
    </x:xf>
    <x:xf numFmtId="0" fontId="15" fillId="7" borderId="41" xfId="0" applyNumberFormat="1" applyFont="1" applyFill="1" applyBorder="1" applyAlignment="1">
      <x:alignment wrapText="1"/>
    </x:xf>
    <x:xf numFmtId="0" fontId="15" fillId="7" borderId="42" xfId="0" applyNumberFormat="1" applyFont="1" applyFill="1" applyBorder="1" applyAlignment="1">
      <x:alignment wrapText="1"/>
    </x:xf>
    <x:xf numFmtId="0" fontId="15" fillId="7" borderId="35" xfId="0" applyNumberFormat="1" applyFont="1" applyFill="1" applyBorder="1" applyAlignment="1">
      <x:alignment vertical="center" wrapText="1"/>
    </x:xf>
    <x:xf numFmtId="0" fontId="15" fillId="7" borderId="36" xfId="0" applyNumberFormat="1" applyFont="1" applyFill="1" applyBorder="1" applyAlignment="1">
      <x:alignment vertical="center" wrapText="1"/>
    </x:xf>
    <x:xf numFmtId="0" fontId="15" fillId="7" borderId="37" xfId="0" applyNumberFormat="1" applyFont="1" applyFill="1" applyBorder="1" applyAlignment="1">
      <x:alignment vertical="center" wrapText="1"/>
    </x:xf>
    <x:xf numFmtId="0" fontId="15" fillId="7" borderId="38" xfId="0" applyNumberFormat="1" applyFont="1" applyFill="1" applyBorder="1" applyAlignment="1">
      <x:alignment vertical="center" wrapText="1"/>
    </x:xf>
    <x:xf numFmtId="0" fontId="15" fillId="7" borderId="0" xfId="0" applyNumberFormat="1" applyFont="1" applyFill="1" applyBorder="1" applyAlignment="1">
      <x:alignment vertical="center" wrapText="1"/>
    </x:xf>
    <x:xf numFmtId="0" fontId="15" fillId="7" borderId="39" xfId="0" applyNumberFormat="1" applyFont="1" applyFill="1" applyBorder="1" applyAlignment="1">
      <x:alignment vertical="center" wrapText="1"/>
    </x:xf>
    <x:xf numFmtId="0" fontId="15" fillId="7" borderId="40" xfId="0" applyNumberFormat="1" applyFont="1" applyFill="1" applyBorder="1" applyAlignment="1">
      <x:alignment vertical="center" wrapText="1"/>
    </x:xf>
    <x:xf numFmtId="0" fontId="15" fillId="7" borderId="41" xfId="0" applyNumberFormat="1" applyFont="1" applyFill="1" applyBorder="1" applyAlignment="1">
      <x:alignment vertical="center" wrapText="1"/>
    </x:xf>
    <x:xf numFmtId="0" fontId="15" fillId="7" borderId="42"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horizontal="left"/>
    </x:xf>
    <x:xf numFmtId="0" fontId="13" fillId="9" borderId="26" xfId="0" applyNumberFormat="1" applyFont="1" applyFill="1" applyBorder="1" applyAlignment="1">
      <x:alignment horizontal="center" vertical="center" wrapText="1"/>
    </x:xf>
    <x:xf numFmtId="0" fontId="13" fillId="9" borderId="27" xfId="0" applyNumberFormat="1" applyFont="1" applyFill="1" applyBorder="1" applyAlignment="1">
      <x:alignment horizontal="center" vertical="center" wrapText="1"/>
    </x:xf>
    <x:xf numFmtId="0" fontId="13" fillId="9" borderId="28" xfId="0" applyNumberFormat="1" applyFont="1" applyFill="1" applyBorder="1" applyAlignment="1">
      <x:alignment horizontal="center" vertical="center" wrapText="1"/>
    </x:xf>
    <x:xf numFmtId="209" fontId="14" fillId="10" borderId="29" xfId="0" applyNumberFormat="1" applyFont="1" applyFill="1" applyBorder="1" applyAlignment="1">
      <x:alignment horizontal="center" vertical="center" wrapText="1"/>
    </x:xf>
    <x:xf numFmtId="0" fontId="14" fillId="10" borderId="30" xfId="0" applyNumberFormat="1" applyFont="1" applyFill="1" applyBorder="1" applyAlignment="1">
      <x:alignment horizontal="center" vertical="center" wrapText="1"/>
    </x:xf>
    <x:xf numFmtId="0" fontId="14" fillId="10" borderId="31" xfId="0" applyNumberFormat="1" applyFont="1" applyFill="1" applyBorder="1" applyAlignment="1">
      <x:alignment horizontal="center" vertical="center" wrapText="1"/>
    </x:xf>
    <x:xf numFmtId="210" fontId="14" fillId="10" borderId="29" xfId="0" applyNumberFormat="1" applyFont="1" applyFill="1" applyBorder="1" applyAlignment="1">
      <x:alignment horizontal="center" vertical="center" wrapText="1"/>
    </x:xf>
    <x:xf numFmtId="205" fontId="14" fillId="10" borderId="29" xfId="0" applyNumberFormat="1" applyFont="1" applyFill="1" applyBorder="1" applyAlignment="1">
      <x:alignment horizontal="center" vertical="center" wrapText="1"/>
    </x:xf>
    <x:xf numFmtId="211" fontId="14" fillId="10" borderId="29" xfId="0" applyNumberFormat="1" applyFont="1" applyFill="1" applyBorder="1" applyAlignment="1">
      <x:alignment horizontal="center" vertical="center" wrapText="1"/>
    </x:xf>
    <x:xf numFmtId="0" fontId="14" fillId="10" borderId="32" xfId="0" applyNumberFormat="1" applyFont="1" applyFill="1" applyBorder="1" applyAlignment="1">
      <x:alignment horizontal="center" vertical="center" wrapText="1"/>
    </x:xf>
    <x:xf numFmtId="0" fontId="14" fillId="10" borderId="33" xfId="0" applyNumberFormat="1" applyFont="1" applyFill="1" applyBorder="1" applyAlignment="1">
      <x:alignment horizontal="center" vertical="center" wrapText="1"/>
    </x:xf>
    <x:xf numFmtId="0" fontId="14" fillId="10" borderId="34" xfId="0" applyNumberFormat="1" applyFont="1" applyFill="1" applyBorder="1" applyAlignment="1">
      <x:alignment horizontal="center" vertical="center" wrapText="1"/>
    </x:xf>
    <x:xf numFmtId="212" fontId="0" fillId="0" borderId="0" xfId="0" applyNumberFormat="1" applyFont="1" applyFill="1" applyBorder="1" applyAlignment="1">
      <x:alignment wrapText="1"/>
    </x:xf>
    <x:xf numFmtId="0" fontId="16" fillId="0" borderId="0" xfId="0" applyNumberFormat="1" applyFont="1" applyFill="1" applyBorder="1" applyAlignment="1">
      <x:alignment horizontal="left" wrapText="1"/>
    </x:xf>
  </x:cellXfs>
  <x:cellStyles count="1">
    <x:cellStyle name="Normal" xfId="0"/>
  </x:cellStyles>
  <x:dxfs count="2">
    <x:dxf>
      <x:font>
        <x:b/>
        <x:color rgb="FF155D58"/>
      </x:font>
      <x:fill>
        <x:patternFill patternType="solid">
          <x:bgColor rgb="FFDDEDE8"/>
        </x:patternFill>
      </x:fill>
    </x:dxf>
    <x:dxf>
      <x:font>
        <x:b/>
        <x:color rgb="FFA33D32"/>
      </x:font>
      <x:fill>
        <x:patternFill patternType="solid">
          <x:bgColor rgb="FFFDE8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d24a13245945f8" /><Relationship Type="http://schemas.openxmlformats.org/officeDocument/2006/relationships/theme" Target="/xl/theme/theme1.xml" Id="Re85db0622d0841b0" /><Relationship Type="http://schemas.microsoft.com/office/2022/11/relationships/FeaturePropertyBag" Target="/xl/featurePropertyBag/featurePropertyBag.xml" Id="R2b4a0f3758a14c18" /><Relationship Type="http://schemas.openxmlformats.org/officeDocument/2006/relationships/sharedStrings" Target="/xl/sharedStrings.xml" Id="R100a96ff65cd44d6" /><Relationship Type="http://schemas.openxmlformats.org/officeDocument/2006/relationships/worksheet" Target="/xl/worksheets/sheet1.xml" Id="R0d4e872c235644a7" /><Relationship Type="http://schemas.openxmlformats.org/officeDocument/2006/relationships/worksheet" Target="/xl/worksheets/sheet2.xml" Id="Rab1f61d6192e4a9b" /><Relationship Type="http://schemas.openxmlformats.org/officeDocument/2006/relationships/worksheet" Target="/xl/worksheets/sheet3.xml" Id="Rd37dff8ee3344e60" /><Relationship Type="http://schemas.openxmlformats.org/officeDocument/2006/relationships/worksheet" Target="/xl/worksheets/sheet4.xml" Id="Ra15c64eaa8ea4f0b" /><Relationship Type="http://schemas.openxmlformats.org/officeDocument/2006/relationships/worksheet" Target="/xl/worksheets/sheet5.xml" Id="R076311cd419d4da4" /><Relationship Type="http://schemas.openxmlformats.org/officeDocument/2006/relationships/worksheet" Target="/xl/worksheets/sheet6.xml" Id="Rf227769ae34048f5" /><Relationship Type="http://schemas.openxmlformats.org/officeDocument/2006/relationships/worksheet" Target="/xl/worksheets/sheet7.xml" Id="R1b778122a63647fb" /><Relationship Type="http://schemas.openxmlformats.org/officeDocument/2006/relationships/worksheet" Target="/xl/worksheets/sheet8.xml" Id="R6f95ae7ef3974521" /><Relationship Type="http://schemas.openxmlformats.org/officeDocument/2006/relationships/worksheet" Target="/xl/worksheets/sheet9.xml" Id="R46c52c0e7ba14120" /><Relationship Type="http://schemas.microsoft.com/office/2017/10/relationships/person" Target="/xl/persons/person.xml" Id="R0e26c7bc3bde41c5" /></Relationships>
</file>

<file path=xl/drawings/_rels/drawing1.xml.rels>&#65279;<?xml version="1.0" encoding="utf-8"?><Relationships xmlns="http://schemas.openxmlformats.org/package/2006/relationships"><Relationship Type="http://schemas.openxmlformats.org/officeDocument/2006/relationships/chart" Target="/xl/drawings/charts/chart1.xml" Id="Re1a8c95716a64d23" /><Relationship Type="http://schemas.openxmlformats.org/officeDocument/2006/relationships/chart" Target="/xl/drawings/charts/chart2.xml" Id="Rf2f257519565416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Which trades are pinched first? (scenario pressure index)</a:t>
            </a:r>
          </a:p>
        </c:rich>
      </c:tx>
      <c:overlay val="0"/>
    </c:title>
    <c:plotArea>
      <c:barChart>
        <c:barDir val="col"/>
        <c:varyColors val="0"/>
        <c:ser>
          <c:idx val="0"/>
          <c:order val="0"/>
          <c:tx>
            <c:v>Central pressure</c:v>
          </c:tx>
          <c:cat>
            <c:strRef>
              <c:f>'Dashboard'!$A$10:$A$13</c:f>
              <c:strCache>
                <c:ptCount val="0"/>
              </c:strCache>
            </c:strRef>
          </c:cat>
          <c:val>
            <c:numRef>
              <c:f>'Dashboard'!$B$10:$B$13</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Staggered scenario annual capex flow (CAD bn)</a:t>
            </a:r>
          </a:p>
        </c:rich>
      </c:tx>
      <c:overlay val="0"/>
    </c:title>
    <c:plotArea>
      <c:lineChart>
        <c:grouping val="standard"/>
        <c:varyColors val="0"/>
        <c:ser>
          <c:idx val="0"/>
          <c:order val="0"/>
          <c:tx>
            <c:v>Total capex (CAD bn)</c:v>
          </c:tx>
          <c:marker>
            <c:symbol val="none"/>
          </c:marker>
          <c:cat>
            <c:strRef>
              <c:f>'Dashboard'!$A$26:$A$35</c:f>
              <c:strCache>
                <c:ptCount val="0"/>
              </c:strCache>
            </c:strRef>
          </c:cat>
          <c:val>
            <c:numRef>
              <c:f>'Dashboard'!$B$26:$B$35</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a8c95716a64d23"/>
        </a:graphicData>
      </a:graphic>
    </xdr:graphicFrame>
    <xdr:clientData/>
  </xdr:twoCellAnchor>
  <xdr:twoCellAnchor>
    <xdr:from>
      <xdr:col>3</xdr:col>
      <xdr:colOff>0</xdr:colOff>
      <xdr:row>24</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2f257519565416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User" id="{6D2459E5-2B95-4CD6-AFE2-844F045F8613}"/>
</xltc:personList>
</file>

<file path=xl/tables/table1.xml><?xml version="1.0" encoding="utf-8"?>
<x:table xmlns:x="http://schemas.openxmlformats.org/spreadsheetml/2006/main" id="1" name="AIProjectsTable" displayName="AIProjectsTable" ref="A4:Q26" headerRowCount="1" totalsRowCount="0" totalsRowShown="0">
  <x:tableColumns count="17">
    <x:tableColumn id="1" name="Project ID"/>
    <x:tableColumn id="2" name="Name"/>
    <x:tableColumn id="3" name="Reported cost (CAD)"/>
    <x:tableColumn id="4" name="Municipality"/>
    <x:tableColumn id="5" name="Start year"/>
    <x:tableColumn id="6" name="End year"/>
    <x:tableColumn id="7" name="Stage"/>
    <x:tableColumn id="8" name="Developer"/>
    <x:tableColumn id="9" name="Project URL"/>
    <x:tableColumn id="10" name="Longitude"/>
    <x:tableColumn id="11" name="Latitude"/>
    <x:tableColumn id="12" name="Location precision"/>
    <x:tableColumn id="13" name="AI relevance"/>
    <x:tableColumn id="14" name="Source status"/>
    <x:tableColumn id="15" name="Classification status"/>
    <x:tableColumn id="16" name="As-of date"/>
    <x:tableColumn id="17" name="Register source URL"/>
  </x:tableColumns>
  <x:tableStyleInfo name="TableStyleMedium2" showFirstColumn="0" showLastColumn="0" showRowStripes="1" showColumnStripes="0"/>
</x:table>
</file>

<file path=xl/tables/table2.xml><?xml version="1.0" encoding="utf-8"?>
<x:table xmlns:x="http://schemas.openxmlformats.org/spreadsheetml/2006/main" id="2" name="BCPIEvidenceTable" displayName="BCPIEvidenceTable" ref="A4:I52" headerRowCount="1" totalsRowCount="0" totalsRowShown="0">
  <x:tableColumns count="9">
    <x:tableColumn id="1" name="Observation ID"/>
    <x:tableColumn id="2" name="Indicator ID"/>
    <x:tableColumn id="3" name="Geography ID"/>
    <x:tableColumn id="4" name="Period end"/>
    <x:tableColumn id="5" name="Value"/>
    <x:tableColumn id="6" name="Unit"/>
    <x:tableColumn id="7" name="Evidence status"/>
    <x:tableColumn id="8" name="Source ID"/>
    <x:tableColumn id="9" name="Source URL"/>
  </x:tableColumns>
  <x:tableStyleInfo name="TableStyleMedium2" showFirstColumn="0" showLastColumn="0" showRowStripes="1" showColumnStripes="0"/>
</x:table>
</file>

<file path=xl/tables/table3.xml><?xml version="1.0" encoding="utf-8"?>
<x:table xmlns:x="http://schemas.openxmlformats.org/spreadsheetml/2006/main" id="3" name="SourceRegisterTable" displayName="SourceRegisterTable" ref="A4:H13" headerRowCount="1" totalsRowCount="0" totalsRowShown="0">
  <x:tableColumns count="8">
    <x:tableColumn id="1" name="Source ID"/>
    <x:tableColumn id="2" name="Title"/>
    <x:tableColumn id="3" name="Publisher"/>
    <x:tableColumn id="4" name="Domain"/>
    <x:tableColumn id="5" name="Geography"/>
    <x:tableColumn id="6" name="As-of date"/>
    <x:tableColumn id="7" name="Status"/>
    <x:tableColumn id="8" name="Canonical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8-31T13:55:05.001" personId="{6D2459E5-2B95-4CD6-AFE2-844F045F8613}" id="{1D346626-228D-40F3-91DC-194842421E8E}">
    <xltc:text>Scenario-only input. This is not a forecast or a total of committed projects.</xltc:text>
  </xltc:threadedComment>
  <xltc:threadedComment ref="B10" dT="2026-08-31T13:55:05.002" personId="{6D2459E5-2B95-4CD6-AFE2-844F045F8613}" id="{9D33B9E2-00E7-409A-B22C-123508320431}">
    <xltc:text>Assumed share of locally captured construction and service demand. Test through sensitivity analysis before interpretation.</xltc:text>
  </xltc:threadedComment>
  <xltc:threadedComment ref="D25" dT="2026-08-31T13:55:05.002" personId="{6D2459E5-2B95-4CD6-AFE2-844F045F8613}" id="{0B5F9ABD-62F9-41E1-B423-1173D00B61FF}">
    <xltc:text>IT load is an independent power-case assumption. It is not derived from capital expenditure.</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a554499b1e8c4963" /></Relationships>
</file>

<file path=xl/worksheets/_rels/sheet3.xml.rels>&#65279;<?xml version="1.0" encoding="utf-8"?><Relationships xmlns="http://schemas.openxmlformats.org/package/2006/relationships"><Relationship Type="http://schemas.openxmlformats.org/officeDocument/2006/relationships/comments" Target="/xl/comments1.xml" Id="R4d4d4ec89ef74210" /><Relationship Type="http://schemas.openxmlformats.org/officeDocument/2006/relationships/vmlDrawing" Target="/xl/drawings/vmldrawing.vml" Id="R685f5e9253104c8a" /><Relationship Type="http://schemas.microsoft.com/office/2017/10/relationships/threadedComment" Target="/xl/threadedcomments/threadedcomment.xml" Id="Rdb5cd9c124ea4dc9" /></Relationships>
</file>

<file path=xl/worksheets/_rels/sheet6.xml.rels>&#65279;<?xml version="1.0" encoding="utf-8"?><Relationships xmlns="http://schemas.openxmlformats.org/package/2006/relationships"><Relationship Type="http://schemas.openxmlformats.org/officeDocument/2006/relationships/table" Target="/xl/tables/table1.xml" Id="R777f3fc7f7e14947" /></Relationships>
</file>

<file path=xl/worksheets/_rels/sheet7.xml.rels>&#65279;<?xml version="1.0" encoding="utf-8"?><Relationships xmlns="http://schemas.openxmlformats.org/package/2006/relationships"><Relationship Type="http://schemas.openxmlformats.org/officeDocument/2006/relationships/table" Target="/xl/tables/table2.xml" Id="R7b72acfee1ee492b" /></Relationships>
</file>

<file path=xl/worksheets/_rels/sheet8.xml.rels>&#65279;<?xml version="1.0" encoding="utf-8"?><Relationships xmlns="http://schemas.openxmlformats.org/package/2006/relationships"><Relationship Type="http://schemas.openxmlformats.org/officeDocument/2006/relationships/table" Target="/xl/tables/table3.xml" Id="R7557a92609944873"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61" t="str">
        <x:v>AI Infrastructure Impact Observatory Canada</x:v>
      </x:c>
      <x:c r="B1" s="61"/>
      <x:c r="C1" s="61"/>
      <x:c r="D1" s="61"/>
      <x:c r="E1" s="61"/>
      <x:c r="F1" s="61"/>
      <x:c r="G1" s="61"/>
      <x:c r="H1" s="61"/>
    </x:row>
    <x:row r="2" ht="28" customHeight="1">
      <x:c r="A2" s="61"/>
      <x:c r="B2" s="61"/>
      <x:c r="C2" s="61"/>
      <x:c r="D2" s="61"/>
      <x:c r="E2" s="61"/>
      <x:c r="F2" s="61"/>
      <x:c r="G2" s="61"/>
      <x:c r="H2" s="61"/>
    </x:row>
    <x:row r="3" ht="21" customHeight="1">
      <x:c r="A3" s="62" t="str">
        <x:v>Alberta pilot workbook · Release 0.1.0-dev</x:v>
      </x:c>
      <x:c r="B3" s="62"/>
      <x:c r="C3" s="62"/>
      <x:c r="D3" s="62"/>
      <x:c r="E3" s="62"/>
      <x:c r="F3" s="62"/>
      <x:c r="G3" s="62"/>
      <x:c r="H3" s="62"/>
    </x:row>
    <x:row r="4">
      <x:c r="A4" s="63"/>
      <x:c r="B4" s="63"/>
      <x:c r="C4" s="63"/>
      <x:c r="D4" s="63"/>
      <x:c r="E4" s="63"/>
      <x:c r="F4" s="63"/>
      <x:c r="G4" s="63"/>
      <x:c r="H4" s="63"/>
    </x:row>
    <x:row r="5">
      <x:c r="A5" s="64" t="str">
        <x:v>Purpose</x:v>
      </x:c>
      <x:c r="B5" s="64"/>
      <x:c r="C5" s="64"/>
      <x:c r="D5" s="64"/>
      <x:c r="E5" s="64"/>
      <x:c r="F5" s="64"/>
      <x:c r="G5" s="64"/>
      <x:c r="H5" s="64"/>
    </x:row>
    <x:row r="6">
      <x:c r="A6" s="30" t="str">
        <x:v>This workbook is an auditable publication component of AIIO Canada. It reproduces selected release outputs and exposes scenario assumptions with formulas. The evidence registry, analytical code and immutable release manifest remain the system of record.</x:v>
      </x:c>
      <x:c r="B6" s="31"/>
      <x:c r="C6" s="31"/>
      <x:c r="D6" s="31"/>
      <x:c r="E6" s="31"/>
      <x:c r="F6" s="31"/>
      <x:c r="G6" s="31"/>
      <x:c r="H6" s="32"/>
    </x:row>
    <x:row r="7">
      <x:c r="A7" s="33"/>
      <x:c r="B7" s="34"/>
      <x:c r="C7" s="34"/>
      <x:c r="D7" s="34"/>
      <x:c r="E7" s="34"/>
      <x:c r="F7" s="34"/>
      <x:c r="G7" s="34"/>
      <x:c r="H7" s="35"/>
    </x:row>
    <x:row r="8">
      <x:c r="A8" s="36"/>
      <x:c r="B8" s="37"/>
      <x:c r="C8" s="37"/>
      <x:c r="D8" s="37"/>
      <x:c r="E8" s="37"/>
      <x:c r="F8" s="37"/>
      <x:c r="G8" s="37"/>
      <x:c r="H8" s="38"/>
    </x:row>
    <x:row r="9">
      <x:c r="A9" s="63"/>
      <x:c r="B9" s="63"/>
      <x:c r="C9" s="63"/>
      <x:c r="D9" s="63"/>
      <x:c r="E9" s="63"/>
      <x:c r="F9" s="63"/>
      <x:c r="G9" s="63"/>
      <x:c r="H9" s="63"/>
    </x:row>
    <x:row r="10" ht="28" customHeight="1">
      <x:c r="A10" s="44" t="str">
        <x:v>Evidence status</x:v>
      </x:c>
      <x:c r="B10" s="45" t="str">
        <x:v>Meaning</x:v>
      </x:c>
      <x:c r="C10" s="63"/>
      <x:c r="D10" s="63"/>
      <x:c r="E10" s="63"/>
      <x:c r="F10" s="63"/>
      <x:c r="G10" s="63"/>
      <x:c r="H10" s="63"/>
    </x:row>
    <x:row r="11">
      <x:c r="A11" s="65" t="str">
        <x:v>Observed</x:v>
      </x:c>
      <x:c r="B11" s="66" t="str">
        <x:v>Directly reported by an identified public source.</x:v>
      </x:c>
      <x:c r="C11" s="63"/>
      <x:c r="D11" s="63"/>
      <x:c r="E11" s="63"/>
      <x:c r="F11" s="63"/>
      <x:c r="G11" s="63"/>
      <x:c r="H11" s="63"/>
    </x:row>
    <x:row r="12">
      <x:c r="A12" s="67" t="str">
        <x:v>Inferred</x:v>
      </x:c>
      <x:c r="B12" s="68" t="str">
        <x:v>Derived through a disclosed transformation or classification.</x:v>
      </x:c>
      <x:c r="C12" s="63"/>
      <x:c r="D12" s="63"/>
      <x:c r="E12" s="63"/>
      <x:c r="F12" s="63"/>
      <x:c r="G12" s="63"/>
      <x:c r="H12" s="63"/>
    </x:row>
    <x:row r="13">
      <x:c r="A13" s="67" t="str">
        <x:v>Assumed</x:v>
      </x:c>
      <x:c r="B13" s="68" t="str">
        <x:v>Selected parameter with rationale and sensitivity range.</x:v>
      </x:c>
      <x:c r="C13" s="63"/>
      <x:c r="D13" s="63"/>
      <x:c r="E13" s="63"/>
      <x:c r="F13" s="63"/>
      <x:c r="G13" s="63"/>
      <x:c r="H13" s="63"/>
    </x:row>
    <x:row r="14">
      <x:c r="A14" s="69" t="str">
        <x:v>Scenario</x:v>
      </x:c>
      <x:c r="B14" s="70" t="str">
        <x:v>Counterfactual input or output; not a forecast.</x:v>
      </x:c>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row r="17">
      <x:c r="A17" s="64" t="str">
        <x:v>How to use this workbook</x:v>
      </x:c>
      <x:c r="B17" s="64"/>
      <x:c r="C17" s="64"/>
      <x:c r="D17" s="64"/>
      <x:c r="E17" s="64"/>
      <x:c r="F17" s="64"/>
      <x:c r="G17" s="64"/>
      <x:c r="H17" s="64"/>
    </x:row>
    <x:row r="18">
      <x:c r="A18" s="71" t="str">
        <x:v>1</x:v>
      </x:c>
      <x:c r="B18" s="72" t="str">
        <x:v>Dashboard</x:v>
      </x:c>
      <x:c r="C18" s="63" t="str">
        <x:v>Read key observed and scenario outputs with their status labels.</x:v>
      </x:c>
      <x:c r="D18" s="63" t="str"/>
      <x:c r="E18" s="63" t="str"/>
      <x:c r="F18" s="63" t="str"/>
      <x:c r="G18" s="63" t="str"/>
      <x:c r="H18" s="63" t="str"/>
    </x:row>
    <x:row r="19">
      <x:c r="A19" s="71" t="str">
        <x:v>2</x:v>
      </x:c>
      <x:c r="B19" s="72" t="str">
        <x:v>Assumptions</x:v>
      </x:c>
      <x:c r="C19" s="63" t="str">
        <x:v>Edit blue-font scenario inputs only; formula cells remain black.</x:v>
      </x:c>
      <x:c r="D19" s="63" t="str"/>
      <x:c r="E19" s="63" t="str"/>
      <x:c r="F19" s="63" t="str"/>
      <x:c r="G19" s="63" t="str"/>
      <x:c r="H19" s="63" t="str"/>
    </x:row>
    <x:row r="20">
      <x:c r="A20" s="71" t="str">
        <x:v>3</x:v>
      </x:c>
      <x:c r="B20" s="72" t="str">
        <x:v>Scenario Timeline</x:v>
      </x:c>
      <x:c r="C20" s="63" t="str">
        <x:v>Inspect the annual capex decomposition and formula lineage.</x:v>
      </x:c>
      <x:c r="D20" s="63" t="str"/>
      <x:c r="E20" s="63" t="str"/>
      <x:c r="F20" s="63" t="str"/>
      <x:c r="G20" s="63" t="str"/>
      <x:c r="H20" s="63" t="str"/>
    </x:row>
    <x:row r="21">
      <x:c r="A21" s="71" t="str">
        <x:v>4</x:v>
      </x:c>
      <x:c r="B21" s="72" t="str">
        <x:v>Pressure Results</x:v>
      </x:c>
      <x:c r="C21" s="63" t="str">
        <x:v>Review the graph engine low/central/high pressure outputs.</x:v>
      </x:c>
      <x:c r="D21" s="63" t="str"/>
      <x:c r="E21" s="63" t="str"/>
      <x:c r="F21" s="63" t="str"/>
      <x:c r="G21" s="63" t="str"/>
      <x:c r="H21" s="63" t="str"/>
    </x:row>
    <x:row r="22">
      <x:c r="A22" s="71" t="str">
        <x:v>5</x:v>
      </x:c>
      <x:c r="B22" s="72" t="str">
        <x:v>AI Projects</x:v>
      </x:c>
      <x:c r="C22" s="63" t="str">
        <x:v>Inspect public project fields and the inferred AI classification.</x:v>
      </x:c>
      <x:c r="D22" s="63" t="str"/>
      <x:c r="E22" s="63" t="str"/>
      <x:c r="F22" s="63" t="str"/>
      <x:c r="G22" s="63" t="str"/>
      <x:c r="H22" s="63" t="str"/>
    </x:row>
    <x:row r="23">
      <x:c r="A23" s="71" t="str">
        <x:v>6</x:v>
      </x:c>
      <x:c r="B23" s="72" t="str">
        <x:v>BCPI Data</x:v>
      </x:c>
      <x:c r="C23" s="63" t="str">
        <x:v>Review the recent Calgary and Edmonton price-index observations.</x:v>
      </x:c>
      <x:c r="D23" s="63" t="str"/>
      <x:c r="E23" s="63" t="str"/>
      <x:c r="F23" s="63" t="str"/>
      <x:c r="G23" s="63" t="str"/>
      <x:c r="H23" s="63" t="str"/>
    </x:row>
    <x:row r="24">
      <x:c r="A24" s="71" t="str">
        <x:v>7</x:v>
      </x:c>
      <x:c r="B24" s="72" t="str">
        <x:v>Sources</x:v>
      </x:c>
      <x:c r="C24" s="63" t="str">
        <x:v>Open authoritative public URLs and check source vintages.</x:v>
      </x:c>
      <x:c r="D24" s="63" t="str"/>
      <x:c r="E24" s="63" t="str"/>
      <x:c r="F24" s="63" t="str"/>
      <x:c r="G24" s="63" t="str"/>
      <x:c r="H24" s="63" t="str"/>
    </x:row>
    <x:row r="25">
      <x:c r="A25" s="71" t="str">
        <x:v>8</x:v>
      </x:c>
      <x:c r="B25" s="72" t="str">
        <x:v>Release Checks</x:v>
      </x:c>
      <x:c r="C25" s="63" t="str">
        <x:v>Confirm formula reconciliations and manifest identity.</x:v>
      </x:c>
      <x:c r="D25" s="63" t="str"/>
      <x:c r="E25" s="63" t="str"/>
      <x:c r="F25" s="63" t="str"/>
      <x:c r="G25" s="63" t="str"/>
      <x:c r="H25" s="63" t="str"/>
    </x:row>
    <x:row r="26">
      <x:c r="A26" s="63"/>
      <x:c r="B26" s="63"/>
      <x:c r="C26" s="63"/>
      <x:c r="D26" s="63"/>
      <x:c r="E26" s="63"/>
      <x:c r="F26" s="63"/>
      <x:c r="G26" s="63"/>
      <x:c r="H26" s="63"/>
    </x:row>
    <x:row r="27">
      <x:c r="A27" s="63"/>
      <x:c r="B27" s="63"/>
      <x:c r="C27" s="63"/>
      <x:c r="D27" s="63"/>
      <x:c r="E27" s="63"/>
      <x:c r="F27" s="63"/>
      <x:c r="G27" s="63"/>
      <x:c r="H27" s="63"/>
    </x:row>
    <x:row r="28">
      <x:c r="A28" s="73" t="str">
        <x:v>Interpretation boundary</x:v>
      </x:c>
      <x:c r="B28" s="73"/>
      <x:c r="C28" s="73"/>
      <x:c r="D28" s="73"/>
      <x:c r="E28" s="73"/>
      <x:c r="F28" s="73"/>
      <x:c r="G28" s="73"/>
      <x:c r="H28" s="73"/>
    </x:row>
    <x:row r="29">
      <x:c r="A29" s="60" t="str">
        <x:v>Pressure values are dimensionless diagnostic indices. Power values are independent scenario assumptions. Neither can be interpreted as predicted costs, workers, delays, available grid capacity or an AESO needs assessment.</x:v>
      </x:c>
      <x:c r="B29" s="60"/>
      <x:c r="C29" s="60"/>
      <x:c r="D29" s="60"/>
      <x:c r="E29" s="60"/>
      <x:c r="F29" s="60"/>
      <x:c r="G29" s="60"/>
      <x:c r="H29" s="60"/>
    </x:row>
    <x:row r="30">
      <x:c r="A30" s="60"/>
      <x:c r="B30" s="60"/>
      <x:c r="C30" s="60"/>
      <x:c r="D30" s="60"/>
      <x:c r="E30" s="60"/>
      <x:c r="F30" s="60"/>
      <x:c r="G30" s="60"/>
      <x:c r="H30" s="60"/>
    </x:row>
    <x:row r="31">
      <x:c r="A31" s="60"/>
      <x:c r="B31" s="60"/>
      <x:c r="C31" s="60"/>
      <x:c r="D31" s="60"/>
      <x:c r="E31" s="60"/>
      <x:c r="F31" s="60"/>
      <x:c r="G31" s="60"/>
      <x:c r="H31" s="60"/>
    </x:row>
    <x:row r="32">
      <x:c r="A32" s="60"/>
      <x:c r="B32" s="60"/>
      <x:c r="C32" s="60"/>
      <x:c r="D32" s="60"/>
      <x:c r="E32" s="60"/>
      <x:c r="F32" s="60"/>
      <x:c r="G32" s="60"/>
      <x:c r="H32" s="60"/>
    </x:row>
    <x:row r="33">
      <x:c r="A33" s="63"/>
      <x:c r="B33" s="63"/>
      <x:c r="C33" s="63"/>
      <x:c r="D33" s="63"/>
      <x:c r="E33" s="63"/>
      <x:c r="F33" s="63"/>
      <x:c r="G33" s="63"/>
      <x:c r="H33" s="63"/>
    </x:row>
    <x:row r="34">
      <x:c r="A34" s="63"/>
      <x:c r="B34" s="63"/>
      <x:c r="C34" s="63"/>
      <x:c r="D34" s="63"/>
      <x:c r="E34" s="63"/>
      <x:c r="F34" s="63"/>
      <x:c r="G34" s="63"/>
      <x:c r="H34" s="63"/>
    </x:row>
  </x:sheetData>
  <x:mergeCells>
    <x:mergeCell ref="A1:H2"/>
    <x:mergeCell ref="A3:H3"/>
    <x:mergeCell ref="A5:H5"/>
    <x:mergeCell ref="A6:H8"/>
    <x:mergeCell ref="A17:H17"/>
    <x:mergeCell ref="C18:H18"/>
    <x:mergeCell ref="C19:H19"/>
    <x:mergeCell ref="C20:H20"/>
    <x:mergeCell ref="C21:H21"/>
    <x:mergeCell ref="C22:H22"/>
    <x:mergeCell ref="C23:H23"/>
    <x:mergeCell ref="C24:H24"/>
    <x:mergeCell ref="C25:H25"/>
    <x:mergeCell ref="A28:H28"/>
    <x:mergeCell ref="A29:H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61" t="str">
        <x:v>Alberta pilot dashboard</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Observed pipeline + $50B staggered scenario · Release 0.1.0-dev</x:v>
      </x:c>
      <x:c r="B3" s="62"/>
      <x:c r="C3" s="62"/>
      <x:c r="D3" s="62"/>
      <x:c r="E3" s="62"/>
      <x:c r="F3" s="62"/>
      <x:c r="G3" s="62"/>
      <x:c r="H3" s="62"/>
      <x:c r="I3" s="62"/>
      <x:c r="J3" s="62"/>
      <x:c r="K3" s="62"/>
      <x:c r="L3" s="62"/>
    </x:row>
    <x:row r="4">
      <x:c r="A4" s="63"/>
      <x:c r="B4" s="63"/>
      <x:c r="C4" s="63"/>
      <x:c r="D4" s="63"/>
      <x:c r="E4" s="63"/>
      <x:c r="F4" s="63"/>
      <x:c r="G4" s="63"/>
      <x:c r="H4" s="63"/>
      <x:c r="I4" s="63"/>
      <x:c r="J4" s="63"/>
      <x:c r="K4" s="63"/>
      <x:c r="L4" s="63"/>
    </x:row>
    <x:row r="5">
      <x:c r="A5" s="224" t="str">
        <x:v>Known reported core capex</x:v>
      </x:c>
      <x:c r="B5" s="225"/>
      <x:c r="C5" s="226"/>
      <x:c r="D5" s="224" t="str">
        <x:v>Core facility records</x:v>
      </x:c>
      <x:c r="E5" s="225"/>
      <x:c r="F5" s="226"/>
      <x:c r="G5" s="224" t="str">
        <x:v>Central trade pressure</x:v>
      </x:c>
      <x:c r="H5" s="225"/>
      <x:c r="I5" s="226"/>
      <x:c r="J5" s="224" t="str">
        <x:v>Transfer planning proxy</x:v>
      </x:c>
      <x:c r="K5" s="225"/>
      <x:c r="L5" s="226"/>
    </x:row>
    <x:row r="6">
      <x:c r="A6" s="227" t="n">
        <x:f>SUMIF('AI Projects'!$M$5:$M$26,"core_data_centre",'AI Projects'!$C$5:$C$26)/1000000000</x:f>
        <x:v>49.01</x:v>
      </x:c>
      <x:c r="B6" s="228"/>
      <x:c r="C6" s="229"/>
      <x:c r="D6" s="230" t="n">
        <x:f>COUNTIF('AI Projects'!$M$5:$M$26,"core_data_centre")</x:f>
        <x:v>19</x:v>
      </x:c>
      <x:c r="E6" s="228"/>
      <x:c r="F6" s="229"/>
      <x:c r="G6" s="231" t="n">
        <x:f>MAX('Pressure Results'!$E$5:$E$8)</x:f>
        <x:v>0.333396</x:v>
      </x:c>
      <x:c r="H6" s="228"/>
      <x:c r="I6" s="229"/>
      <x:c r="J6" s="232" t="n">
        <x:f>'Assumptions'!J24/1000</x:f>
        <x:v>2.07</x:v>
      </x:c>
      <x:c r="K6" s="228"/>
      <x:c r="L6" s="229"/>
    </x:row>
    <x:row r="7">
      <x:c r="A7" s="233"/>
      <x:c r="B7" s="234"/>
      <x:c r="C7" s="235"/>
      <x:c r="D7" s="233"/>
      <x:c r="E7" s="234"/>
      <x:c r="F7" s="235"/>
      <x:c r="G7" s="233"/>
      <x:c r="H7" s="234"/>
      <x:c r="I7" s="235"/>
      <x:c r="J7" s="233"/>
      <x:c r="K7" s="234"/>
      <x:c r="L7" s="235"/>
    </x:row>
    <x:row r="8">
      <x:c r="A8" s="63"/>
      <x:c r="B8" s="63"/>
      <x:c r="C8" s="63"/>
      <x:c r="D8" s="63"/>
      <x:c r="E8" s="63"/>
      <x:c r="F8" s="63"/>
      <x:c r="G8" s="63"/>
      <x:c r="H8" s="63"/>
      <x:c r="I8" s="63"/>
      <x:c r="J8" s="63"/>
      <x:c r="K8" s="63"/>
      <x:c r="L8" s="63"/>
    </x:row>
    <x:row r="9" ht="28" customHeight="1">
      <x:c r="A9" s="44" t="str">
        <x:v>Trade</x:v>
      </x:c>
      <x:c r="B9" s="45" t="str">
        <x:v>Central pressure</x:v>
      </x:c>
      <x:c r="C9" s="63"/>
      <x:c r="D9" s="63"/>
      <x:c r="E9" s="63"/>
      <x:c r="F9" s="63"/>
      <x:c r="G9" s="63"/>
      <x:c r="H9" s="63"/>
      <x:c r="I9" s="63"/>
      <x:c r="J9" s="63"/>
      <x:c r="K9" s="63"/>
      <x:c r="L9" s="63"/>
    </x:row>
    <x:row r="10">
      <x:c r="A10" s="63" t="str">
        <x:f>'Pressure Results'!B5</x:f>
        <x:v>Electricians</x:v>
      </x:c>
      <x:c r="B10" s="147" t="n">
        <x:f>'Pressure Results'!E5</x:f>
        <x:v>0.333396</x:v>
      </x:c>
      <x:c r="C10" s="63"/>
      <x:c r="D10" s="63"/>
      <x:c r="E10" s="63"/>
      <x:c r="F10" s="63"/>
      <x:c r="G10" s="63"/>
      <x:c r="H10" s="63"/>
      <x:c r="I10" s="63"/>
      <x:c r="J10" s="63"/>
      <x:c r="K10" s="63"/>
      <x:c r="L10" s="63"/>
    </x:row>
    <x:row r="11">
      <x:c r="A11" s="63" t="str">
        <x:f>'Pressure Results'!B6</x:f>
        <x:v>Power-line trades</x:v>
      </x:c>
      <x:c r="B11" s="147" t="n">
        <x:f>'Pressure Results'!E6</x:f>
        <x:v>0.305424</x:v>
      </x:c>
      <x:c r="C11" s="63"/>
      <x:c r="D11" s="63"/>
      <x:c r="E11" s="63"/>
      <x:c r="F11" s="63"/>
      <x:c r="G11" s="63"/>
      <x:c r="H11" s="63"/>
      <x:c r="I11" s="63"/>
      <x:c r="J11" s="63"/>
      <x:c r="K11" s="63"/>
      <x:c r="L11" s="63"/>
    </x:row>
    <x:row r="12">
      <x:c r="A12" s="63" t="str">
        <x:f>'Pressure Results'!B7</x:f>
        <x:v>HVAC mechanics</x:v>
      </x:c>
      <x:c r="B12" s="147" t="n">
        <x:f>'Pressure Results'!E7</x:f>
        <x:v>0.22491</x:v>
      </x:c>
      <x:c r="C12" s="63"/>
      <x:c r="D12" s="63"/>
      <x:c r="E12" s="63"/>
      <x:c r="F12" s="63"/>
      <x:c r="G12" s="63"/>
      <x:c r="H12" s="63"/>
      <x:c r="I12" s="63"/>
      <x:c r="J12" s="63"/>
      <x:c r="K12" s="63"/>
      <x:c r="L12" s="63"/>
    </x:row>
    <x:row r="13">
      <x:c r="A13" s="63" t="str">
        <x:f>'Pressure Results'!B8</x:f>
        <x:v>Concrete trades</x:v>
      </x:c>
      <x:c r="B13" s="147" t="n">
        <x:f>'Pressure Results'!E8</x:f>
        <x:v>0.133518</x:v>
      </x:c>
      <x:c r="C13" s="63"/>
      <x:c r="D13" s="63"/>
      <x:c r="E13" s="63"/>
      <x:c r="F13" s="63"/>
      <x:c r="G13" s="63"/>
      <x:c r="H13" s="63"/>
      <x:c r="I13" s="63"/>
      <x:c r="J13" s="63"/>
      <x:c r="K13" s="63"/>
      <x:c r="L13" s="63"/>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row r="21">
      <x:c r="A21" s="63"/>
      <x:c r="B21" s="63"/>
      <x:c r="C21" s="63"/>
      <x:c r="D21" s="63"/>
      <x:c r="E21" s="63"/>
      <x:c r="F21" s="63"/>
      <x:c r="G21" s="63"/>
      <x:c r="H21" s="63"/>
      <x:c r="I21" s="63"/>
      <x:c r="J21" s="63"/>
      <x:c r="K21" s="63"/>
      <x:c r="L21" s="63"/>
    </x:row>
    <x:row r="22">
      <x:c r="A22" s="63"/>
      <x:c r="B22" s="63"/>
      <x:c r="C22" s="63"/>
      <x:c r="D22" s="63"/>
      <x:c r="E22" s="63"/>
      <x:c r="F22" s="63"/>
      <x:c r="G22" s="63"/>
      <x:c r="H22" s="63"/>
      <x:c r="I22" s="63"/>
      <x:c r="J22" s="63"/>
      <x:c r="K22" s="63"/>
      <x:c r="L22" s="63"/>
    </x:row>
    <x:row r="23">
      <x:c r="A23" s="63"/>
      <x:c r="B23" s="63"/>
      <x:c r="C23" s="63"/>
      <x:c r="D23" s="63"/>
      <x:c r="E23" s="63"/>
      <x:c r="F23" s="63"/>
      <x:c r="G23" s="63"/>
      <x:c r="H23" s="63"/>
      <x:c r="I23" s="63"/>
      <x:c r="J23" s="63"/>
      <x:c r="K23" s="63"/>
      <x:c r="L23" s="63"/>
    </x:row>
    <x:row r="24">
      <x:c r="A24" s="63"/>
      <x:c r="B24" s="63"/>
      <x:c r="C24" s="63"/>
      <x:c r="D24" s="63"/>
      <x:c r="E24" s="63"/>
      <x:c r="F24" s="63"/>
      <x:c r="G24" s="63"/>
      <x:c r="H24" s="63"/>
      <x:c r="I24" s="63"/>
      <x:c r="J24" s="63"/>
      <x:c r="K24" s="63"/>
      <x:c r="L24" s="63"/>
    </x:row>
    <x:row r="25" ht="28" customHeight="1">
      <x:c r="A25" s="44" t="str">
        <x:v>Year</x:v>
      </x:c>
      <x:c r="B25" s="45" t="str">
        <x:v>Total capex (CAD bn)</x:v>
      </x:c>
      <x:c r="C25" s="63"/>
      <x:c r="D25" s="63"/>
      <x:c r="E25" s="63"/>
      <x:c r="F25" s="63"/>
      <x:c r="G25" s="63"/>
      <x:c r="H25" s="63"/>
      <x:c r="I25" s="63"/>
      <x:c r="J25" s="63"/>
      <x:c r="K25" s="63"/>
      <x:c r="L25" s="63"/>
    </x:row>
    <x:row r="26">
      <x:c r="A26" s="63" t="n">
        <x:f>'Scenario Timeline'!A5</x:f>
        <x:v>2027</x:v>
      </x:c>
      <x:c r="B26" s="236" t="n">
        <x:f>'Scenario Timeline'!C5/1000000000</x:f>
        <x:v>2</x:v>
      </x:c>
      <x:c r="C26" s="63"/>
      <x:c r="D26" s="63"/>
      <x:c r="E26" s="63"/>
      <x:c r="F26" s="63"/>
      <x:c r="G26" s="63"/>
      <x:c r="H26" s="63"/>
      <x:c r="I26" s="63"/>
      <x:c r="J26" s="63"/>
      <x:c r="K26" s="63"/>
      <x:c r="L26" s="63"/>
    </x:row>
    <x:row r="27">
      <x:c r="A27" s="63" t="n">
        <x:f>'Scenario Timeline'!A6</x:f>
        <x:v>2028</x:v>
      </x:c>
      <x:c r="B27" s="236" t="n">
        <x:f>'Scenario Timeline'!C6/1000000000</x:f>
        <x:v>3.5000000000000004</x:v>
      </x:c>
      <x:c r="C27" s="63"/>
      <x:c r="D27" s="63"/>
      <x:c r="E27" s="63"/>
      <x:c r="F27" s="63"/>
      <x:c r="G27" s="63"/>
      <x:c r="H27" s="63"/>
      <x:c r="I27" s="63"/>
      <x:c r="J27" s="63"/>
      <x:c r="K27" s="63"/>
      <x:c r="L27" s="63"/>
    </x:row>
    <x:row r="28">
      <x:c r="A28" s="63" t="n">
        <x:f>'Scenario Timeline'!A7</x:f>
        <x:v>2029</x:v>
      </x:c>
      <x:c r="B28" s="236" t="n">
        <x:f>'Scenario Timeline'!C7/1000000000</x:f>
        <x:v>5</x:v>
      </x:c>
      <x:c r="C28" s="63"/>
      <x:c r="D28" s="63"/>
      <x:c r="E28" s="63"/>
      <x:c r="F28" s="63"/>
      <x:c r="G28" s="63"/>
      <x:c r="H28" s="63"/>
      <x:c r="I28" s="63"/>
      <x:c r="J28" s="63"/>
      <x:c r="K28" s="63"/>
      <x:c r="L28" s="63"/>
    </x:row>
    <x:row r="29">
      <x:c r="A29" s="63" t="n">
        <x:f>'Scenario Timeline'!A8</x:f>
        <x:v>2030</x:v>
      </x:c>
      <x:c r="B29" s="236" t="n">
        <x:f>'Scenario Timeline'!C8/1000000000</x:f>
        <x:v>6</x:v>
      </x:c>
      <x:c r="C29" s="63"/>
      <x:c r="D29" s="63"/>
      <x:c r="E29" s="63"/>
      <x:c r="F29" s="63"/>
      <x:c r="G29" s="63"/>
      <x:c r="H29" s="63"/>
      <x:c r="I29" s="63"/>
      <x:c r="J29" s="63"/>
      <x:c r="K29" s="63"/>
      <x:c r="L29" s="63"/>
    </x:row>
    <x:row r="30">
      <x:c r="A30" s="63" t="n">
        <x:f>'Scenario Timeline'!A9</x:f>
        <x:v>2031</x:v>
      </x:c>
      <x:c r="B30" s="236" t="n">
        <x:f>'Scenario Timeline'!C9/1000000000</x:f>
        <x:v>7.000000000000001</x:v>
      </x:c>
      <x:c r="C30" s="63"/>
      <x:c r="D30" s="63"/>
      <x:c r="E30" s="63"/>
      <x:c r="F30" s="63"/>
      <x:c r="G30" s="63"/>
      <x:c r="H30" s="63"/>
      <x:c r="I30" s="63"/>
      <x:c r="J30" s="63"/>
      <x:c r="K30" s="63"/>
      <x:c r="L30" s="63"/>
    </x:row>
    <x:row r="31">
      <x:c r="A31" s="63" t="n">
        <x:f>'Scenario Timeline'!A10</x:f>
        <x:v>2032</x:v>
      </x:c>
      <x:c r="B31" s="236" t="n">
        <x:f>'Scenario Timeline'!C10/1000000000</x:f>
        <x:v>7.000000000000001</x:v>
      </x:c>
      <x:c r="C31" s="63"/>
      <x:c r="D31" s="63"/>
      <x:c r="E31" s="63"/>
      <x:c r="F31" s="63"/>
      <x:c r="G31" s="63"/>
      <x:c r="H31" s="63"/>
      <x:c r="I31" s="63"/>
      <x:c r="J31" s="63"/>
      <x:c r="K31" s="63"/>
      <x:c r="L31" s="63"/>
    </x:row>
    <x:row r="32">
      <x:c r="A32" s="63" t="n">
        <x:f>'Scenario Timeline'!A11</x:f>
        <x:v>2033</x:v>
      </x:c>
      <x:c r="B32" s="236" t="n">
        <x:f>'Scenario Timeline'!C11/1000000000</x:f>
        <x:v>6.5</x:v>
      </x:c>
      <x:c r="C32" s="63"/>
      <x:c r="D32" s="63"/>
      <x:c r="E32" s="63"/>
      <x:c r="F32" s="63"/>
      <x:c r="G32" s="63"/>
      <x:c r="H32" s="63"/>
      <x:c r="I32" s="63"/>
      <x:c r="J32" s="63"/>
      <x:c r="K32" s="63"/>
      <x:c r="L32" s="63"/>
    </x:row>
    <x:row r="33">
      <x:c r="A33" s="63" t="n">
        <x:f>'Scenario Timeline'!A12</x:f>
        <x:v>2034</x:v>
      </x:c>
      <x:c r="B33" s="236" t="n">
        <x:f>'Scenario Timeline'!C12/1000000000</x:f>
        <x:v>5.5</x:v>
      </x:c>
      <x:c r="C33" s="63"/>
      <x:c r="D33" s="63"/>
      <x:c r="E33" s="63"/>
      <x:c r="F33" s="63"/>
      <x:c r="G33" s="63"/>
      <x:c r="H33" s="63"/>
      <x:c r="I33" s="63"/>
      <x:c r="J33" s="63"/>
      <x:c r="K33" s="63"/>
      <x:c r="L33" s="63"/>
    </x:row>
    <x:row r="34">
      <x:c r="A34" s="63" t="n">
        <x:f>'Scenario Timeline'!A13</x:f>
        <x:v>2035</x:v>
      </x:c>
      <x:c r="B34" s="236" t="n">
        <x:f>'Scenario Timeline'!C13/1000000000</x:f>
        <x:v>4.5</x:v>
      </x:c>
      <x:c r="C34" s="63"/>
      <x:c r="D34" s="63"/>
      <x:c r="E34" s="63"/>
      <x:c r="F34" s="63"/>
      <x:c r="G34" s="63"/>
      <x:c r="H34" s="63"/>
      <x:c r="I34" s="63"/>
      <x:c r="J34" s="63"/>
      <x:c r="K34" s="63"/>
      <x:c r="L34" s="63"/>
    </x:row>
    <x:row r="35">
      <x:c r="A35" s="63" t="n">
        <x:f>'Scenario Timeline'!A14</x:f>
        <x:v>2036</x:v>
      </x:c>
      <x:c r="B35" s="236" t="n">
        <x:f>'Scenario Timeline'!C14/1000000000</x:f>
        <x:v>3</x:v>
      </x:c>
      <x:c r="C35" s="63"/>
      <x:c r="D35" s="63"/>
      <x:c r="E35" s="63"/>
      <x:c r="F35" s="63"/>
      <x:c r="G35" s="63"/>
      <x:c r="H35" s="63"/>
      <x:c r="I35" s="63"/>
      <x:c r="J35" s="63"/>
      <x:c r="K35" s="63"/>
      <x:c r="L35" s="63"/>
    </x:row>
    <x:row r="36">
      <x:c r="A36" s="63"/>
      <x:c r="B36" s="63"/>
      <x:c r="C36" s="63"/>
      <x:c r="D36" s="63"/>
      <x:c r="E36" s="63"/>
      <x:c r="F36" s="63"/>
      <x:c r="G36" s="63"/>
      <x:c r="H36" s="63"/>
      <x:c r="I36" s="63"/>
      <x:c r="J36" s="63"/>
      <x:c r="K36" s="63"/>
      <x:c r="L36" s="63"/>
    </x:row>
    <x:row r="37">
      <x:c r="A37" s="63"/>
      <x:c r="B37" s="63"/>
      <x:c r="C37" s="63"/>
      <x:c r="D37" s="63"/>
      <x:c r="E37" s="63"/>
      <x:c r="F37" s="63"/>
      <x:c r="G37" s="63"/>
      <x:c r="H37" s="63"/>
      <x:c r="I37" s="63"/>
      <x:c r="J37" s="63"/>
      <x:c r="K37" s="63"/>
      <x:c r="L37" s="63"/>
    </x:row>
    <x:row r="38">
      <x:c r="A38" s="63"/>
      <x:c r="B38" s="63"/>
      <x:c r="C38" s="63"/>
      <x:c r="D38" s="63"/>
      <x:c r="E38" s="63"/>
      <x:c r="F38" s="63"/>
      <x:c r="G38" s="63"/>
      <x:c r="H38" s="63"/>
      <x:c r="I38" s="63"/>
      <x:c r="J38" s="63"/>
      <x:c r="K38" s="63"/>
      <x:c r="L38" s="63"/>
    </x:row>
    <x:row r="39">
      <x:c r="A39" s="63"/>
      <x:c r="B39" s="63"/>
      <x:c r="C39" s="63"/>
      <x:c r="D39" s="63"/>
      <x:c r="E39" s="63"/>
      <x:c r="F39" s="63"/>
      <x:c r="G39" s="63"/>
      <x:c r="H39" s="63"/>
      <x:c r="I39" s="63"/>
      <x:c r="J39" s="63"/>
      <x:c r="K39" s="63"/>
      <x:c r="L39" s="63"/>
    </x:row>
    <x:row r="40">
      <x:c r="A40" s="63"/>
      <x:c r="B40" s="63"/>
      <x:c r="C40" s="63"/>
      <x:c r="D40" s="63"/>
      <x:c r="E40" s="63"/>
      <x:c r="F40" s="63"/>
      <x:c r="G40" s="63"/>
      <x:c r="H40" s="63"/>
      <x:c r="I40" s="63"/>
      <x:c r="J40" s="63"/>
      <x:c r="K40" s="63"/>
      <x:c r="L40" s="63"/>
    </x:row>
    <x:row r="41">
      <x:c r="A41" s="213" t="str">
        <x:v>Interpret carefully: project capex is an observed announcement pipeline with inferred classification. Pressure and power values are scenario outputs. They are not forecasts, committed spend, predicted workers, cost escalation, delay days, grid availability or an AESO needs assessment.</x:v>
      </x:c>
      <x:c r="B41" s="214"/>
      <x:c r="C41" s="214"/>
      <x:c r="D41" s="214"/>
      <x:c r="E41" s="214"/>
      <x:c r="F41" s="214"/>
      <x:c r="G41" s="214"/>
      <x:c r="H41" s="214"/>
      <x:c r="I41" s="214"/>
      <x:c r="J41" s="214"/>
      <x:c r="K41" s="214"/>
      <x:c r="L41" s="215"/>
    </x:row>
    <x:row r="42">
      <x:c r="A42" s="216"/>
      <x:c r="B42" s="217"/>
      <x:c r="C42" s="217"/>
      <x:c r="D42" s="217"/>
      <x:c r="E42" s="217"/>
      <x:c r="F42" s="217"/>
      <x:c r="G42" s="217"/>
      <x:c r="H42" s="217"/>
      <x:c r="I42" s="217"/>
      <x:c r="J42" s="217"/>
      <x:c r="K42" s="217"/>
      <x:c r="L42" s="218"/>
    </x:row>
    <x:row r="43">
      <x:c r="A43" s="219"/>
      <x:c r="B43" s="220"/>
      <x:c r="C43" s="220"/>
      <x:c r="D43" s="220"/>
      <x:c r="E43" s="220"/>
      <x:c r="F43" s="220"/>
      <x:c r="G43" s="220"/>
      <x:c r="H43" s="220"/>
      <x:c r="I43" s="220"/>
      <x:c r="J43" s="220"/>
      <x:c r="K43" s="220"/>
      <x:c r="L43" s="221"/>
    </x:row>
    <x:row r="44">
      <x:c r="A44" s="237" t="str">
        <x:v>Release hash: sha256:c4b4534a6982da59d35654b242f0ba002755e76ba28a3d617bc8d8c1e39051ec</x:v>
      </x:c>
      <x:c r="B44" s="63"/>
      <x:c r="C44" s="63"/>
      <x:c r="D44" s="63"/>
      <x:c r="E44" s="63"/>
      <x:c r="F44" s="63"/>
      <x:c r="G44" s="63"/>
      <x:c r="H44" s="63"/>
      <x:c r="I44" s="63"/>
      <x:c r="J44" s="63"/>
      <x:c r="K44" s="63"/>
      <x:c r="L44" s="63"/>
    </x:row>
  </x:sheetData>
  <x:mergeCells>
    <x:mergeCell ref="A1:L2"/>
    <x:mergeCell ref="A3:L3"/>
    <x:mergeCell ref="A5:C5"/>
    <x:mergeCell ref="A6:C7"/>
    <x:mergeCell ref="D5:F5"/>
    <x:mergeCell ref="D6:F7"/>
    <x:mergeCell ref="G5:I5"/>
    <x:mergeCell ref="G6:I7"/>
    <x:mergeCell ref="J5:L5"/>
    <x:mergeCell ref="J6:L7"/>
    <x:mergeCell ref="A41:L43"/>
    <x:mergeCell ref="A44:L44"/>
  </x:mergeCells>
  <x:pageMargins left="0.7" right="0.7" top="0.75" bottom="0.75" header="0.3" footer="0.3"/>
  <x:drawing xmlns:r="http://schemas.openxmlformats.org/officeDocument/2006/relationships" r:id="Ra554499b1e8c4963"/>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17" hidden="0" customWidth="1"/>
    <x:col min="4" max="4" width="13" hidden="0" customWidth="1"/>
    <x:col min="5" max="5" width="13" hidden="0" customWidth="1"/>
    <x:col min="6" max="6" width="13" hidden="0" customWidth="1"/>
    <x:col min="7" max="7" width="16" hidden="0" customWidth="1"/>
    <x:col min="8" max="8" width="15" hidden="0" customWidth="1"/>
    <x:col min="9" max="9" width="18" hidden="0" customWidth="1"/>
    <x:col min="10" max="10" width="19" hidden="0" customWidth="1"/>
  </x:cols>
  <x:sheetData>
    <x:row r="1" ht="28" customHeight="1">
      <x:c r="A1" s="61" t="str">
        <x:v>Scenario assumptions</x:v>
      </x:c>
      <x:c r="B1" s="61"/>
      <x:c r="C1" s="61"/>
      <x:c r="D1" s="61"/>
      <x:c r="E1" s="61"/>
      <x:c r="F1" s="61"/>
      <x:c r="G1" s="61"/>
      <x:c r="H1" s="61"/>
      <x:c r="I1" s="61"/>
      <x:c r="J1" s="61"/>
    </x:row>
    <x:row r="2" ht="28" customHeight="1">
      <x:c r="A2" s="61"/>
      <x:c r="B2" s="61"/>
      <x:c r="C2" s="61"/>
      <x:c r="D2" s="61"/>
      <x:c r="E2" s="61"/>
      <x:c r="F2" s="61"/>
      <x:c r="G2" s="61"/>
      <x:c r="H2" s="61"/>
      <x:c r="I2" s="61"/>
      <x:c r="J2" s="61"/>
    </x:row>
    <x:row r="3" ht="21" customHeight="1">
      <x:c r="A3" s="62" t="str">
        <x:v>Editable inputs are blue. All values carry scenario or assumed status.</x:v>
      </x:c>
      <x:c r="B3" s="62"/>
      <x:c r="C3" s="62"/>
      <x:c r="D3" s="62"/>
      <x:c r="E3" s="62"/>
      <x:c r="F3" s="62"/>
      <x:c r="G3" s="62"/>
      <x:c r="H3" s="62"/>
      <x:c r="I3" s="62"/>
      <x:c r="J3" s="62"/>
    </x:row>
    <x:row r="4">
      <x:c r="A4" s="63"/>
      <x:c r="B4" s="63"/>
      <x:c r="C4" s="63"/>
      <x:c r="D4" s="63"/>
      <x:c r="E4" s="63"/>
      <x:c r="F4" s="63"/>
      <x:c r="G4" s="63"/>
      <x:c r="H4" s="63"/>
      <x:c r="I4" s="63"/>
      <x:c r="J4" s="63"/>
    </x:row>
    <x:row r="5">
      <x:c r="A5" s="116" t="str">
        <x:v>Total AI infrastructure capex (CAD)</x:v>
      </x:c>
      <x:c r="B5" s="117" t="n">
        <x:v>50000000000</x:v>
      </x:c>
      <x:c r="C5" s="63"/>
      <x:c r="D5" s="63"/>
      <x:c r="E5" s="63"/>
      <x:c r="F5" s="63"/>
      <x:c r="G5" s="63"/>
      <x:c r="H5" s="63"/>
      <x:c r="I5" s="63"/>
      <x:c r="J5" s="63"/>
    </x:row>
    <x:row r="6">
      <x:c r="A6" s="116" t="str">
        <x:v>Start year</x:v>
      </x:c>
      <x:c r="B6" s="118" t="n">
        <x:v>2027</x:v>
      </x:c>
      <x:c r="C6" s="63"/>
      <x:c r="D6" s="63"/>
      <x:c r="E6" s="63"/>
      <x:c r="F6" s="63"/>
      <x:c r="G6" s="63"/>
      <x:c r="H6" s="63"/>
      <x:c r="I6" s="63"/>
      <x:c r="J6" s="63"/>
    </x:row>
    <x:row r="7">
      <x:c r="A7" s="116" t="str">
        <x:v>End year</x:v>
      </x:c>
      <x:c r="B7" s="119" t="n">
        <x:v>2036</x:v>
      </x:c>
      <x:c r="C7" s="63"/>
      <x:c r="D7" s="63"/>
      <x:c r="E7" s="63"/>
      <x:c r="F7" s="63"/>
      <x:c r="G7" s="63"/>
      <x:c r="H7" s="63"/>
      <x:c r="I7" s="63"/>
      <x:c r="J7" s="63"/>
    </x:row>
    <x:row r="8">
      <x:c r="A8" s="116" t="str">
        <x:v>Delivery years</x:v>
      </x:c>
      <x:c r="B8" s="63" t="n">
        <x:f>B7-B6+1</x:f>
        <x:v>10</x:v>
      </x:c>
      <x:c r="C8" s="63"/>
      <x:c r="D8" s="63"/>
      <x:c r="E8" s="63"/>
      <x:c r="F8" s="63"/>
      <x:c r="G8" s="63"/>
      <x:c r="H8" s="63"/>
      <x:c r="I8" s="63"/>
      <x:c r="J8" s="63"/>
    </x:row>
    <x:row r="9">
      <x:c r="A9" s="116" t="str">
        <x:v>Currency year</x:v>
      </x:c>
      <x:c r="B9" s="120" t="n">
        <x:v>2026</x:v>
      </x:c>
      <x:c r="C9" s="63"/>
      <x:c r="D9" s="63"/>
      <x:c r="E9" s="63"/>
      <x:c r="F9" s="63"/>
      <x:c r="G9" s="63"/>
      <x:c r="H9" s="63"/>
      <x:c r="I9" s="63"/>
      <x:c r="J9" s="63"/>
    </x:row>
    <x:row r="10">
      <x:c r="A10" s="116" t="str">
        <x:v>Local capture share</x:v>
      </x:c>
      <x:c r="B10" s="121" t="n">
        <x:v>0.72</x:v>
      </x:c>
      <x:c r="C10" s="63"/>
      <x:c r="D10" s="63"/>
      <x:c r="E10" s="63"/>
      <x:c r="F10" s="63"/>
      <x:c r="G10" s="63"/>
      <x:c r="H10" s="63"/>
      <x:c r="I10" s="63"/>
      <x:c r="J10" s="63"/>
    </x:row>
    <x:row r="11">
      <x:c r="A11" s="63"/>
      <x:c r="B11" s="63"/>
      <x:c r="C11" s="63"/>
      <x:c r="D11" s="63"/>
      <x:c r="E11" s="63"/>
      <x:c r="F11" s="63"/>
      <x:c r="G11" s="63"/>
      <x:c r="H11" s="63"/>
      <x:c r="I11" s="63"/>
      <x:c r="J11" s="63"/>
    </x:row>
    <x:row r="12" ht="28" customHeight="1">
      <x:c r="A12" s="44" t="str">
        <x:v>Capex component</x:v>
      </x:c>
      <x:c r="B12" s="84" t="str">
        <x:v>Share</x:v>
      </x:c>
      <x:c r="C12" s="45" t="str">
        <x:v>Evidence status</x:v>
      </x:c>
      <x:c r="D12" s="63"/>
      <x:c r="E12" s="63"/>
      <x:c r="F12" s="63"/>
      <x:c r="G12" s="63"/>
      <x:c r="H12" s="63"/>
      <x:c r="I12" s="63"/>
      <x:c r="J12" s="63"/>
    </x:row>
    <x:row r="13">
      <x:c r="A13" s="63" t="str">
        <x:v>Site Development</x:v>
      </x:c>
      <x:c r="B13" s="122" t="n">
        <x:v>0.03</x:v>
      </x:c>
      <x:c r="C13" s="63" t="str">
        <x:v>scenario</x:v>
      </x:c>
      <x:c r="D13" s="63"/>
      <x:c r="E13" s="63"/>
      <x:c r="F13" s="63"/>
      <x:c r="G13" s="63"/>
      <x:c r="H13" s="63"/>
      <x:c r="I13" s="63"/>
      <x:c r="J13" s="63"/>
    </x:row>
    <x:row r="14">
      <x:c r="A14" s="63" t="str">
        <x:v>Building And Civil</x:v>
      </x:c>
      <x:c r="B14" s="123" t="n">
        <x:v>0.14</x:v>
      </x:c>
      <x:c r="C14" s="63" t="str">
        <x:v>scenario</x:v>
      </x:c>
      <x:c r="D14" s="63"/>
      <x:c r="E14" s="63"/>
      <x:c r="F14" s="63"/>
      <x:c r="G14" s="63"/>
      <x:c r="H14" s="63"/>
      <x:c r="I14" s="63"/>
      <x:c r="J14" s="63"/>
    </x:row>
    <x:row r="15">
      <x:c r="A15" s="63" t="str">
        <x:v>Electrical And Mechanical</x:v>
      </x:c>
      <x:c r="B15" s="123" t="n">
        <x:v>0.21</x:v>
      </x:c>
      <x:c r="C15" s="63" t="str">
        <x:v>scenario</x:v>
      </x:c>
      <x:c r="D15" s="63"/>
      <x:c r="E15" s="63"/>
      <x:c r="F15" s="63"/>
      <x:c r="G15" s="63"/>
      <x:c r="H15" s="63"/>
      <x:c r="I15" s="63"/>
      <x:c r="J15" s="63"/>
    </x:row>
    <x:row r="16">
      <x:c r="A16" s="63" t="str">
        <x:v>Grid And Generation</x:v>
      </x:c>
      <x:c r="B16" s="123" t="n">
        <x:v>0.08</x:v>
      </x:c>
      <x:c r="C16" s="63" t="str">
        <x:v>scenario</x:v>
      </x:c>
      <x:c r="D16" s="63"/>
      <x:c r="E16" s="63"/>
      <x:c r="F16" s="63"/>
      <x:c r="G16" s="63"/>
      <x:c r="H16" s="63"/>
      <x:c r="I16" s="63"/>
      <x:c r="J16" s="63"/>
    </x:row>
    <x:row r="17">
      <x:c r="A17" s="63" t="str">
        <x:v>Computing And Networking</x:v>
      </x:c>
      <x:c r="B17" s="123" t="n">
        <x:v>0.46</x:v>
      </x:c>
      <x:c r="C17" s="63" t="str">
        <x:v>scenario</x:v>
      </x:c>
      <x:c r="D17" s="63"/>
      <x:c r="E17" s="63"/>
      <x:c r="F17" s="63"/>
      <x:c r="G17" s="63"/>
      <x:c r="H17" s="63"/>
      <x:c r="I17" s="63"/>
      <x:c r="J17" s="63"/>
    </x:row>
    <x:row r="18">
      <x:c r="A18" s="63" t="str">
        <x:v>Professional And Other</x:v>
      </x:c>
      <x:c r="B18" s="121" t="n">
        <x:v>0.08</x:v>
      </x:c>
      <x:c r="C18" s="63" t="str">
        <x:v>scenario</x:v>
      </x:c>
      <x:c r="D18" s="63"/>
      <x:c r="E18" s="63"/>
      <x:c r="F18" s="63"/>
      <x:c r="G18" s="63"/>
      <x:c r="H18" s="63"/>
      <x:c r="I18" s="63"/>
      <x:c r="J18" s="63"/>
    </x:row>
    <x:row r="19">
      <x:c r="A19" s="124" t="str">
        <x:v>Component share check</x:v>
      </x:c>
      <x:c r="B19" s="125" t="n">
        <x:f>SUM(B13:B18)</x:f>
        <x:v>1</x:v>
      </x:c>
      <x:c r="C19" s="124" t="str">
        <x:v>must equal 100%</x:v>
      </x:c>
      <x:c r="D19" s="63"/>
      <x:c r="E19" s="63"/>
      <x:c r="F19" s="63"/>
      <x:c r="G19" s="63"/>
      <x:c r="H19" s="63"/>
      <x:c r="I19" s="63"/>
      <x:c r="J19" s="63"/>
    </x:row>
    <x:row r="20">
      <x:c r="A20" s="63"/>
      <x:c r="B20" s="63"/>
      <x:c r="C20" s="63"/>
      <x:c r="D20" s="63"/>
      <x:c r="E20" s="63"/>
      <x:c r="F20" s="63"/>
      <x:c r="G20" s="63"/>
      <x:c r="H20" s="63"/>
      <x:c r="I20" s="63"/>
      <x:c r="J20" s="63"/>
    </x:row>
    <x:row r="21">
      <x:c r="A21" s="63"/>
      <x:c r="B21" s="63"/>
      <x:c r="C21" s="63"/>
      <x:c r="D21" s="63"/>
      <x:c r="E21" s="63"/>
      <x:c r="F21" s="63"/>
      <x:c r="G21" s="63"/>
      <x:c r="H21" s="63"/>
      <x:c r="I21" s="63"/>
      <x:c r="J21" s="63"/>
    </x:row>
    <x:row r="22" ht="28" customHeight="1">
      <x:c r="A22" s="44" t="str">
        <x:v>Power case</x:v>
      </x:c>
      <x:c r="B22" s="84" t="str">
        <x:v>Case status</x:v>
      </x:c>
      <x:c r="C22" s="84" t="str">
        <x:v>IT load (MW)</x:v>
      </x:c>
      <x:c r="D22" s="84" t="str">
        <x:v>PUE</x:v>
      </x:c>
      <x:c r="E22" s="84" t="str">
        <x:v>Load factor</x:v>
      </x:c>
      <x:c r="F22" s="84" t="str">
        <x:v>Grid share</x:v>
      </x:c>
      <x:c r="G22" s="84" t="str">
        <x:v>Peak coincidence</x:v>
      </x:c>
      <x:c r="H22" s="84" t="str">
        <x:v>Planning margin</x:v>
      </x:c>
      <x:c r="I22" s="84" t="str">
        <x:v>Facility peak (MW)</x:v>
      </x:c>
      <x:c r="J22" s="45" t="str">
        <x:v>Transfer proxy (MW)</x:v>
      </x:c>
    </x:row>
    <x:row r="23">
      <x:c r="A23" s="63" t="str">
        <x:v>low</x:v>
      </x:c>
      <x:c r="B23" s="63" t="str">
        <x:v>scenario</x:v>
      </x:c>
      <x:c r="C23" s="126" t="n">
        <x:v>2000</x:v>
      </x:c>
      <x:c r="D23" s="127" t="n">
        <x:v>1.2</x:v>
      </x:c>
      <x:c r="E23" s="128" t="n">
        <x:v>0.88</x:v>
      </x:c>
      <x:c r="F23" s="128" t="n">
        <x:v>0.2</x:v>
      </x:c>
      <x:c r="G23" s="128" t="n">
        <x:v>0.85</x:v>
      </x:c>
      <x:c r="H23" s="129" t="n">
        <x:v>0.15</x:v>
      </x:c>
      <x:c r="I23" s="130" t="n">
        <x:f>C23*D23</x:f>
        <x:v>2400</x:v>
      </x:c>
      <x:c r="J23" s="130" t="n">
        <x:f>I23*F23*G23*(1+H23)</x:f>
        <x:v>469.2</x:v>
      </x:c>
    </x:row>
    <x:row r="24">
      <x:c r="A24" s="63" t="str">
        <x:v>central</x:v>
      </x:c>
      <x:c r="B24" s="63" t="str">
        <x:v>scenario</x:v>
      </x:c>
      <x:c r="C24" s="131" t="n">
        <x:v>4000</x:v>
      </x:c>
      <x:c r="D24" s="132" t="n">
        <x:v>1.25</x:v>
      </x:c>
      <x:c r="E24" s="133" t="n">
        <x:v>0.94</x:v>
      </x:c>
      <x:c r="F24" s="133" t="n">
        <x:v>0.4</x:v>
      </x:c>
      <x:c r="G24" s="133" t="n">
        <x:v>0.9</x:v>
      </x:c>
      <x:c r="H24" s="134" t="n">
        <x:v>0.15</x:v>
      </x:c>
      <x:c r="I24" s="130" t="n">
        <x:f>C24*D24</x:f>
        <x:v>5000</x:v>
      </x:c>
      <x:c r="J24" s="130" t="n">
        <x:f>I24*F24*G24*(1+H24)</x:f>
        <x:v>2070</x:v>
      </x:c>
    </x:row>
    <x:row r="25">
      <x:c r="A25" s="63" t="str">
        <x:v>high</x:v>
      </x:c>
      <x:c r="B25" s="63" t="str">
        <x:v>scenario</x:v>
      </x:c>
      <x:c r="C25" s="135" t="n">
        <x:v>6000</x:v>
      </x:c>
      <x:c r="D25" s="136" t="n">
        <x:v>1.35</x:v>
      </x:c>
      <x:c r="E25" s="137" t="n">
        <x:v>0.96</x:v>
      </x:c>
      <x:c r="F25" s="137" t="n">
        <x:v>0.7</x:v>
      </x:c>
      <x:c r="G25" s="137" t="n">
        <x:v>0.95</x:v>
      </x:c>
      <x:c r="H25" s="138" t="n">
        <x:v>0.2</x:v>
      </x:c>
      <x:c r="I25" s="130" t="n">
        <x:f>C25*D25</x:f>
        <x:v>8100.000000000001</x:v>
      </x:c>
      <x:c r="J25" s="130" t="n">
        <x:f>I25*F25*G25*(1+H25)</x:f>
        <x:v>6463.8</x:v>
      </x:c>
    </x:row>
    <x:row r="26">
      <x:c r="A26" s="63"/>
      <x:c r="B26" s="63"/>
      <x:c r="C26" s="63"/>
      <x:c r="D26" s="63"/>
      <x:c r="E26" s="63"/>
      <x:c r="F26" s="63"/>
      <x:c r="G26" s="63"/>
      <x:c r="H26" s="63"/>
      <x:c r="I26" s="63"/>
      <x:c r="J26" s="63"/>
    </x:row>
    <x:row r="27">
      <x:c r="A27" s="63"/>
      <x:c r="B27" s="63"/>
      <x:c r="C27" s="63"/>
      <x:c r="D27" s="63"/>
      <x:c r="E27" s="63"/>
      <x:c r="F27" s="63"/>
      <x:c r="G27" s="63"/>
      <x:c r="H27" s="63"/>
      <x:c r="I27" s="63"/>
      <x:c r="J27" s="63"/>
    </x:row>
    <x:row r="28" ht="28" customHeight="1">
      <x:c r="A28" s="44" t="str">
        <x:v>Pressure shock denominator</x:v>
      </x:c>
      <x:c r="B28" s="84" t="str">
        <x:v>CAD</x:v>
      </x:c>
      <x:c r="C28" s="84" t="str">
        <x:v>Evidence status</x:v>
      </x:c>
      <x:c r="D28" s="45" t="str">
        <x:v>Purpose</x:v>
      </x:c>
      <x:c r="E28" s="63"/>
      <x:c r="F28" s="63"/>
      <x:c r="G28" s="63"/>
      <x:c r="H28" s="63"/>
      <x:c r="I28" s="63"/>
      <x:c r="J28" s="63"/>
    </x:row>
    <x:row r="29">
      <x:c r="A29" s="63" t="str">
        <x:v>Civil</x:v>
      </x:c>
      <x:c r="B29" s="117" t="n">
        <x:v>3000000000</x:v>
      </x:c>
      <x:c r="C29" s="63" t="str">
        <x:v>assumed</x:v>
      </x:c>
      <x:c r="D29" s="63" t="str">
        <x:v>Converts annual local capex to a dimensionless shock</x:v>
      </x:c>
      <x:c r="E29" s="63"/>
      <x:c r="F29" s="63"/>
      <x:c r="G29" s="63"/>
      <x:c r="H29" s="63"/>
      <x:c r="I29" s="63"/>
      <x:c r="J29" s="63"/>
    </x:row>
    <x:row r="30">
      <x:c r="A30" s="63" t="str">
        <x:v>Electrical Mechanical</x:v>
      </x:c>
      <x:c r="B30" s="139" t="n">
        <x:v>2000000000</x:v>
      </x:c>
      <x:c r="C30" s="63" t="str">
        <x:v>assumed</x:v>
      </x:c>
      <x:c r="D30" s="63" t="str">
        <x:v>Converts annual local capex to a dimensionless shock</x:v>
      </x:c>
      <x:c r="E30" s="63"/>
      <x:c r="F30" s="63"/>
      <x:c r="G30" s="63"/>
      <x:c r="H30" s="63"/>
      <x:c r="I30" s="63"/>
      <x:c r="J30" s="63"/>
    </x:row>
    <x:row r="31">
      <x:c r="A31" s="63" t="str">
        <x:v>Power Connection</x:v>
      </x:c>
      <x:c r="B31" s="140" t="n">
        <x:v>1500000000</x:v>
      </x:c>
      <x:c r="C31" s="63" t="str">
        <x:v>assumed</x:v>
      </x:c>
      <x:c r="D31" s="63" t="str">
        <x:v>Converts annual local capex to a dimensionless shock</x:v>
      </x:c>
      <x:c r="E31" s="63"/>
      <x:c r="F31" s="63"/>
      <x:c r="G31" s="63"/>
      <x:c r="H31" s="63"/>
      <x:c r="I31" s="63"/>
      <x:c r="J31" s="63"/>
    </x:row>
    <x:row r="32">
      <x:c r="A32" s="63"/>
      <x:c r="B32" s="63"/>
      <x:c r="C32" s="63"/>
      <x:c r="D32" s="63"/>
      <x:c r="E32" s="63"/>
      <x:c r="F32" s="63"/>
      <x:c r="G32" s="63"/>
      <x:c r="H32" s="63"/>
      <x:c r="I32" s="63"/>
      <x:c r="J32" s="63"/>
    </x:row>
    <x:row r="33">
      <x:c r="A33" s="63"/>
      <x:c r="B33" s="63"/>
      <x:c r="C33" s="63"/>
      <x:c r="D33" s="63"/>
      <x:c r="E33" s="63"/>
      <x:c r="F33" s="63"/>
      <x:c r="G33" s="63"/>
      <x:c r="H33" s="63"/>
      <x:c r="I33" s="63"/>
      <x:c r="J33" s="63"/>
    </x:row>
    <x:row r="34">
      <x:c r="A34" s="30" t="str">
        <x:v>Load, efficiency, grid share, coincidence and margin are explicit scenario assumptions independent of capex. The transfer proxy is not an AESO needs assessment. Assumed annual Alberta absorption denominators used only to create dimensionless pressure shocks. They require calibration and sensitivity analysis.</x:v>
      </x:c>
      <x:c r="B34" s="31"/>
      <x:c r="C34" s="31"/>
      <x:c r="D34" s="31"/>
      <x:c r="E34" s="31"/>
      <x:c r="F34" s="31"/>
      <x:c r="G34" s="31"/>
      <x:c r="H34" s="31"/>
      <x:c r="I34" s="31"/>
      <x:c r="J34" s="32"/>
    </x:row>
    <x:row r="35">
      <x:c r="A35" s="33"/>
      <x:c r="B35" s="34"/>
      <x:c r="C35" s="34"/>
      <x:c r="D35" s="34"/>
      <x:c r="E35" s="34"/>
      <x:c r="F35" s="34"/>
      <x:c r="G35" s="34"/>
      <x:c r="H35" s="34"/>
      <x:c r="I35" s="34"/>
      <x:c r="J35" s="35"/>
    </x:row>
    <x:row r="36">
      <x:c r="A36" s="33"/>
      <x:c r="B36" s="34"/>
      <x:c r="C36" s="34"/>
      <x:c r="D36" s="34"/>
      <x:c r="E36" s="34"/>
      <x:c r="F36" s="34"/>
      <x:c r="G36" s="34"/>
      <x:c r="H36" s="34"/>
      <x:c r="I36" s="34"/>
      <x:c r="J36" s="35"/>
    </x:row>
    <x:row r="37">
      <x:c r="A37" s="36"/>
      <x:c r="B37" s="37"/>
      <x:c r="C37" s="37"/>
      <x:c r="D37" s="37"/>
      <x:c r="E37" s="37"/>
      <x:c r="F37" s="37"/>
      <x:c r="G37" s="37"/>
      <x:c r="H37" s="37"/>
      <x:c r="I37" s="37"/>
      <x:c r="J37" s="38"/>
    </x:row>
    <x:row r="38">
      <x:c r="A38" s="63"/>
      <x:c r="B38" s="63"/>
      <x:c r="C38" s="63"/>
      <x:c r="D38" s="63"/>
      <x:c r="E38" s="63"/>
      <x:c r="F38" s="63"/>
      <x:c r="G38" s="63"/>
      <x:c r="H38" s="63"/>
      <x:c r="I38" s="63"/>
      <x:c r="J38" s="63"/>
    </x:row>
  </x:sheetData>
  <x:mergeCells>
    <x:mergeCell ref="A1:J2"/>
    <x:mergeCell ref="A3:J3"/>
    <x:mergeCell ref="A34:J37"/>
  </x:mergeCells>
  <x:dataValidations count="2">
    <x:dataValidation type="decimal" operator="greaterThanOrEqual" sqref="B5">
      <x:formula1>0</x:formula1>
    </x:dataValidation>
    <x:dataValidation type="whole" operator="between" sqref="B6:B7">
      <x:formula1>2026</x:formula1>
      <x:formula2>2050</x:formula2>
    </x:dataValidation>
  </x:dataValidations>
  <x:pageMargins left="0.7" right="0.7" top="0.75" bottom="0.75" header="0.3" footer="0.3"/>
  <x:legacyDrawing xmlns:r="http://schemas.openxmlformats.org/officeDocument/2006/relationships" r:id="R685f5e9253104c8a"/>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2" hidden="0" customWidth="1"/>
    <x:col min="4" max="4" width="22" hidden="0" customWidth="1"/>
    <x:col min="5" max="5" width="30" hidden="0" customWidth="1"/>
    <x:col min="6" max="6" width="27" hidden="0" customWidth="1"/>
    <x:col min="7" max="7" width="18" hidden="0" customWidth="1"/>
  </x:cols>
  <x:sheetData>
    <x:row r="1" ht="28" customHeight="1">
      <x:c r="A1" s="61" t="str">
        <x:v>Alberta $50B scenario timeline</x:v>
      </x:c>
      <x:c r="B1" s="61"/>
      <x:c r="C1" s="61"/>
      <x:c r="D1" s="61"/>
      <x:c r="E1" s="61"/>
      <x:c r="F1" s="61"/>
      <x:c r="G1" s="61"/>
    </x:row>
    <x:row r="2" ht="28" customHeight="1">
      <x:c r="A2" s="61"/>
      <x:c r="B2" s="61"/>
      <x:c r="C2" s="61"/>
      <x:c r="D2" s="61"/>
      <x:c r="E2" s="61"/>
      <x:c r="F2" s="61"/>
      <x:c r="G2" s="61"/>
    </x:row>
    <x:row r="3" ht="21" customHeight="1">
      <x:c r="A3" s="62" t="str">
        <x:v>Formula-driven annual decomposition · 2027–2036 staggered pathway</x:v>
      </x:c>
      <x:c r="B3" s="62"/>
      <x:c r="C3" s="62"/>
      <x:c r="D3" s="62"/>
      <x:c r="E3" s="62"/>
      <x:c r="F3" s="62"/>
      <x:c r="G3" s="62"/>
    </x:row>
    <x:row r="4" ht="28" customHeight="1">
      <x:c r="A4" s="44" t="str">
        <x:v>Year</x:v>
      </x:c>
      <x:c r="B4" s="84" t="str">
        <x:v>Annual profile</x:v>
      </x:c>
      <x:c r="C4" s="84" t="str">
        <x:v>Total capex (CAD)</x:v>
      </x:c>
      <x:c r="D4" s="84" t="str">
        <x:v>Local civil (CAD)</x:v>
      </x:c>
      <x:c r="E4" s="84" t="str">
        <x:v>Local electrical &amp; mechanical (CAD)</x:v>
      </x:c>
      <x:c r="F4" s="84" t="str">
        <x:v>Local grid &amp; generation (CAD)</x:v>
      </x:c>
      <x:c r="G4" s="45" t="str">
        <x:v>Evidence status</x:v>
      </x:c>
    </x:row>
    <x:row r="5">
      <x:c r="A5" s="63" t="n">
        <x:f>'Assumptions'!B6</x:f>
        <x:v>2027</x:v>
      </x:c>
      <x:c r="B5" s="122" t="n">
        <x:v>0.04</x:v>
      </x:c>
      <x:c r="C5" s="143" t="n">
        <x:f>'Assumptions'!$B$5*B5</x:f>
        <x:v>2000000000</x:v>
      </x:c>
      <x:c r="D5" s="143" t="n">
        <x:f>C5*('Assumptions'!$B$13+'Assumptions'!$B$14)*'Assumptions'!$B$10</x:f>
        <x:v>244800000</x:v>
      </x:c>
      <x:c r="E5" s="143" t="n">
        <x:f>C5*'Assumptions'!$B$15*'Assumptions'!$B$10</x:f>
        <x:v>302400000</x:v>
      </x:c>
      <x:c r="F5" s="143" t="n">
        <x:f>C5*'Assumptions'!$B$16*'Assumptions'!$B$10</x:f>
        <x:v>115200000</x:v>
      </x:c>
      <x:c r="G5" s="63" t="str">
        <x:v>scenario</x:v>
      </x:c>
    </x:row>
    <x:row r="6">
      <x:c r="A6" s="63" t="n">
        <x:f>A5+1</x:f>
        <x:v>2028</x:v>
      </x:c>
      <x:c r="B6" s="123" t="n">
        <x:v>0.07</x:v>
      </x:c>
      <x:c r="C6" s="143" t="n">
        <x:f>'Assumptions'!$B$5*B6</x:f>
        <x:v>3500000000.0000005</x:v>
      </x:c>
      <x:c r="D6" s="143" t="n">
        <x:f>C6*('Assumptions'!$B$13+'Assumptions'!$B$14)*'Assumptions'!$B$10</x:f>
        <x:v>428400000.00000006</x:v>
      </x:c>
      <x:c r="E6" s="143" t="n">
        <x:f>C6*'Assumptions'!$B$15*'Assumptions'!$B$10</x:f>
        <x:v>529200000.00000006</x:v>
      </x:c>
      <x:c r="F6" s="143" t="n">
        <x:f>C6*'Assumptions'!$B$16*'Assumptions'!$B$10</x:f>
        <x:v>201600000.00000003</x:v>
      </x:c>
      <x:c r="G6" s="63" t="str">
        <x:v>scenario</x:v>
      </x:c>
    </x:row>
    <x:row r="7">
      <x:c r="A7" s="63" t="n">
        <x:f>A6+1</x:f>
        <x:v>2029</x:v>
      </x:c>
      <x:c r="B7" s="123" t="n">
        <x:v>0.1</x:v>
      </x:c>
      <x:c r="C7" s="143" t="n">
        <x:f>'Assumptions'!$B$5*B7</x:f>
        <x:v>5000000000</x:v>
      </x:c>
      <x:c r="D7" s="143" t="n">
        <x:f>C7*('Assumptions'!$B$13+'Assumptions'!$B$14)*'Assumptions'!$B$10</x:f>
        <x:v>612000000.0000001</x:v>
      </x:c>
      <x:c r="E7" s="143" t="n">
        <x:f>C7*'Assumptions'!$B$15*'Assumptions'!$B$10</x:f>
        <x:v>756000000</x:v>
      </x:c>
      <x:c r="F7" s="143" t="n">
        <x:f>C7*'Assumptions'!$B$16*'Assumptions'!$B$10</x:f>
        <x:v>288000000</x:v>
      </x:c>
      <x:c r="G7" s="63" t="str">
        <x:v>scenario</x:v>
      </x:c>
    </x:row>
    <x:row r="8">
      <x:c r="A8" s="63" t="n">
        <x:f>A7+1</x:f>
        <x:v>2030</x:v>
      </x:c>
      <x:c r="B8" s="123" t="n">
        <x:v>0.12</x:v>
      </x:c>
      <x:c r="C8" s="143" t="n">
        <x:f>'Assumptions'!$B$5*B8</x:f>
        <x:v>6000000000</x:v>
      </x:c>
      <x:c r="D8" s="143" t="n">
        <x:f>C8*('Assumptions'!$B$13+'Assumptions'!$B$14)*'Assumptions'!$B$10</x:f>
        <x:v>734400000</x:v>
      </x:c>
      <x:c r="E8" s="143" t="n">
        <x:f>C8*'Assumptions'!$B$15*'Assumptions'!$B$10</x:f>
        <x:v>907200000</x:v>
      </x:c>
      <x:c r="F8" s="143" t="n">
        <x:f>C8*'Assumptions'!$B$16*'Assumptions'!$B$10</x:f>
        <x:v>345600000</x:v>
      </x:c>
      <x:c r="G8" s="63" t="str">
        <x:v>scenario</x:v>
      </x:c>
    </x:row>
    <x:row r="9">
      <x:c r="A9" s="63" t="n">
        <x:f>A8+1</x:f>
        <x:v>2031</x:v>
      </x:c>
      <x:c r="B9" s="123" t="n">
        <x:v>0.14</x:v>
      </x:c>
      <x:c r="C9" s="143" t="n">
        <x:f>'Assumptions'!$B$5*B9</x:f>
        <x:v>7000000000.000001</x:v>
      </x:c>
      <x:c r="D9" s="143" t="n">
        <x:f>C9*('Assumptions'!$B$13+'Assumptions'!$B$14)*'Assumptions'!$B$10</x:f>
        <x:v>856800000.0000001</x:v>
      </x:c>
      <x:c r="E9" s="143" t="n">
        <x:f>C9*'Assumptions'!$B$15*'Assumptions'!$B$10</x:f>
        <x:v>1058400000.0000001</x:v>
      </x:c>
      <x:c r="F9" s="143" t="n">
        <x:f>C9*'Assumptions'!$B$16*'Assumptions'!$B$10</x:f>
        <x:v>403200000.00000006</x:v>
      </x:c>
      <x:c r="G9" s="63" t="str">
        <x:v>scenario</x:v>
      </x:c>
    </x:row>
    <x:row r="10">
      <x:c r="A10" s="63" t="n">
        <x:f>A9+1</x:f>
        <x:v>2032</x:v>
      </x:c>
      <x:c r="B10" s="123" t="n">
        <x:v>0.14</x:v>
      </x:c>
      <x:c r="C10" s="143" t="n">
        <x:f>'Assumptions'!$B$5*B10</x:f>
        <x:v>7000000000.000001</x:v>
      </x:c>
      <x:c r="D10" s="143" t="n">
        <x:f>C10*('Assumptions'!$B$13+'Assumptions'!$B$14)*'Assumptions'!$B$10</x:f>
        <x:v>856800000.0000001</x:v>
      </x:c>
      <x:c r="E10" s="143" t="n">
        <x:f>C10*'Assumptions'!$B$15*'Assumptions'!$B$10</x:f>
        <x:v>1058400000.0000001</x:v>
      </x:c>
      <x:c r="F10" s="143" t="n">
        <x:f>C10*'Assumptions'!$B$16*'Assumptions'!$B$10</x:f>
        <x:v>403200000.00000006</x:v>
      </x:c>
      <x:c r="G10" s="63" t="str">
        <x:v>scenario</x:v>
      </x:c>
    </x:row>
    <x:row r="11">
      <x:c r="A11" s="63" t="n">
        <x:f>A10+1</x:f>
        <x:v>2033</x:v>
      </x:c>
      <x:c r="B11" s="123" t="n">
        <x:v>0.13</x:v>
      </x:c>
      <x:c r="C11" s="143" t="n">
        <x:f>'Assumptions'!$B$5*B11</x:f>
        <x:v>6500000000</x:v>
      </x:c>
      <x:c r="D11" s="143" t="n">
        <x:f>C11*('Assumptions'!$B$13+'Assumptions'!$B$14)*'Assumptions'!$B$10</x:f>
        <x:v>795600000</x:v>
      </x:c>
      <x:c r="E11" s="143" t="n">
        <x:f>C11*'Assumptions'!$B$15*'Assumptions'!$B$10</x:f>
        <x:v>982800000</x:v>
      </x:c>
      <x:c r="F11" s="143" t="n">
        <x:f>C11*'Assumptions'!$B$16*'Assumptions'!$B$10</x:f>
        <x:v>374400000</x:v>
      </x:c>
      <x:c r="G11" s="63" t="str">
        <x:v>scenario</x:v>
      </x:c>
    </x:row>
    <x:row r="12">
      <x:c r="A12" s="63" t="n">
        <x:f>A11+1</x:f>
        <x:v>2034</x:v>
      </x:c>
      <x:c r="B12" s="123" t="n">
        <x:v>0.11</x:v>
      </x:c>
      <x:c r="C12" s="143" t="n">
        <x:f>'Assumptions'!$B$5*B12</x:f>
        <x:v>5500000000</x:v>
      </x:c>
      <x:c r="D12" s="143" t="n">
        <x:f>C12*('Assumptions'!$B$13+'Assumptions'!$B$14)*'Assumptions'!$B$10</x:f>
        <x:v>673200000.0000001</x:v>
      </x:c>
      <x:c r="E12" s="143" t="n">
        <x:f>C12*'Assumptions'!$B$15*'Assumptions'!$B$10</x:f>
        <x:v>831600000</x:v>
      </x:c>
      <x:c r="F12" s="143" t="n">
        <x:f>C12*'Assumptions'!$B$16*'Assumptions'!$B$10</x:f>
        <x:v>316800000</x:v>
      </x:c>
      <x:c r="G12" s="63" t="str">
        <x:v>scenario</x:v>
      </x:c>
    </x:row>
    <x:row r="13">
      <x:c r="A13" s="63" t="n">
        <x:f>A12+1</x:f>
        <x:v>2035</x:v>
      </x:c>
      <x:c r="B13" s="123" t="n">
        <x:v>0.09</x:v>
      </x:c>
      <x:c r="C13" s="143" t="n">
        <x:f>'Assumptions'!$B$5*B13</x:f>
        <x:v>4500000000</x:v>
      </x:c>
      <x:c r="D13" s="143" t="n">
        <x:f>C13*('Assumptions'!$B$13+'Assumptions'!$B$14)*'Assumptions'!$B$10</x:f>
        <x:v>550800000</x:v>
      </x:c>
      <x:c r="E13" s="143" t="n">
        <x:f>C13*'Assumptions'!$B$15*'Assumptions'!$B$10</x:f>
        <x:v>680400000</x:v>
      </x:c>
      <x:c r="F13" s="143" t="n">
        <x:f>C13*'Assumptions'!$B$16*'Assumptions'!$B$10</x:f>
        <x:v>259200000</x:v>
      </x:c>
      <x:c r="G13" s="63" t="str">
        <x:v>scenario</x:v>
      </x:c>
    </x:row>
    <x:row r="14">
      <x:c r="A14" s="63" t="n">
        <x:f>A13+1</x:f>
        <x:v>2036</x:v>
      </x:c>
      <x:c r="B14" s="121" t="n">
        <x:v>0.06</x:v>
      </x:c>
      <x:c r="C14" s="143" t="n">
        <x:f>'Assumptions'!$B$5*B14</x:f>
        <x:v>3000000000</x:v>
      </x:c>
      <x:c r="D14" s="143" t="n">
        <x:f>C14*('Assumptions'!$B$13+'Assumptions'!$B$14)*'Assumptions'!$B$10</x:f>
        <x:v>367200000</x:v>
      </x:c>
      <x:c r="E14" s="143" t="n">
        <x:f>C14*'Assumptions'!$B$15*'Assumptions'!$B$10</x:f>
        <x:v>453600000</x:v>
      </x:c>
      <x:c r="F14" s="143" t="n">
        <x:f>C14*'Assumptions'!$B$16*'Assumptions'!$B$10</x:f>
        <x:v>172800000</x:v>
      </x:c>
      <x:c r="G14" s="63" t="str">
        <x:v>scenario</x:v>
      </x:c>
    </x:row>
    <x:row r="15">
      <x:c r="A15" s="124" t="str">
        <x:v>Total / check</x:v>
      </x:c>
      <x:c r="B15" s="125" t="n">
        <x:f>SUM(B5:B14)</x:f>
        <x:v>1</x:v>
      </x:c>
      <x:c r="C15" s="144" t="n">
        <x:f>SUM(C5:C14)</x:f>
        <x:v>50000000000</x:v>
      </x:c>
      <x:c r="D15" s="144" t="n">
        <x:f>SUM(D5:D14)</x:f>
        <x:v>6120000000</x:v>
      </x:c>
      <x:c r="E15" s="144" t="n">
        <x:f>SUM(E5:E14)</x:f>
        <x:v>7560000000</x:v>
      </x:c>
      <x:c r="F15" s="144" t="n">
        <x:f>SUM(F5:F14)</x:f>
        <x:v>2880000000</x:v>
      </x:c>
      <x:c r="G15" s="124" t="str">
        <x:v>scenario</x:v>
      </x:c>
    </x:row>
    <x:row r="16">
      <x:c r="A16" s="63"/>
      <x:c r="B16" s="63"/>
      <x:c r="C16" s="63"/>
      <x:c r="D16" s="63"/>
      <x:c r="E16" s="63"/>
      <x:c r="F16" s="63"/>
      <x:c r="G16" s="63"/>
    </x:row>
    <x:row r="17">
      <x:c r="A17" s="63"/>
      <x:c r="B17" s="63"/>
      <x:c r="C17" s="63"/>
      <x:c r="D17" s="63"/>
      <x:c r="E17" s="63"/>
      <x:c r="F17" s="63"/>
      <x:c r="G17" s="63"/>
    </x:row>
  </x:sheetData>
  <x:mergeCells>
    <x:mergeCell ref="A1:G2"/>
    <x:mergeCell ref="A3:G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7" hidden="0" customWidth="1"/>
    <x:col min="2" max="2" width="31" hidden="0" customWidth="1"/>
    <x:col min="3" max="3" width="15" hidden="0" customWidth="1"/>
    <x:col min="4" max="4" width="12" hidden="0" customWidth="1"/>
    <x:col min="5" max="5" width="12" hidden="0" customWidth="1"/>
    <x:col min="6" max="6" width="12" hidden="0" customWidth="1"/>
    <x:col min="7" max="7" width="18" hidden="0" customWidth="1"/>
    <x:col min="8" max="8" width="23" hidden="0" customWidth="1"/>
    <x:col min="9" max="9" width="42" hidden="0" customWidth="1"/>
  </x:cols>
  <x:sheetData>
    <x:row r="1" ht="28" customHeight="1">
      <x:c r="A1" s="61" t="str">
        <x:v>Graph pressure results</x:v>
      </x:c>
      <x:c r="B1" s="61"/>
      <x:c r="C1" s="61"/>
      <x:c r="D1" s="61"/>
      <x:c r="E1" s="61"/>
      <x:c r="F1" s="61"/>
      <x:c r="G1" s="61"/>
      <x:c r="H1" s="61"/>
      <x:c r="I1" s="61"/>
    </x:row>
    <x:row r="2" ht="28" customHeight="1">
      <x:c r="A2" s="61"/>
      <x:c r="B2" s="61"/>
      <x:c r="C2" s="61"/>
      <x:c r="D2" s="61"/>
      <x:c r="E2" s="61"/>
      <x:c r="F2" s="61"/>
      <x:c r="G2" s="61"/>
      <x:c r="H2" s="61"/>
      <x:c r="I2" s="61"/>
    </x:row>
    <x:row r="3" ht="21" customHeight="1">
      <x:c r="A3" s="62" t="str">
        <x:v>External engine output from the immutable scenario release</x:v>
      </x:c>
      <x:c r="B3" s="62"/>
      <x:c r="C3" s="62"/>
      <x:c r="D3" s="62"/>
      <x:c r="E3" s="62"/>
      <x:c r="F3" s="62"/>
      <x:c r="G3" s="62"/>
      <x:c r="H3" s="62"/>
      <x:c r="I3" s="62"/>
    </x:row>
    <x:row r="4" ht="28" customHeight="1">
      <x:c r="A4" s="44" t="str">
        <x:v>Node ID</x:v>
      </x:c>
      <x:c r="B4" s="84" t="str">
        <x:v>Label</x:v>
      </x:c>
      <x:c r="C4" s="84" t="str">
        <x:v>Node type</x:v>
      </x:c>
      <x:c r="D4" s="84" t="str">
        <x:v>Low</x:v>
      </x:c>
      <x:c r="E4" s="84" t="str">
        <x:v>Central</x:v>
      </x:c>
      <x:c r="F4" s="84" t="str">
        <x:v>High</x:v>
      </x:c>
      <x:c r="G4" s="84" t="str">
        <x:v>Evidence status</x:v>
      </x:c>
      <x:c r="H4" s="84" t="str">
        <x:v>Model ID</x:v>
      </x:c>
      <x:c r="I4" s="45" t="str">
        <x:v>Interpretation</x:v>
      </x:c>
    </x:row>
    <x:row r="5">
      <x:c r="A5" s="63" t="str">
        <x:v>TRADE_ELECTRICIANS</x:v>
      </x:c>
      <x:c r="B5" s="63" t="str">
        <x:v>Electricians</x:v>
      </x:c>
      <x:c r="C5" s="63" t="str">
        <x:v>resource</x:v>
      </x:c>
      <x:c r="D5" s="147" t="n">
        <x:v>0.261954</x:v>
      </x:c>
      <x:c r="E5" s="147" t="n">
        <x:v>0.333396</x:v>
      </x:c>
      <x:c r="F5" s="147" t="n">
        <x:v>0.404838</x:v>
      </x:c>
      <x:c r="G5" s="148" t="str">
        <x:v>scenario</x:v>
      </x:c>
      <x:c r="H5" s="63" t="str">
        <x:v>AIIO_AB_GRAPH_0_1</x:v>
      </x:c>
      <x:c r="I5" s="63" t="str">
        <x:v>Dimensionless pressure index; not workers, cost or delay</x:v>
      </x:c>
    </x:row>
    <x:row r="6">
      <x:c r="A6" s="63" t="str">
        <x:v>TRADE_POWERLINE</x:v>
      </x:c>
      <x:c r="B6" s="63" t="str">
        <x:v>Power-line trades</x:v>
      </x:c>
      <x:c r="C6" s="63" t="str">
        <x:v>resource</x:v>
      </x:c>
      <x:c r="D6" s="147" t="n">
        <x:v>0.193536</x:v>
      </x:c>
      <x:c r="E6" s="147" t="n">
        <x:v>0.305424</x:v>
      </x:c>
      <x:c r="F6" s="147" t="n">
        <x:v>0.405216</x:v>
      </x:c>
      <x:c r="G6" s="148" t="str">
        <x:v>scenario</x:v>
      </x:c>
      <x:c r="H6" s="63" t="str">
        <x:v>AIIO_AB_GRAPH_0_1</x:v>
      </x:c>
      <x:c r="I6" s="63" t="str">
        <x:v>Dimensionless pressure index; not workers, cost or delay</x:v>
      </x:c>
    </x:row>
    <x:row r="7">
      <x:c r="A7" s="63" t="str">
        <x:v>TRADE_HVAC</x:v>
      </x:c>
      <x:c r="B7" s="63" t="str">
        <x:v>HVAC mechanics</x:v>
      </x:c>
      <x:c r="C7" s="63" t="str">
        <x:v>resource</x:v>
      </x:c>
      <x:c r="D7" s="147" t="n">
        <x:v>0.157437</x:v>
      </x:c>
      <x:c r="E7" s="147" t="n">
        <x:v>0.22491</x:v>
      </x:c>
      <x:c r="F7" s="147" t="n">
        <x:v>0.292383</x:v>
      </x:c>
      <x:c r="G7" s="148" t="str">
        <x:v>scenario</x:v>
      </x:c>
      <x:c r="H7" s="63" t="str">
        <x:v>AIIO_AB_GRAPH_0_1</x:v>
      </x:c>
      <x:c r="I7" s="63" t="str">
        <x:v>Dimensionless pressure index; not workers, cost or delay</x:v>
      </x:c>
    </x:row>
    <x:row r="8">
      <x:c r="A8" s="63" t="str">
        <x:v>TRADE_CONCRETE</x:v>
      </x:c>
      <x:c r="B8" s="63" t="str">
        <x:v>Concrete trades</x:v>
      </x:c>
      <x:c r="C8" s="63" t="str">
        <x:v>resource</x:v>
      </x:c>
      <x:c r="D8" s="147" t="n">
        <x:v>0.097104</x:v>
      </x:c>
      <x:c r="E8" s="147" t="n">
        <x:v>0.133518</x:v>
      </x:c>
      <x:c r="F8" s="147" t="n">
        <x:v>0.169932</x:v>
      </x:c>
      <x:c r="G8" s="148" t="str">
        <x:v>scenario</x:v>
      </x:c>
      <x:c r="H8" s="63" t="str">
        <x:v>AIIO_AB_GRAPH_0_1</x:v>
      </x:c>
      <x:c r="I8" s="63" t="str">
        <x:v>Dimensionless pressure index; not workers, cost or delay</x:v>
      </x:c>
    </x:row>
    <x:row r="9">
      <x:c r="A9" s="63" t="str">
        <x:v>SCHEDULE_UTILITIES</x:v>
      </x:c>
      <x:c r="B9" s="63" t="str">
        <x:v>Regulated utility schedules</x:v>
      </x:c>
      <x:c r="C9" s="63" t="str">
        <x:v>outcome</x:v>
      </x:c>
      <x:c r="D9" s="147" t="n">
        <x:v>0.12604</x:v>
      </x:c>
      <x:c r="E9" s="147" t="n">
        <x:v>0.267031</x:v>
      </x:c>
      <x:c r="F9" s="147" t="n">
        <x:v>0.436593</x:v>
      </x:c>
      <x:c r="G9" s="148" t="str">
        <x:v>scenario</x:v>
      </x:c>
      <x:c r="H9" s="63" t="str">
        <x:v>AIIO_AB_GRAPH_0_1</x:v>
      </x:c>
      <x:c r="I9" s="63" t="str">
        <x:v>Dimensionless pressure index; not workers, cost or delay</x:v>
      </x:c>
    </x:row>
    <x:row r="10">
      <x:c r="A10" s="63" t="str">
        <x:v>SCHEDULE_HOSPITALS</x:v>
      </x:c>
      <x:c r="B10" s="63" t="str">
        <x:v>Hospital delivery schedules</x:v>
      </x:c>
      <x:c r="C10" s="63" t="str">
        <x:v>outcome</x:v>
      </x:c>
      <x:c r="D10" s="147" t="n">
        <x:v>0.075672</x:v>
      </x:c>
      <x:c r="E10" s="147" t="n">
        <x:v>0.239882</x:v>
      </x:c>
      <x:c r="F10" s="147" t="n">
        <x:v>0.562773</x:v>
      </x:c>
      <x:c r="G10" s="148" t="str">
        <x:v>scenario</x:v>
      </x:c>
      <x:c r="H10" s="63" t="str">
        <x:v>AIIO_AB_GRAPH_0_1</x:v>
      </x:c>
      <x:c r="I10" s="63" t="str">
        <x:v>Dimensionless pressure index; not workers, cost or delay</x:v>
      </x:c>
    </x:row>
    <x:row r="11">
      <x:c r="A11" s="63" t="str">
        <x:v>SCHEDULE_SCHOOLS</x:v>
      </x:c>
      <x:c r="B11" s="63" t="str">
        <x:v>School delivery schedules</x:v>
      </x:c>
      <x:c r="C11" s="63" t="str">
        <x:v>outcome</x:v>
      </x:c>
      <x:c r="D11" s="147" t="n">
        <x:v>0.061385</x:v>
      </x:c>
      <x:c r="E11" s="147" t="n">
        <x:v>0.203343</x:v>
      </x:c>
      <x:c r="F11" s="147" t="n">
        <x:v>0.48607</x:v>
      </x:c>
      <x:c r="G11" s="148" t="str">
        <x:v>scenario</x:v>
      </x:c>
      <x:c r="H11" s="63" t="str">
        <x:v>AIIO_AB_GRAPH_0_1</x:v>
      </x:c>
      <x:c r="I11" s="63" t="str">
        <x:v>Dimensionless pressure index; not workers, cost or delay</x:v>
      </x:c>
    </x:row>
    <x:row r="12">
      <x:c r="A12" s="63" t="str">
        <x:v>SCHEDULE_GOVERNMENT</x:v>
      </x:c>
      <x:c r="B12" s="63" t="str">
        <x:v>Government facility schedules</x:v>
      </x:c>
      <x:c r="C12" s="63" t="str">
        <x:v>outcome</x:v>
      </x:c>
      <x:c r="D12" s="147" t="n">
        <x:v>0.052497</x:v>
      </x:c>
      <x:c r="E12" s="147" t="n">
        <x:v>0.170104</x:v>
      </x:c>
      <x:c r="F12" s="147" t="n">
        <x:v>0.403192</x:v>
      </x:c>
      <x:c r="G12" s="148" t="str">
        <x:v>scenario</x:v>
      </x:c>
      <x:c r="H12" s="63" t="str">
        <x:v>AIIO_AB_GRAPH_0_1</x:v>
      </x:c>
      <x:c r="I12" s="63" t="str">
        <x:v>Dimensionless pressure index; not workers, cost or delay</x:v>
      </x:c>
    </x:row>
    <x:row r="13">
      <x:c r="A13" s="63" t="str">
        <x:v>SCHEDULE_ROADS_MUNICIPAL</x:v>
      </x:c>
      <x:c r="B13" s="63" t="str">
        <x:v>Road and municipal schedules</x:v>
      </x:c>
      <x:c r="C13" s="63" t="str">
        <x:v>outcome</x:v>
      </x:c>
      <x:c r="D13" s="147" t="n">
        <x:v>0.032528</x:v>
      </x:c>
      <x:c r="E13" s="147" t="n">
        <x:v>0.115719</x:v>
      </x:c>
      <x:c r="F13" s="147" t="n">
        <x:v>0.287757</x:v>
      </x:c>
      <x:c r="G13" s="148" t="str">
        <x:v>scenario</x:v>
      </x:c>
      <x:c r="H13" s="63" t="str">
        <x:v>AIIO_AB_GRAPH_0_1</x:v>
      </x:c>
      <x:c r="I13" s="63" t="str">
        <x:v>Dimensionless pressure index; not workers, cost or delay</x:v>
      </x:c>
    </x:row>
    <x:row r="14">
      <x:c r="A14" s="63"/>
      <x:c r="B14" s="63"/>
      <x:c r="C14" s="63"/>
      <x:c r="D14" s="63"/>
      <x:c r="E14" s="63"/>
      <x:c r="F14" s="63"/>
      <x:c r="G14" s="63"/>
      <x:c r="H14" s="63"/>
      <x:c r="I14" s="63"/>
    </x:row>
    <x:row r="15">
      <x:c r="A15" s="63"/>
      <x:c r="B15" s="63"/>
      <x:c r="C15" s="63"/>
      <x:c r="D15" s="63"/>
      <x:c r="E15" s="63"/>
      <x:c r="F15" s="63"/>
      <x:c r="G15" s="63"/>
      <x:c r="H15" s="63"/>
      <x:c r="I15" s="63"/>
    </x:row>
    <x:row r="16">
      <x:c r="A16" s="63"/>
      <x:c r="B16" s="63"/>
      <x:c r="C16" s="63"/>
      <x:c r="D16" s="63"/>
      <x:c r="E16" s="63"/>
      <x:c r="F16" s="63"/>
      <x:c r="G16" s="63"/>
      <x:c r="H16" s="63"/>
      <x:c r="I16" s="63"/>
    </x:row>
    <x:row r="17">
      <x:c r="A17" s="63"/>
      <x:c r="B17" s="63"/>
      <x:c r="C17" s="63"/>
      <x:c r="D17" s="63"/>
      <x:c r="E17" s="63"/>
      <x:c r="F17" s="63"/>
      <x:c r="G17" s="63"/>
      <x:c r="H17" s="63"/>
      <x:c r="I17" s="63"/>
    </x:row>
    <x:row r="18">
      <x:c r="A18" s="63"/>
      <x:c r="B18" s="63"/>
      <x:c r="C18" s="63"/>
      <x:c r="D18" s="63"/>
      <x:c r="E18" s="63"/>
      <x:c r="F18" s="63"/>
      <x:c r="G18" s="63"/>
      <x:c r="H18" s="63"/>
      <x:c r="I18" s="63"/>
    </x:row>
    <x:row r="19">
      <x:c r="A19" s="63"/>
      <x:c r="B19" s="63"/>
      <x:c r="C19" s="63"/>
      <x:c r="D19" s="63"/>
      <x:c r="E19" s="63"/>
      <x:c r="F19" s="63"/>
      <x:c r="G19" s="63"/>
      <x:c r="H19" s="63"/>
      <x:c r="I19" s="63"/>
    </x:row>
    <x:row r="20">
      <x:c r="A20" s="63"/>
      <x:c r="B20" s="63"/>
      <x:c r="C20" s="63"/>
      <x:c r="D20" s="63"/>
      <x:c r="E20" s="63"/>
      <x:c r="F20" s="63"/>
      <x:c r="G20" s="63"/>
      <x:c r="H20" s="63"/>
      <x:c r="I20" s="63"/>
    </x:row>
  </x:sheetData>
  <x:mergeCells>
    <x:mergeCell ref="A1:I2"/>
    <x:mergeCell ref="A3:I3"/>
  </x:mergeCells>
  <x:conditionalFormatting sqref="E5:E13">
    <x:cfRule type="dataBar" priority="1">
      <x:dataBar>
        <x:cfvo type="min"/>
        <x:cfvo type="max"/>
        <x:color rgb="FF2F8F83"/>
      </x:dataBar>
      <x:extLst>
        <x:ext xmlns:x14="http://schemas.microsoft.com/office/spreadsheetml/2009/9/main" uri="{B025F937-C7B1-47D3-B67F-A62EFF666E3E}">
          <x14:id>{5D0DD326-5BBC-BF04-36A1-AECDDE6039A8}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5D0DD326-5BBC-BF04-36A1-AECDDE6039A8}">
            <x14:dataBar gradient="1">
              <x14:cfvo type="min"/>
              <x14:cfvo type="max"/>
              <x14:fillColor rgb="FF2F8F83"/>
            </x14:dataBar>
          </x14:cfRule>
          <xm:sqref>E5:E13</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39" hidden="0" customWidth="1"/>
    <x:col min="3" max="3" width="20" hidden="0" customWidth="1"/>
    <x:col min="4" max="4" width="22" hidden="0" customWidth="1"/>
    <x:col min="5" max="5" width="12" hidden="0" customWidth="1"/>
    <x:col min="6" max="6" width="12" hidden="0" customWidth="1"/>
    <x:col min="7" max="7" width="19" hidden="0" customWidth="1"/>
    <x:col min="8" max="8" width="31" hidden="0" customWidth="1"/>
    <x:col min="9" max="9" width="36" hidden="0" customWidth="1"/>
    <x:col min="10" max="10" width="13" hidden="0" customWidth="1"/>
    <x:col min="11" max="11" width="13" hidden="0" customWidth="1"/>
    <x:col min="12" max="12" width="17" hidden="0" customWidth="1"/>
    <x:col min="13" max="13" width="21" hidden="0" customWidth="1"/>
    <x:col min="14" max="14" width="15" hidden="0" customWidth="1"/>
    <x:col min="15" max="15" width="20" hidden="0" customWidth="1"/>
    <x:col min="16" max="16" width="14" hidden="0" customWidth="1"/>
    <x:col min="17" max="17" width="36" hidden="0" customWidth="1"/>
  </x:cols>
  <x:sheetData>
    <x:row r="1" ht="28" customHeight="1">
      <x:c r="A1" s="61" t="str">
        <x:v>Alberta AI-relevant project register</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Observed project fields with inferred relevance classification</x:v>
      </x:c>
      <x:c r="B3" s="62"/>
      <x:c r="C3" s="62"/>
      <x:c r="D3" s="62"/>
      <x:c r="E3" s="62"/>
      <x:c r="F3" s="62"/>
      <x:c r="G3" s="62"/>
      <x:c r="H3" s="62"/>
      <x:c r="I3" s="62"/>
      <x:c r="J3" s="62"/>
      <x:c r="K3" s="62"/>
      <x:c r="L3" s="62"/>
      <x:c r="M3" s="62"/>
      <x:c r="N3" s="62"/>
      <x:c r="O3" s="62"/>
      <x:c r="P3" s="62"/>
      <x:c r="Q3" s="62"/>
    </x:row>
    <x:row r="4" ht="28" customHeight="1">
      <x:c r="A4" s="44" t="str">
        <x:v>Project ID</x:v>
      </x:c>
      <x:c r="B4" s="84" t="str">
        <x:v>Name</x:v>
      </x:c>
      <x:c r="C4" s="84" t="str">
        <x:v>Reported cost (CAD)</x:v>
      </x:c>
      <x:c r="D4" s="84" t="str">
        <x:v>Municipality</x:v>
      </x:c>
      <x:c r="E4" s="84" t="str">
        <x:v>Start year</x:v>
      </x:c>
      <x:c r="F4" s="84" t="str">
        <x:v>End year</x:v>
      </x:c>
      <x:c r="G4" s="84" t="str">
        <x:v>Stage</x:v>
      </x:c>
      <x:c r="H4" s="84" t="str">
        <x:v>Developer</x:v>
      </x:c>
      <x:c r="I4" s="84" t="str">
        <x:v>Project URL</x:v>
      </x:c>
      <x:c r="J4" s="84" t="str">
        <x:v>Longitude</x:v>
      </x:c>
      <x:c r="K4" s="84" t="str">
        <x:v>Latitude</x:v>
      </x:c>
      <x:c r="L4" s="84" t="str">
        <x:v>Location precision</x:v>
      </x:c>
      <x:c r="M4" s="84" t="str">
        <x:v>AI relevance</x:v>
      </x:c>
      <x:c r="N4" s="84" t="str">
        <x:v>Source status</x:v>
      </x:c>
      <x:c r="O4" s="84" t="str">
        <x:v>Classification status</x:v>
      </x:c>
      <x:c r="P4" s="84" t="str">
        <x:v>As-of date</x:v>
      </x:c>
      <x:c r="Q4" s="45" t="str">
        <x:v>Register source URL</x:v>
      </x:c>
    </x:row>
    <x:row r="5">
      <x:c r="A5" s="63" t="str">
        <x:v>ABMP_12113</x:v>
      </x:c>
      <x:c r="B5" s="63" t="str">
        <x:v>Beacon Chestermere AI Data Centre Hub</x:v>
      </x:c>
      <x:c r="C5" s="143"/>
      <x:c r="D5" s="63" t="str">
        <x:v>Chestermere</x:v>
      </x:c>
      <x:c r="E5" s="63"/>
      <x:c r="F5" s="63" t="n">
        <x:v>2027</x:v>
      </x:c>
      <x:c r="G5" s="63" t="str">
        <x:v>Proposed</x:v>
      </x:c>
      <x:c r="H5" s="63" t="str">
        <x:v>Beacon Data Centers</x:v>
      </x:c>
      <x:c r="I5" s="63" t="str">
        <x:v>https://beacondatacenters.com/campuses/</x:v>
      </x:c>
      <x:c r="J5" s="151" t="n">
        <x:v>-113.80682446282904</x:v>
      </x:c>
      <x:c r="K5" s="151" t="n">
        <x:v>51.04663755372227</x:v>
      </x:c>
      <x:c r="L5" s="63" t="str">
        <x:v>approximate</x:v>
      </x:c>
      <x:c r="M5" s="63" t="str">
        <x:v>core_data_centre</x:v>
      </x:c>
      <x:c r="N5" s="63" t="str">
        <x:v>observed</x:v>
      </x:c>
      <x:c r="O5" s="63" t="str">
        <x:v>inferred</x:v>
      </x:c>
      <x:c r="P5" s="152" t="n">
        <x:v>46265</x:v>
      </x:c>
      <x:c r="Q5" s="63" t="str">
        <x:v>https://www.majorprojects.alberta.ca/</x:v>
      </x:c>
    </x:row>
    <x:row r="6">
      <x:c r="A6" s="63" t="str">
        <x:v>ABMP_11490</x:v>
      </x:c>
      <x:c r="B6" s="63" t="str">
        <x:v>Beacon Foothills AI Data Centre Hub</x:v>
      </x:c>
      <x:c r="C6" s="143" t="n">
        <x:v>4000000000</x:v>
      </x:c>
      <x:c r="D6" s="63" t="str">
        <x:v>Foothills No. 31</x:v>
      </x:c>
      <x:c r="E6" s="63"/>
      <x:c r="F6" s="63"/>
      <x:c r="G6" s="63" t="str">
        <x:v>Proposed</x:v>
      </x:c>
      <x:c r="H6" s="63" t="str">
        <x:v>Beacon Data Centers</x:v>
      </x:c>
      <x:c r="I6" s="63"/>
      <x:c r="J6" s="151" t="n">
        <x:v>-113.825467</x:v>
      </x:c>
      <x:c r="K6" s="151" t="n">
        <x:v>50.596856</x:v>
      </x:c>
      <x:c r="L6" s="63" t="str">
        <x:v>approximate</x:v>
      </x:c>
      <x:c r="M6" s="63" t="str">
        <x:v>core_data_centre</x:v>
      </x:c>
      <x:c r="N6" s="63" t="str">
        <x:v>observed</x:v>
      </x:c>
      <x:c r="O6" s="63" t="str">
        <x:v>inferred</x:v>
      </x:c>
      <x:c r="P6" s="152" t="n">
        <x:v>46265</x:v>
      </x:c>
      <x:c r="Q6" s="63" t="str">
        <x:v>https://www.majorprojects.alberta.ca/</x:v>
      </x:c>
    </x:row>
    <x:row r="7">
      <x:c r="A7" s="63" t="str">
        <x:v>ABMP_11491</x:v>
      </x:c>
      <x:c r="B7" s="63" t="str">
        <x:v>Beacon Harry Smith AI Data Centre Hub</x:v>
      </x:c>
      <x:c r="C7" s="143"/>
      <x:c r="D7" s="63" t="str">
        <x:v>Parkland County</x:v>
      </x:c>
      <x:c r="E7" s="63"/>
      <x:c r="F7" s="63"/>
      <x:c r="G7" s="63" t="str">
        <x:v>Proposed</x:v>
      </x:c>
      <x:c r="H7" s="63" t="str">
        <x:v>Beacon Data Centers</x:v>
      </x:c>
      <x:c r="I7" s="63" t="str">
        <x:v>https://beacondatacenters.com/campuses/</x:v>
      </x:c>
      <x:c r="J7" s="151" t="n">
        <x:v>-113.781943</x:v>
      </x:c>
      <x:c r="K7" s="151" t="n">
        <x:v>53.5141</x:v>
      </x:c>
      <x:c r="L7" s="63" t="str">
        <x:v>approximate</x:v>
      </x:c>
      <x:c r="M7" s="63" t="str">
        <x:v>core_data_centre</x:v>
      </x:c>
      <x:c r="N7" s="63" t="str">
        <x:v>observed</x:v>
      </x:c>
      <x:c r="O7" s="63" t="str">
        <x:v>inferred</x:v>
      </x:c>
      <x:c r="P7" s="152" t="n">
        <x:v>46265</x:v>
      </x:c>
      <x:c r="Q7" s="63" t="str">
        <x:v>https://www.majorprojects.alberta.ca/</x:v>
      </x:c>
    </x:row>
    <x:row r="8">
      <x:c r="A8" s="63" t="str">
        <x:v>ABMP_11493</x:v>
      </x:c>
      <x:c r="B8" s="63" t="str">
        <x:v>Beacon Heartland AI Data Centre Hub</x:v>
      </x:c>
      <x:c r="C8" s="143"/>
      <x:c r="D8" s="63" t="str">
        <x:v>Sturgeon County</x:v>
      </x:c>
      <x:c r="E8" s="63"/>
      <x:c r="F8" s="63" t="n">
        <x:v>2027</x:v>
      </x:c>
      <x:c r="G8" s="63" t="str">
        <x:v>Proposed</x:v>
      </x:c>
      <x:c r="H8" s="63" t="str">
        <x:v>Beacon Data Centers</x:v>
      </x:c>
      <x:c r="I8" s="63" t="str">
        <x:v>https://beacondatacenters.com/campuses/</x:v>
      </x:c>
      <x:c r="J8" s="151" t="n">
        <x:v>-113.192246</x:v>
      </x:c>
      <x:c r="K8" s="151" t="n">
        <x:v>53.84032</x:v>
      </x:c>
      <x:c r="L8" s="63" t="str">
        <x:v>approximate</x:v>
      </x:c>
      <x:c r="M8" s="63" t="str">
        <x:v>core_data_centre</x:v>
      </x:c>
      <x:c r="N8" s="63" t="str">
        <x:v>observed</x:v>
      </x:c>
      <x:c r="O8" s="63" t="str">
        <x:v>inferred</x:v>
      </x:c>
      <x:c r="P8" s="152" t="n">
        <x:v>46265</x:v>
      </x:c>
      <x:c r="Q8" s="63" t="str">
        <x:v>https://www.majorprojects.alberta.ca/</x:v>
      </x:c>
    </x:row>
    <x:row r="9">
      <x:c r="A9" s="63" t="str">
        <x:v>ABMP_11492</x:v>
      </x:c>
      <x:c r="B9" s="63" t="str">
        <x:v>Beacon Indus Data Centre Hub</x:v>
      </x:c>
      <x:c r="C9" s="143"/>
      <x:c r="D9" s="63" t="str">
        <x:v>Rocky View County</x:v>
      </x:c>
      <x:c r="E9" s="63"/>
      <x:c r="F9" s="63"/>
      <x:c r="G9" s="63" t="str">
        <x:v>Proposed</x:v>
      </x:c>
      <x:c r="H9" s="63" t="str">
        <x:v>Beacon Data Centers</x:v>
      </x:c>
      <x:c r="I9" s="63" t="str">
        <x:v>https://beacondatacenters.com/wp-content/uploads/2026/02/BEA_IndusCGY-FAQ.pdf</x:v>
      </x:c>
      <x:c r="J9" s="151" t="n">
        <x:v>-113.807201</x:v>
      </x:c>
      <x:c r="K9" s="151" t="n">
        <x:v>50.943405</x:v>
      </x:c>
      <x:c r="L9" s="63" t="str">
        <x:v>approximate</x:v>
      </x:c>
      <x:c r="M9" s="63" t="str">
        <x:v>core_data_centre</x:v>
      </x:c>
      <x:c r="N9" s="63" t="str">
        <x:v>observed</x:v>
      </x:c>
      <x:c r="O9" s="63" t="str">
        <x:v>inferred</x:v>
      </x:c>
      <x:c r="P9" s="152" t="n">
        <x:v>46265</x:v>
      </x:c>
      <x:c r="Q9" s="63" t="str">
        <x:v>https://www.majorprojects.alberta.ca/</x:v>
      </x:c>
    </x:row>
    <x:row r="10">
      <x:c r="A10" s="63" t="str">
        <x:v>ABMP_11494</x:v>
      </x:c>
      <x:c r="B10" s="63" t="str">
        <x:v>Beacon Saunders Lake AI Data Centre Hub</x:v>
      </x:c>
      <x:c r="C10" s="143"/>
      <x:c r="D10" s="63" t="str">
        <x:v>Leduc County</x:v>
      </x:c>
      <x:c r="E10" s="63"/>
      <x:c r="F10" s="63"/>
      <x:c r="G10" s="63" t="str">
        <x:v>Proposed</x:v>
      </x:c>
      <x:c r="H10" s="63" t="str">
        <x:v>Beacon Data Centers</x:v>
      </x:c>
      <x:c r="I10" s="63" t="str">
        <x:v>https://beacondatacenters.com/campuses/</x:v>
      </x:c>
      <x:c r="J10" s="151" t="n">
        <x:v>-113.503248</x:v>
      </x:c>
      <x:c r="K10" s="151" t="n">
        <x:v>53.306522</x:v>
      </x:c>
      <x:c r="L10" s="63" t="str">
        <x:v>approximate</x:v>
      </x:c>
      <x:c r="M10" s="63" t="str">
        <x:v>core_data_centre</x:v>
      </x:c>
      <x:c r="N10" s="63" t="str">
        <x:v>observed</x:v>
      </x:c>
      <x:c r="O10" s="63" t="str">
        <x:v>inferred</x:v>
      </x:c>
      <x:c r="P10" s="152" t="n">
        <x:v>46265</x:v>
      </x:c>
      <x:c r="Q10" s="63" t="str">
        <x:v>https://www.majorprojects.alberta.ca/</x:v>
      </x:c>
    </x:row>
    <x:row r="11">
      <x:c r="A11" s="63" t="str">
        <x:v>ABMP_11890</x:v>
      </x:c>
      <x:c r="B11" s="63" t="str">
        <x:v>Blindman Industrial Park AI Data Centre</x:v>
      </x:c>
      <x:c r="C11" s="143"/>
      <x:c r="D11" s="63" t="str">
        <x:v>Red Deer County</x:v>
      </x:c>
      <x:c r="E11" s="63" t="n">
        <x:v>2026</x:v>
      </x:c>
      <x:c r="F11" s="63" t="n">
        <x:v>2026</x:v>
      </x:c>
      <x:c r="G11" s="63" t="str">
        <x:v>Under Construction</x:v>
      </x:c>
      <x:c r="H11" s="63" t="str">
        <x:v>Havenz Smart Communities</x:v>
      </x:c>
      <x:c r="I11" s="63"/>
      <x:c r="J11" s="151" t="n">
        <x:v>-113.77533</x:v>
      </x:c>
      <x:c r="K11" s="151" t="n">
        <x:v>52.346414</x:v>
      </x:c>
      <x:c r="L11" s="63" t="str">
        <x:v>approximate</x:v>
      </x:c>
      <x:c r="M11" s="63" t="str">
        <x:v>core_data_centre</x:v>
      </x:c>
      <x:c r="N11" s="63" t="str">
        <x:v>observed</x:v>
      </x:c>
      <x:c r="O11" s="63" t="str">
        <x:v>inferred</x:v>
      </x:c>
      <x:c r="P11" s="152" t="n">
        <x:v>46265</x:v>
      </x:c>
      <x:c r="Q11" s="63" t="str">
        <x:v>https://www.majorprojects.alberta.ca/</x:v>
      </x:c>
    </x:row>
    <x:row r="12">
      <x:c r="A12" s="63" t="str">
        <x:v>ABMP_11556</x:v>
      </x:c>
      <x:c r="B12" s="63" t="str">
        <x:v>Crusoe AI Data Centres Alberta</x:v>
      </x:c>
      <x:c r="C12" s="143" t="n">
        <x:v>3000000000</x:v>
      </x:c>
      <x:c r="D12" s="63" t="str">
        <x:v>Brazeau County|Red Deer County|Rocky View County</x:v>
      </x:c>
      <x:c r="E12" s="63"/>
      <x:c r="F12" s="63"/>
      <x:c r="G12" s="63" t="str">
        <x:v>Proposed</x:v>
      </x:c>
      <x:c r="H12" s="63" t="str">
        <x:v>Crusoe AI</x:v>
      </x:c>
      <x:c r="I12" s="63"/>
      <x:c r="J12" s="151" t="n">
        <x:v>-114.464781</x:v>
      </x:c>
      <x:c r="K12" s="151" t="n">
        <x:v>53.191187</x:v>
      </x:c>
      <x:c r="L12" s="63" t="str">
        <x:v>approximate</x:v>
      </x:c>
      <x:c r="M12" s="63" t="str">
        <x:v>core_data_centre</x:v>
      </x:c>
      <x:c r="N12" s="63" t="str">
        <x:v>observed</x:v>
      </x:c>
      <x:c r="O12" s="63" t="str">
        <x:v>inferred</x:v>
      </x:c>
      <x:c r="P12" s="152" t="n">
        <x:v>46265</x:v>
      </x:c>
      <x:c r="Q12" s="63" t="str">
        <x:v>https://www.majorprojects.alberta.ca/</x:v>
      </x:c>
    </x:row>
    <x:row r="13">
      <x:c r="A13" s="63" t="str">
        <x:v>ABMP_12068</x:v>
      </x:c>
      <x:c r="B13" s="63" t="str">
        <x:v>Data Centre (Clive)</x:v>
      </x:c>
      <x:c r="C13" s="143"/>
      <x:c r="D13" s="63" t="str">
        <x:v>Lacombe County</x:v>
      </x:c>
      <x:c r="E13" s="63" t="n">
        <x:v>2026</x:v>
      </x:c>
      <x:c r="F13" s="63"/>
      <x:c r="G13" s="63" t="str">
        <x:v>Proposed</x:v>
      </x:c>
      <x:c r="H13" s="63" t="str">
        <x:v>VL Energy and Amada Nowlitt Energy</x:v>
      </x:c>
      <x:c r="I13" s="63"/>
      <x:c r="J13" s="151" t="n">
        <x:v>-113.46719227374491</x:v>
      </x:c>
      <x:c r="K13" s="151" t="n">
        <x:v>52.4735697471652</x:v>
      </x:c>
      <x:c r="L13" s="63" t="str">
        <x:v>approximate</x:v>
      </x:c>
      <x:c r="M13" s="63" t="str">
        <x:v>core_data_centre</x:v>
      </x:c>
      <x:c r="N13" s="63" t="str">
        <x:v>observed</x:v>
      </x:c>
      <x:c r="O13" s="63" t="str">
        <x:v>inferred</x:v>
      </x:c>
      <x:c r="P13" s="152" t="n">
        <x:v>46265</x:v>
      </x:c>
      <x:c r="Q13" s="63" t="str">
        <x:v>https://www.majorprojects.alberta.ca/</x:v>
      </x:c>
    </x:row>
    <x:row r="14">
      <x:c r="A14" s="63" t="str">
        <x:v>ABMP_10983</x:v>
      </x:c>
      <x:c r="B14" s="63" t="str">
        <x:v>Greenlight Electricity Centre</x:v>
      </x:c>
      <x:c r="C14" s="143" t="n">
        <x:v>4600000000</x:v>
      </x:c>
      <x:c r="D14" s="63" t="str">
        <x:v>Sturgeon County</x:v>
      </x:c>
      <x:c r="E14" s="63"/>
      <x:c r="F14" s="63" t="n">
        <x:v>2030</x:v>
      </x:c>
      <x:c r="G14" s="63" t="str">
        <x:v>Proposed</x:v>
      </x:c>
      <x:c r="H14" s="63" t="str">
        <x:v>Pembina, Morgan Stanley Infrastructure Partners and Kineticor Asset Management</x:v>
      </x:c>
      <x:c r="I14" s="63" t="str">
        <x:v>https://greenlightelectricitycentre.ca/</x:v>
      </x:c>
      <x:c r="J14" s="151" t="n">
        <x:v>-113.17862</x:v>
      </x:c>
      <x:c r="K14" s="151" t="n">
        <x:v>53.828808</x:v>
      </x:c>
      <x:c r="L14" s="63" t="str">
        <x:v>approximate</x:v>
      </x:c>
      <x:c r="M14" s="63" t="str">
        <x:v>enabling_power</x:v>
      </x:c>
      <x:c r="N14" s="63" t="str">
        <x:v>observed</x:v>
      </x:c>
      <x:c r="O14" s="63" t="str">
        <x:v>inferred</x:v>
      </x:c>
      <x:c r="P14" s="152" t="n">
        <x:v>46265</x:v>
      </x:c>
      <x:c r="Q14" s="63" t="str">
        <x:v>https://www.majorprojects.alberta.ca/</x:v>
      </x:c>
    </x:row>
    <x:row r="15">
      <x:c r="A15" s="63" t="str">
        <x:v>ABMP_11638</x:v>
      </x:c>
      <x:c r="B15" s="63" t="str">
        <x:v>HubOne AI &amp; BTC High Density Compute Park</x:v>
      </x:c>
      <x:c r="C15" s="143"/>
      <x:c r="D15" s="63" t="str">
        <x:v>Wheatland County</x:v>
      </x:c>
      <x:c r="E15" s="63"/>
      <x:c r="F15" s="63"/>
      <x:c r="G15" s="63" t="str">
        <x:v>Proposed</x:v>
      </x:c>
      <x:c r="H15" s="63" t="str">
        <x:v>Elemental Developments &amp; Hub1 Joint Venture Partnership</x:v>
      </x:c>
      <x:c r="I15" s="63" t="str">
        <x:v>https://hub1.ca/</x:v>
      </x:c>
      <x:c r="J15" s="151" t="n">
        <x:v>-113.528123</x:v>
      </x:c>
      <x:c r="K15" s="151" t="n">
        <x:v>51.017296</x:v>
      </x:c>
      <x:c r="L15" s="63" t="str">
        <x:v>approximate</x:v>
      </x:c>
      <x:c r="M15" s="63" t="str">
        <x:v>core_data_centre</x:v>
      </x:c>
      <x:c r="N15" s="63" t="str">
        <x:v>observed</x:v>
      </x:c>
      <x:c r="O15" s="63" t="str">
        <x:v>inferred</x:v>
      </x:c>
      <x:c r="P15" s="152" t="n">
        <x:v>46265</x:v>
      </x:c>
      <x:c r="Q15" s="63" t="str">
        <x:v>https://www.majorprojects.alberta.ca/</x:v>
      </x:c>
    </x:row>
    <x:row r="16">
      <x:c r="A16" s="63" t="str">
        <x:v>ABMP_12173</x:v>
      </x:c>
      <x:c r="B16" s="63" t="str">
        <x:v>K-Tech and Aurora AZ Energy Compute Facility</x:v>
      </x:c>
      <x:c r="C16" s="143"/>
      <x:c r="D16" s="63" t="str">
        <x:v>Calgary</x:v>
      </x:c>
      <x:c r="E16" s="63" t="n">
        <x:v>2026</x:v>
      </x:c>
      <x:c r="F16" s="63"/>
      <x:c r="G16" s="63" t="str">
        <x:v>Under Construction</x:v>
      </x:c>
      <x:c r="H16" s="63" t="str">
        <x:v>K-Tech Solutions and Aurora AZ Energy</x:v>
      </x:c>
      <x:c r="I16" s="63"/>
      <x:c r="J16" s="151" t="n">
        <x:v>-114.08768993944874</x:v>
      </x:c>
      <x:c r="K16" s="151" t="n">
        <x:v>51.048772250688735</x:v>
      </x:c>
      <x:c r="L16" s="63" t="str">
        <x:v>approximate</x:v>
      </x:c>
      <x:c r="M16" s="63" t="str">
        <x:v>core_data_centre</x:v>
      </x:c>
      <x:c r="N16" s="63" t="str">
        <x:v>observed</x:v>
      </x:c>
      <x:c r="O16" s="63" t="str">
        <x:v>inferred</x:v>
      </x:c>
      <x:c r="P16" s="152" t="n">
        <x:v>46265</x:v>
      </x:c>
      <x:c r="Q16" s="63" t="str">
        <x:v>https://www.majorprojects.alberta.ca/</x:v>
      </x:c>
    </x:row>
    <x:row r="17">
      <x:c r="A17" s="63" t="str">
        <x:v>ABMP_12192</x:v>
      </x:c>
      <x:c r="B17" s="63" t="str">
        <x:v>Malachite One Data Centre</x:v>
      </x:c>
      <x:c r="C17" s="143" t="n">
        <x:v>15000000000</x:v>
      </x:c>
      <x:c r="D17" s="63" t="str">
        <x:v>Yellowhead County</x:v>
      </x:c>
      <x:c r="E17" s="63" t="n">
        <x:v>2027</x:v>
      </x:c>
      <x:c r="F17" s="63" t="n">
        <x:v>2030</x:v>
      </x:c>
      <x:c r="G17" s="63" t="str">
        <x:v>Proposed</x:v>
      </x:c>
      <x:c r="H17" s="63" t="str">
        <x:v>Tourmaline Oil Corp.</x:v>
      </x:c>
      <x:c r="I17" s="63"/>
      <x:c r="J17" s="151" t="n">
        <x:v>-116.93588</x:v>
      </x:c>
      <x:c r="K17" s="151" t="n">
        <x:v>53.30683</x:v>
      </x:c>
      <x:c r="L17" s="63" t="str">
        <x:v>approximate</x:v>
      </x:c>
      <x:c r="M17" s="63" t="str">
        <x:v>core_data_centre</x:v>
      </x:c>
      <x:c r="N17" s="63" t="str">
        <x:v>observed</x:v>
      </x:c>
      <x:c r="O17" s="63" t="str">
        <x:v>inferred</x:v>
      </x:c>
      <x:c r="P17" s="152" t="n">
        <x:v>46265</x:v>
      </x:c>
      <x:c r="Q17" s="63" t="str">
        <x:v>https://www.majorprojects.alberta.ca/</x:v>
      </x:c>
    </x:row>
    <x:row r="18">
      <x:c r="A18" s="63" t="str">
        <x:v>ABMP_12183</x:v>
      </x:c>
      <x:c r="B18" s="63" t="str">
        <x:v>Meta Data Centre</x:v>
      </x:c>
      <x:c r="C18" s="143" t="n">
        <x:v>13000000000</x:v>
      </x:c>
      <x:c r="D18" s="63" t="str">
        <x:v>Sturgeon County</x:v>
      </x:c>
      <x:c r="E18" s="63"/>
      <x:c r="F18" s="63"/>
      <x:c r="G18" s="63" t="str">
        <x:v>Proposed</x:v>
      </x:c>
      <x:c r="H18" s="63" t="str">
        <x:v>Meta Platforms Inc.</x:v>
      </x:c>
      <x:c r="I18" s="63"/>
      <x:c r="J18" s="151" t="n">
        <x:v>-113.150597</x:v>
      </x:c>
      <x:c r="K18" s="151" t="n">
        <x:v>53.838145</x:v>
      </x:c>
      <x:c r="L18" s="63" t="str">
        <x:v>approximate</x:v>
      </x:c>
      <x:c r="M18" s="63" t="str">
        <x:v>core_data_centre</x:v>
      </x:c>
      <x:c r="N18" s="63" t="str">
        <x:v>observed</x:v>
      </x:c>
      <x:c r="O18" s="63" t="str">
        <x:v>inferred</x:v>
      </x:c>
      <x:c r="P18" s="152" t="n">
        <x:v>46265</x:v>
      </x:c>
      <x:c r="Q18" s="63" t="str">
        <x:v>https://www.majorprojects.alberta.ca/</x:v>
      </x:c>
    </x:row>
    <x:row r="19">
      <x:c r="A19" s="63" t="str">
        <x:v>ABMP_12097</x:v>
      </x:c>
      <x:c r="B19" s="63" t="str">
        <x:v>Mihta Askiy Data Centre</x:v>
      </x:c>
      <x:c r="C19" s="143"/>
      <x:c r="D19" s="63" t="str">
        <x:v>Northern Sunrise County</x:v>
      </x:c>
      <x:c r="E19" s="63" t="n">
        <x:v>2027</x:v>
      </x:c>
      <x:c r="F19" s="63"/>
      <x:c r="G19" s="63" t="str">
        <x:v>Proposed</x:v>
      </x:c>
      <x:c r="H19" s="63" t="str">
        <x:v>Mihta Askiy Datacenter LP</x:v>
      </x:c>
      <x:c r="I19" s="63"/>
      <x:c r="J19" s="151" t="n">
        <x:v>-116.747932</x:v>
      </x:c>
      <x:c r="K19" s="151" t="n">
        <x:v>56.381443</x:v>
      </x:c>
      <x:c r="L19" s="63" t="str">
        <x:v>approximate</x:v>
      </x:c>
      <x:c r="M19" s="63" t="str">
        <x:v>core_data_centre</x:v>
      </x:c>
      <x:c r="N19" s="63" t="str">
        <x:v>observed</x:v>
      </x:c>
      <x:c r="O19" s="63" t="str">
        <x:v>inferred</x:v>
      </x:c>
      <x:c r="P19" s="152" t="n">
        <x:v>46265</x:v>
      </x:c>
      <x:c r="Q19" s="63" t="str">
        <x:v>https://www.majorprojects.alberta.ca/</x:v>
      </x:c>
    </x:row>
    <x:row r="20">
      <x:c r="A20" s="63" t="str">
        <x:v>ABMP_11820</x:v>
      </x:c>
      <x:c r="B20" s="63" t="str">
        <x:v>Prairie Sky Data Solutions Strathmore Data Center (Phase 1)</x:v>
      </x:c>
      <x:c r="C20" s="143"/>
      <x:c r="D20" s="63" t="str">
        <x:v>Strathmore</x:v>
      </x:c>
      <x:c r="E20" s="63"/>
      <x:c r="F20" s="63" t="n">
        <x:v>2026</x:v>
      </x:c>
      <x:c r="G20" s="63" t="str">
        <x:v>Proposed</x:v>
      </x:c>
      <x:c r="H20" s="63" t="str">
        <x:v>Prairie Sky Data Solutions</x:v>
      </x:c>
      <x:c r="I20" s="63" t="str">
        <x:v>https://www.prairieskydata.com/</x:v>
      </x:c>
      <x:c r="J20" s="151" t="n">
        <x:v>-113.397134</x:v>
      </x:c>
      <x:c r="K20" s="151" t="n">
        <x:v>51.032777</x:v>
      </x:c>
      <x:c r="L20" s="63" t="str">
        <x:v>approximate</x:v>
      </x:c>
      <x:c r="M20" s="63" t="str">
        <x:v>core_data_centre</x:v>
      </x:c>
      <x:c r="N20" s="63" t="str">
        <x:v>observed</x:v>
      </x:c>
      <x:c r="O20" s="63" t="str">
        <x:v>inferred</x:v>
      </x:c>
      <x:c r="P20" s="152" t="n">
        <x:v>46265</x:v>
      </x:c>
      <x:c r="Q20" s="63" t="str">
        <x:v>https://www.majorprojects.alberta.ca/</x:v>
      </x:c>
    </x:row>
    <x:row r="21">
      <x:c r="A21" s="63" t="str">
        <x:v>ABMP_11969</x:v>
      </x:c>
      <x:c r="B21" s="63" t="str">
        <x:v>Technologies New Energy &amp; Data District Data Centres (Phase 1)</x:v>
      </x:c>
      <x:c r="C21" s="143" t="n">
        <x:v>1260000000</x:v>
      </x:c>
      <x:c r="D21" s="63" t="str">
        <x:v>Olds|Calgary|Edmonton|Bonnyville No. 87</x:v>
      </x:c>
      <x:c r="E21" s="63" t="n">
        <x:v>2026</x:v>
      </x:c>
      <x:c r="F21" s="63"/>
      <x:c r="G21" s="63" t="str">
        <x:v>Proposed</x:v>
      </x:c>
      <x:c r="H21" s="63" t="str">
        <x:v>Technologies New Energy (TNE) and Data District Inc.</x:v>
      </x:c>
      <x:c r="I21" s="63"/>
      <x:c r="J21" s="151" t="n">
        <x:v>-114.105163</x:v>
      </x:c>
      <x:c r="K21" s="151" t="n">
        <x:v>51.775783</x:v>
      </x:c>
      <x:c r="L21" s="63" t="str">
        <x:v>approximate</x:v>
      </x:c>
      <x:c r="M21" s="63" t="str">
        <x:v>core_data_centre</x:v>
      </x:c>
      <x:c r="N21" s="63" t="str">
        <x:v>observed</x:v>
      </x:c>
      <x:c r="O21" s="63" t="str">
        <x:v>inferred</x:v>
      </x:c>
      <x:c r="P21" s="152" t="n">
        <x:v>46265</x:v>
      </x:c>
      <x:c r="Q21" s="63" t="str">
        <x:v>https://www.majorprojects.alberta.ca/</x:v>
      </x:c>
    </x:row>
    <x:row r="22">
      <x:c r="A22" s="63" t="str">
        <x:v>ABMP_12177</x:v>
      </x:c>
      <x:c r="B22" s="63" t="str">
        <x:v>Teton Digital Black Bear Power Project</x:v>
      </x:c>
      <x:c r="C22" s="143" t="n">
        <x:v>1300000000</x:v>
      </x:c>
      <x:c r="D22" s="63" t="str">
        <x:v>Swan Hills</x:v>
      </x:c>
      <x:c r="E22" s="63"/>
      <x:c r="F22" s="63" t="n">
        <x:v>2028</x:v>
      </x:c>
      <x:c r="G22" s="63" t="str">
        <x:v>Proposed</x:v>
      </x:c>
      <x:c r="H22" s="63" t="str">
        <x:v>Teton Digital</x:v>
      </x:c>
      <x:c r="I22" s="63" t="str">
        <x:v>https://www.tetondigital.io/black-bear</x:v>
      </x:c>
      <x:c r="J22" s="151" t="n">
        <x:v>-115.383396</x:v>
      </x:c>
      <x:c r="K22" s="151" t="n">
        <x:v>54.691246</x:v>
      </x:c>
      <x:c r="L22" s="63" t="str">
        <x:v>approximate</x:v>
      </x:c>
      <x:c r="M22" s="63" t="str">
        <x:v>enabling_power</x:v>
      </x:c>
      <x:c r="N22" s="63" t="str">
        <x:v>observed</x:v>
      </x:c>
      <x:c r="O22" s="63" t="str">
        <x:v>inferred</x:v>
      </x:c>
      <x:c r="P22" s="152" t="n">
        <x:v>46265</x:v>
      </x:c>
      <x:c r="Q22" s="63" t="str">
        <x:v>https://www.majorprojects.alberta.ca/</x:v>
      </x:c>
    </x:row>
    <x:row r="23">
      <x:c r="A23" s="63" t="str">
        <x:v>ABMP_12178</x:v>
      </x:c>
      <x:c r="B23" s="63" t="str">
        <x:v>Teton Digital Northern Forge Power Project</x:v>
      </x:c>
      <x:c r="C23" s="143" t="n">
        <x:v>500000000</x:v>
      </x:c>
      <x:c r="D23" s="63" t="str">
        <x:v>Greenview No. 16</x:v>
      </x:c>
      <x:c r="E23" s="63"/>
      <x:c r="F23" s="63" t="n">
        <x:v>2028</x:v>
      </x:c>
      <x:c r="G23" s="63" t="str">
        <x:v>Proposed</x:v>
      </x:c>
      <x:c r="H23" s="63" t="str">
        <x:v>Teton Digital</x:v>
      </x:c>
      <x:c r="I23" s="63" t="str">
        <x:v>https://www.tetondigital.io/northern-forge</x:v>
      </x:c>
      <x:c r="J23" s="151" t="n">
        <x:v>-116.79884375537331</x:v>
      </x:c>
      <x:c r="K23" s="151" t="n">
        <x:v>54.37423238412543</x:v>
      </x:c>
      <x:c r="L23" s="63" t="str">
        <x:v>approximate</x:v>
      </x:c>
      <x:c r="M23" s="63" t="str">
        <x:v>enabling_power</x:v>
      </x:c>
      <x:c r="N23" s="63" t="str">
        <x:v>observed</x:v>
      </x:c>
      <x:c r="O23" s="63" t="str">
        <x:v>inferred</x:v>
      </x:c>
      <x:c r="P23" s="152" t="n">
        <x:v>46265</x:v>
      </x:c>
      <x:c r="Q23" s="63" t="str">
        <x:v>https://www.majorprojects.alberta.ca/</x:v>
      </x:c>
    </x:row>
    <x:row r="24">
      <x:c r="A24" s="63" t="str">
        <x:v>ABMP_11477</x:v>
      </x:c>
      <x:c r="B24" s="63" t="str">
        <x:v>Wonder Valley AI Data Centre Park (Phase 1)</x:v>
      </x:c>
      <x:c r="C24" s="143" t="n">
        <x:v>12000000000</x:v>
      </x:c>
      <x:c r="D24" s="63" t="str">
        <x:v>Greenview No. 16</x:v>
      </x:c>
      <x:c r="E24" s="63"/>
      <x:c r="F24" s="63"/>
      <x:c r="G24" s="63" t="str">
        <x:v>Proposed</x:v>
      </x:c>
      <x:c r="H24" s="63" t="str">
        <x:v>O'Leary Digital Limited</x:v>
      </x:c>
      <x:c r="I24" s="63" t="str">
        <x:v>https://www.olearydigital.ai/</x:v>
      </x:c>
      <x:c r="J24" s="151" t="n">
        <x:v>-118.68335</x:v>
      </x:c>
      <x:c r="K24" s="151" t="n">
        <x:v>54.811926</x:v>
      </x:c>
      <x:c r="L24" s="63" t="str">
        <x:v>reported</x:v>
      </x:c>
      <x:c r="M24" s="63" t="str">
        <x:v>core_data_centre</x:v>
      </x:c>
      <x:c r="N24" s="63" t="str">
        <x:v>observed</x:v>
      </x:c>
      <x:c r="O24" s="63" t="str">
        <x:v>inferred</x:v>
      </x:c>
      <x:c r="P24" s="152" t="n">
        <x:v>46265</x:v>
      </x:c>
      <x:c r="Q24" s="63" t="str">
        <x:v>https://www.majorprojects.alberta.ca/</x:v>
      </x:c>
    </x:row>
    <x:row r="25">
      <x:c r="A25" s="63" t="str">
        <x:v>ABMP_11866</x:v>
      </x:c>
      <x:c r="B25" s="63" t="str">
        <x:v>eStruxture CAL-1 Data Centre - Phase 4 Alterations</x:v>
      </x:c>
      <x:c r="C25" s="143"/>
      <x:c r="D25" s="63" t="str">
        <x:v>Calgary</x:v>
      </x:c>
      <x:c r="E25" s="63" t="n">
        <x:v>2025</x:v>
      </x:c>
      <x:c r="F25" s="63"/>
      <x:c r="G25" s="63" t="str">
        <x:v>Under Construction</x:v>
      </x:c>
      <x:c r="H25" s="63" t="str">
        <x:v>eStruxture</x:v>
      </x:c>
      <x:c r="I25" s="63"/>
      <x:c r="J25" s="151" t="n">
        <x:v>-113.95566</x:v>
      </x:c>
      <x:c r="K25" s="151" t="n">
        <x:v>50.992261</x:v>
      </x:c>
      <x:c r="L25" s="63" t="str">
        <x:v>reported</x:v>
      </x:c>
      <x:c r="M25" s="63" t="str">
        <x:v>core_data_centre</x:v>
      </x:c>
      <x:c r="N25" s="63" t="str">
        <x:v>observed</x:v>
      </x:c>
      <x:c r="O25" s="63" t="str">
        <x:v>inferred</x:v>
      </x:c>
      <x:c r="P25" s="152" t="n">
        <x:v>46265</x:v>
      </x:c>
      <x:c r="Q25" s="63" t="str">
        <x:v>https://www.majorprojects.alberta.ca/</x:v>
      </x:c>
    </x:row>
    <x:row r="26">
      <x:c r="A26" s="63" t="str">
        <x:v>ABMP_11416</x:v>
      </x:c>
      <x:c r="B26" s="63" t="str">
        <x:v>eStruxture CAL-3 Data Centre</x:v>
      </x:c>
      <x:c r="C26" s="143" t="n">
        <x:v>750000000</x:v>
      </x:c>
      <x:c r="D26" s="63" t="str">
        <x:v>Rocky View County</x:v>
      </x:c>
      <x:c r="E26" s="63" t="n">
        <x:v>2024</x:v>
      </x:c>
      <x:c r="F26" s="63" t="n">
        <x:v>2026</x:v>
      </x:c>
      <x:c r="G26" s="63" t="str">
        <x:v>Under Construction</x:v>
      </x:c>
      <x:c r="H26" s="63" t="str">
        <x:v>eStruxture</x:v>
      </x:c>
      <x:c r="I26" s="63" t="str">
        <x:v>https://info.estruxture.com/hubfs/Data%20Sheets/eStruxture_Datasheet_CAL3%20EN%20V2%202025.pdf?__hstc=17468411.9cbf58fbaac1d56717987d205a46139e.1778703431220.1778703431220.1778703431220.1&amp;__hssc=17468411.4.1779463158036&amp;__hsfp=31c185fa9baa393ca4363973b4df6c18</x:v>
      </x:c>
      <x:c r="J26" s="151" t="n">
        <x:v>-113.91468</x:v>
      </x:c>
      <x:c r="K26" s="151" t="n">
        <x:v>51.21042</x:v>
      </x:c>
      <x:c r="L26" s="63" t="str">
        <x:v>reported</x:v>
      </x:c>
      <x:c r="M26" s="63" t="str">
        <x:v>core_data_centre</x:v>
      </x:c>
      <x:c r="N26" s="63" t="str">
        <x:v>observed</x:v>
      </x:c>
      <x:c r="O26" s="63" t="str">
        <x:v>inferred</x:v>
      </x:c>
      <x:c r="P26" s="152" t="n">
        <x:v>46265</x:v>
      </x:c>
      <x:c r="Q26" s="63" t="str">
        <x:v>https://www.majorprojects.alberta.ca/</x:v>
      </x:c>
    </x:row>
    <x:row r="27">
      <x:c r="A27" s="63"/>
      <x:c r="B27" s="63"/>
      <x:c r="C27" s="63"/>
      <x:c r="D27" s="63"/>
      <x:c r="E27" s="63"/>
      <x:c r="F27" s="63"/>
      <x:c r="G27" s="63"/>
      <x:c r="H27" s="63"/>
      <x:c r="I27" s="63"/>
      <x:c r="J27" s="63"/>
      <x:c r="K27" s="63"/>
      <x:c r="L27" s="63"/>
      <x:c r="M27" s="63"/>
      <x:c r="N27" s="63"/>
      <x:c r="O27" s="63"/>
      <x:c r="P27" s="63"/>
      <x:c r="Q27" s="63"/>
    </x:row>
    <x:row r="28">
      <x:c r="A28" s="63"/>
      <x:c r="B28" s="63"/>
      <x:c r="C28" s="63"/>
      <x:c r="D28" s="63"/>
      <x:c r="E28" s="63"/>
      <x:c r="F28" s="63"/>
      <x:c r="G28" s="63"/>
      <x:c r="H28" s="63"/>
      <x:c r="I28" s="63"/>
      <x:c r="J28" s="63"/>
      <x:c r="K28" s="63"/>
      <x:c r="L28" s="63"/>
      <x:c r="M28" s="63"/>
      <x:c r="N28" s="63"/>
      <x:c r="O28" s="63"/>
      <x:c r="P28" s="63"/>
      <x:c r="Q28" s="63"/>
    </x:row>
    <x:row r="29">
      <x:c r="A29" s="63"/>
      <x:c r="B29" s="63"/>
      <x:c r="C29" s="63"/>
      <x:c r="D29" s="63"/>
      <x:c r="E29" s="63"/>
      <x:c r="F29" s="63"/>
      <x:c r="G29" s="63"/>
      <x:c r="H29" s="63"/>
      <x:c r="I29" s="63"/>
      <x:c r="J29" s="63"/>
      <x:c r="K29" s="63"/>
      <x:c r="L29" s="63"/>
      <x:c r="M29" s="63"/>
      <x:c r="N29" s="63"/>
      <x:c r="O29" s="63"/>
      <x:c r="P29" s="63"/>
      <x:c r="Q29" s="63"/>
    </x:row>
    <x:row r="30">
      <x:c r="A30" s="63"/>
      <x:c r="B30" s="63"/>
      <x:c r="C30" s="63"/>
      <x:c r="D30" s="63"/>
      <x:c r="E30" s="63"/>
      <x:c r="F30" s="63"/>
      <x:c r="G30" s="63"/>
      <x:c r="H30" s="63"/>
      <x:c r="I30" s="63"/>
      <x:c r="J30" s="63"/>
      <x:c r="K30" s="63"/>
      <x:c r="L30" s="63"/>
      <x:c r="M30" s="63"/>
      <x:c r="N30" s="63"/>
      <x:c r="O30" s="63"/>
      <x:c r="P30" s="63"/>
      <x:c r="Q30" s="63"/>
    </x:row>
  </x:sheetData>
  <x:mergeCells>
    <x:mergeCell ref="A1:Q2"/>
    <x:mergeCell ref="A3:Q3"/>
  </x:mergeCells>
  <x:pageMargins left="0.7" right="0.7" top="0.75" bottom="0.75" header="0.3" footer="0.3"/>
  <x:tableParts count="1">
    <x:tablePart xmlns:r="http://schemas.openxmlformats.org/officeDocument/2006/relationships" r:id="R777f3fc7f7e1494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9" hidden="0" customWidth="1"/>
    <x:col min="2" max="2" width="48" hidden="0" customWidth="1"/>
    <x:col min="3" max="3" width="16" hidden="0" customWidth="1"/>
    <x:col min="4" max="4" width="14" hidden="0" customWidth="1"/>
    <x:col min="5" max="5" width="12" hidden="0" customWidth="1"/>
    <x:col min="6" max="6" width="22" hidden="0" customWidth="1"/>
    <x:col min="7" max="7" width="17" hidden="0" customWidth="1"/>
    <x:col min="8" max="8" width="28" hidden="0" customWidth="1"/>
    <x:col min="9" max="9" width="45" hidden="0" customWidth="1"/>
  </x:cols>
  <x:sheetData>
    <x:row r="1" ht="28" customHeight="1">
      <x:c r="A1" s="61" t="str">
        <x:v>Alberta construction-price evidence</x:v>
      </x:c>
      <x:c r="B1" s="61"/>
      <x:c r="C1" s="61"/>
      <x:c r="D1" s="61"/>
      <x:c r="E1" s="61"/>
      <x:c r="F1" s="61"/>
      <x:c r="G1" s="61"/>
      <x:c r="H1" s="61"/>
      <x:c r="I1" s="61"/>
    </x:row>
    <x:row r="2" ht="28" customHeight="1">
      <x:c r="A2" s="61"/>
      <x:c r="B2" s="61"/>
      <x:c r="C2" s="61"/>
      <x:c r="D2" s="61"/>
      <x:c r="E2" s="61"/>
      <x:c r="F2" s="61"/>
      <x:c r="G2" s="61"/>
      <x:c r="H2" s="61"/>
      <x:c r="I2" s="61"/>
    </x:row>
    <x:row r="3" ht="21" customHeight="1">
      <x:c r="A3" s="62" t="str">
        <x:v>Recent Calgary and Edmonton observations from Statistics Canada table 18-10-0289-01</x:v>
      </x:c>
      <x:c r="B3" s="62"/>
      <x:c r="C3" s="62"/>
      <x:c r="D3" s="62"/>
      <x:c r="E3" s="62"/>
      <x:c r="F3" s="62"/>
      <x:c r="G3" s="62"/>
      <x:c r="H3" s="62"/>
      <x:c r="I3" s="62"/>
    </x:row>
    <x:row r="4" ht="28" customHeight="1">
      <x:c r="A4" s="44" t="str">
        <x:v>Observation ID</x:v>
      </x:c>
      <x:c r="B4" s="84" t="str">
        <x:v>Indicator ID</x:v>
      </x:c>
      <x:c r="C4" s="84" t="str">
        <x:v>Geography ID</x:v>
      </x:c>
      <x:c r="D4" s="84" t="str">
        <x:v>Period end</x:v>
      </x:c>
      <x:c r="E4" s="84" t="str">
        <x:v>Value</x:v>
      </x:c>
      <x:c r="F4" s="84" t="str">
        <x:v>Unit</x:v>
      </x:c>
      <x:c r="G4" s="84" t="str">
        <x:v>Evidence status</x:v>
      </x:c>
      <x:c r="H4" s="84" t="str">
        <x:v>Source ID</x:v>
      </x:c>
      <x:c r="I4" s="45" t="str">
        <x:v>Source URL</x:v>
      </x:c>
    </x:row>
    <x:row r="5">
      <x:c r="A5" s="63" t="str">
        <x:v>OBS_BCPI_09C86499676AA85B28EE</x:v>
      </x:c>
      <x:c r="B5" s="63" t="str">
        <x:v>BCPI_NON_RESIDENTIAL_BUILDINGS_622_DIVISION_COMPOSITE</x:v>
      </x:c>
      <x:c r="C5" s="63" t="str">
        <x:v>CMA_825</x:v>
      </x:c>
      <x:c r="D5" s="152" t="n">
        <x:v>45199</x:v>
      </x:c>
      <x:c r="E5" s="154" t="n">
        <x:v>100.6</x:v>
      </x:c>
      <x:c r="F5" s="63" t="str">
        <x:v>Index, 2023=100</x:v>
      </x:c>
      <x:c r="G5" s="63" t="str">
        <x:v>observed</x:v>
      </x:c>
      <x:c r="H5" s="63" t="str">
        <x:v>STATCAN_BCPI_18100289</x:v>
      </x:c>
      <x:c r="I5" s="63" t="str">
        <x:v>https://www150.statcan.gc.ca/t1/tbl1/en/tv.action?pid=1810028901</x:v>
      </x:c>
    </x:row>
    <x:row r="6">
      <x:c r="A6" s="63" t="str">
        <x:v>OBS_BCPI_C506CC16BCE1399AEDAC</x:v>
      </x:c>
      <x:c r="B6" s="63" t="str">
        <x:v>BCPI_NON_RESIDENTIAL_BUILDINGS_622_DIVISION_COMPOSITE</x:v>
      </x:c>
      <x:c r="C6" s="63" t="str">
        <x:v>CMA_825</x:v>
      </x:c>
      <x:c r="D6" s="152" t="n">
        <x:v>45291</x:v>
      </x:c>
      <x:c r="E6" s="154" t="n">
        <x:v>101.2</x:v>
      </x:c>
      <x:c r="F6" s="63" t="str">
        <x:v>Index, 2023=100</x:v>
      </x:c>
      <x:c r="G6" s="63" t="str">
        <x:v>observed</x:v>
      </x:c>
      <x:c r="H6" s="63" t="str">
        <x:v>STATCAN_BCPI_18100289</x:v>
      </x:c>
      <x:c r="I6" s="63" t="str">
        <x:v>https://www150.statcan.gc.ca/t1/tbl1/en/tv.action?pid=1810028901</x:v>
      </x:c>
    </x:row>
    <x:row r="7">
      <x:c r="A7" s="63" t="str">
        <x:v>OBS_BCPI_5569136A8DF0F0D136F3</x:v>
      </x:c>
      <x:c r="B7" s="63" t="str">
        <x:v>BCPI_NON_RESIDENTIAL_BUILDINGS_622_DIVISION_COMPOSITE</x:v>
      </x:c>
      <x:c r="C7" s="63" t="str">
        <x:v>CMA_825</x:v>
      </x:c>
      <x:c r="D7" s="152" t="n">
        <x:v>45382</x:v>
      </x:c>
      <x:c r="E7" s="154" t="n">
        <x:v>102.6</x:v>
      </x:c>
      <x:c r="F7" s="63" t="str">
        <x:v>Index, 2023=100</x:v>
      </x:c>
      <x:c r="G7" s="63" t="str">
        <x:v>observed</x:v>
      </x:c>
      <x:c r="H7" s="63" t="str">
        <x:v>STATCAN_BCPI_18100289</x:v>
      </x:c>
      <x:c r="I7" s="63" t="str">
        <x:v>https://www150.statcan.gc.ca/t1/tbl1/en/tv.action?pid=1810028901</x:v>
      </x:c>
    </x:row>
    <x:row r="8">
      <x:c r="A8" s="63" t="str">
        <x:v>OBS_BCPI_3E10F822BED8BB7565AE</x:v>
      </x:c>
      <x:c r="B8" s="63" t="str">
        <x:v>BCPI_NON_RESIDENTIAL_BUILDINGS_622_DIVISION_COMPOSITE</x:v>
      </x:c>
      <x:c r="C8" s="63" t="str">
        <x:v>CMA_825</x:v>
      </x:c>
      <x:c r="D8" s="152" t="n">
        <x:v>45473</x:v>
      </x:c>
      <x:c r="E8" s="154" t="n">
        <x:v>104</x:v>
      </x:c>
      <x:c r="F8" s="63" t="str">
        <x:v>Index, 2023=100</x:v>
      </x:c>
      <x:c r="G8" s="63" t="str">
        <x:v>observed</x:v>
      </x:c>
      <x:c r="H8" s="63" t="str">
        <x:v>STATCAN_BCPI_18100289</x:v>
      </x:c>
      <x:c r="I8" s="63" t="str">
        <x:v>https://www150.statcan.gc.ca/t1/tbl1/en/tv.action?pid=1810028901</x:v>
      </x:c>
    </x:row>
    <x:row r="9">
      <x:c r="A9" s="63" t="str">
        <x:v>OBS_BCPI_F43AA8632B5E8944086A</x:v>
      </x:c>
      <x:c r="B9" s="63" t="str">
        <x:v>BCPI_NON_RESIDENTIAL_BUILDINGS_622_DIVISION_COMPOSITE</x:v>
      </x:c>
      <x:c r="C9" s="63" t="str">
        <x:v>CMA_825</x:v>
      </x:c>
      <x:c r="D9" s="152" t="n">
        <x:v>45565</x:v>
      </x:c>
      <x:c r="E9" s="154" t="n">
        <x:v>104.9</x:v>
      </x:c>
      <x:c r="F9" s="63" t="str">
        <x:v>Index, 2023=100</x:v>
      </x:c>
      <x:c r="G9" s="63" t="str">
        <x:v>observed</x:v>
      </x:c>
      <x:c r="H9" s="63" t="str">
        <x:v>STATCAN_BCPI_18100289</x:v>
      </x:c>
      <x:c r="I9" s="63" t="str">
        <x:v>https://www150.statcan.gc.ca/t1/tbl1/en/tv.action?pid=1810028901</x:v>
      </x:c>
    </x:row>
    <x:row r="10">
      <x:c r="A10" s="63" t="str">
        <x:v>OBS_BCPI_DF7F34A079D4BF60F404</x:v>
      </x:c>
      <x:c r="B10" s="63" t="str">
        <x:v>BCPI_NON_RESIDENTIAL_BUILDINGS_622_DIVISION_COMPOSITE</x:v>
      </x:c>
      <x:c r="C10" s="63" t="str">
        <x:v>CMA_825</x:v>
      </x:c>
      <x:c r="D10" s="152" t="n">
        <x:v>45657</x:v>
      </x:c>
      <x:c r="E10" s="154" t="n">
        <x:v>104.9</x:v>
      </x:c>
      <x:c r="F10" s="63" t="str">
        <x:v>Index, 2023=100</x:v>
      </x:c>
      <x:c r="G10" s="63" t="str">
        <x:v>observed</x:v>
      </x:c>
      <x:c r="H10" s="63" t="str">
        <x:v>STATCAN_BCPI_18100289</x:v>
      </x:c>
      <x:c r="I10" s="63" t="str">
        <x:v>https://www150.statcan.gc.ca/t1/tbl1/en/tv.action?pid=1810028901</x:v>
      </x:c>
    </x:row>
    <x:row r="11">
      <x:c r="A11" s="63" t="str">
        <x:v>OBS_BCPI_D8A9EDC40C8A57588EAD</x:v>
      </x:c>
      <x:c r="B11" s="63" t="str">
        <x:v>BCPI_NON_RESIDENTIAL_BUILDINGS_622_DIVISION_COMPOSITE</x:v>
      </x:c>
      <x:c r="C11" s="63" t="str">
        <x:v>CMA_825</x:v>
      </x:c>
      <x:c r="D11" s="152" t="n">
        <x:v>45747</x:v>
      </x:c>
      <x:c r="E11" s="154" t="n">
        <x:v>106.1</x:v>
      </x:c>
      <x:c r="F11" s="63" t="str">
        <x:v>Index, 2023=100</x:v>
      </x:c>
      <x:c r="G11" s="63" t="str">
        <x:v>observed</x:v>
      </x:c>
      <x:c r="H11" s="63" t="str">
        <x:v>STATCAN_BCPI_18100289</x:v>
      </x:c>
      <x:c r="I11" s="63" t="str">
        <x:v>https://www150.statcan.gc.ca/t1/tbl1/en/tv.action?pid=1810028901</x:v>
      </x:c>
    </x:row>
    <x:row r="12">
      <x:c r="A12" s="63" t="str">
        <x:v>OBS_BCPI_90C069143EA4C314AFE6</x:v>
      </x:c>
      <x:c r="B12" s="63" t="str">
        <x:v>BCPI_NON_RESIDENTIAL_BUILDINGS_622_DIVISION_COMPOSITE</x:v>
      </x:c>
      <x:c r="C12" s="63" t="str">
        <x:v>CMA_825</x:v>
      </x:c>
      <x:c r="D12" s="152" t="n">
        <x:v>45838</x:v>
      </x:c>
      <x:c r="E12" s="154" t="n">
        <x:v>107.7</x:v>
      </x:c>
      <x:c r="F12" s="63" t="str">
        <x:v>Index, 2023=100</x:v>
      </x:c>
      <x:c r="G12" s="63" t="str">
        <x:v>observed</x:v>
      </x:c>
      <x:c r="H12" s="63" t="str">
        <x:v>STATCAN_BCPI_18100289</x:v>
      </x:c>
      <x:c r="I12" s="63" t="str">
        <x:v>https://www150.statcan.gc.ca/t1/tbl1/en/tv.action?pid=1810028901</x:v>
      </x:c>
    </x:row>
    <x:row r="13">
      <x:c r="A13" s="63" t="str">
        <x:v>OBS_BCPI_8A67554072EF27D54FBB</x:v>
      </x:c>
      <x:c r="B13" s="63" t="str">
        <x:v>BCPI_NON_RESIDENTIAL_BUILDINGS_622_DIVISION_COMPOSITE</x:v>
      </x:c>
      <x:c r="C13" s="63" t="str">
        <x:v>CMA_825</x:v>
      </x:c>
      <x:c r="D13" s="152" t="n">
        <x:v>45930</x:v>
      </x:c>
      <x:c r="E13" s="154" t="n">
        <x:v>108.1</x:v>
      </x:c>
      <x:c r="F13" s="63" t="str">
        <x:v>Index, 2023=100</x:v>
      </x:c>
      <x:c r="G13" s="63" t="str">
        <x:v>observed</x:v>
      </x:c>
      <x:c r="H13" s="63" t="str">
        <x:v>STATCAN_BCPI_18100289</x:v>
      </x:c>
      <x:c r="I13" s="63" t="str">
        <x:v>https://www150.statcan.gc.ca/t1/tbl1/en/tv.action?pid=1810028901</x:v>
      </x:c>
    </x:row>
    <x:row r="14">
      <x:c r="A14" s="63" t="str">
        <x:v>OBS_BCPI_D0372EEE6DD32D24632A</x:v>
      </x:c>
      <x:c r="B14" s="63" t="str">
        <x:v>BCPI_NON_RESIDENTIAL_BUILDINGS_622_DIVISION_COMPOSITE</x:v>
      </x:c>
      <x:c r="C14" s="63" t="str">
        <x:v>CMA_825</x:v>
      </x:c>
      <x:c r="D14" s="152" t="n">
        <x:v>46022</x:v>
      </x:c>
      <x:c r="E14" s="154" t="n">
        <x:v>108.5</x:v>
      </x:c>
      <x:c r="F14" s="63" t="str">
        <x:v>Index, 2023=100</x:v>
      </x:c>
      <x:c r="G14" s="63" t="str">
        <x:v>observed</x:v>
      </x:c>
      <x:c r="H14" s="63" t="str">
        <x:v>STATCAN_BCPI_18100289</x:v>
      </x:c>
      <x:c r="I14" s="63" t="str">
        <x:v>https://www150.statcan.gc.ca/t1/tbl1/en/tv.action?pid=1810028901</x:v>
      </x:c>
    </x:row>
    <x:row r="15">
      <x:c r="A15" s="63" t="str">
        <x:v>OBS_BCPI_9029F600317230152502</x:v>
      </x:c>
      <x:c r="B15" s="63" t="str">
        <x:v>BCPI_NON_RESIDENTIAL_BUILDINGS_622_DIVISION_COMPOSITE</x:v>
      </x:c>
      <x:c r="C15" s="63" t="str">
        <x:v>CMA_825</x:v>
      </x:c>
      <x:c r="D15" s="152" t="n">
        <x:v>46112</x:v>
      </x:c>
      <x:c r="E15" s="154" t="n">
        <x:v>110.1</x:v>
      </x:c>
      <x:c r="F15" s="63" t="str">
        <x:v>Index, 2023=100</x:v>
      </x:c>
      <x:c r="G15" s="63" t="str">
        <x:v>observed</x:v>
      </x:c>
      <x:c r="H15" s="63" t="str">
        <x:v>STATCAN_BCPI_18100289</x:v>
      </x:c>
      <x:c r="I15" s="63" t="str">
        <x:v>https://www150.statcan.gc.ca/t1/tbl1/en/tv.action?pid=1810028901</x:v>
      </x:c>
    </x:row>
    <x:row r="16">
      <x:c r="A16" s="63" t="str">
        <x:v>OBS_BCPI_1B0F1247354D1D32BFB9</x:v>
      </x:c>
      <x:c r="B16" s="63" t="str">
        <x:v>BCPI_NON_RESIDENTIAL_BUILDINGS_622_DIVISION_COMPOSITE</x:v>
      </x:c>
      <x:c r="C16" s="63" t="str">
        <x:v>CMA_825</x:v>
      </x:c>
      <x:c r="D16" s="152" t="n">
        <x:v>46203</x:v>
      </x:c>
      <x:c r="E16" s="154" t="n">
        <x:v>111.9</x:v>
      </x:c>
      <x:c r="F16" s="63" t="str">
        <x:v>Index, 2023=100</x:v>
      </x:c>
      <x:c r="G16" s="63" t="str">
        <x:v>observed</x:v>
      </x:c>
      <x:c r="H16" s="63" t="str">
        <x:v>STATCAN_BCPI_18100289</x:v>
      </x:c>
      <x:c r="I16" s="63" t="str">
        <x:v>https://www150.statcan.gc.ca/t1/tbl1/en/tv.action?pid=1810028901</x:v>
      </x:c>
    </x:row>
    <x:row r="17">
      <x:c r="A17" s="63" t="str">
        <x:v>OBS_BCPI_418A8DC2B3FB3C076F23</x:v>
      </x:c>
      <x:c r="B17" s="63" t="str">
        <x:v>BCPI_NON_RESIDENTIAL_BUILDINGS_622_DIVISION_COMPOSITE</x:v>
      </x:c>
      <x:c r="C17" s="63" t="str">
        <x:v>CMA_835</x:v>
      </x:c>
      <x:c r="D17" s="152" t="n">
        <x:v>45199</x:v>
      </x:c>
      <x:c r="E17" s="154" t="n">
        <x:v>100.5</x:v>
      </x:c>
      <x:c r="F17" s="63" t="str">
        <x:v>Index, 2023=100</x:v>
      </x:c>
      <x:c r="G17" s="63" t="str">
        <x:v>observed</x:v>
      </x:c>
      <x:c r="H17" s="63" t="str">
        <x:v>STATCAN_BCPI_18100289</x:v>
      </x:c>
      <x:c r="I17" s="63" t="str">
        <x:v>https://www150.statcan.gc.ca/t1/tbl1/en/tv.action?pid=1810028901</x:v>
      </x:c>
    </x:row>
    <x:row r="18">
      <x:c r="A18" s="63" t="str">
        <x:v>OBS_BCPI_6FA4A7FBBA688BA2C014</x:v>
      </x:c>
      <x:c r="B18" s="63" t="str">
        <x:v>BCPI_NON_RESIDENTIAL_BUILDINGS_622_DIVISION_COMPOSITE</x:v>
      </x:c>
      <x:c r="C18" s="63" t="str">
        <x:v>CMA_835</x:v>
      </x:c>
      <x:c r="D18" s="152" t="n">
        <x:v>45291</x:v>
      </x:c>
      <x:c r="E18" s="154" t="n">
        <x:v>101.2</x:v>
      </x:c>
      <x:c r="F18" s="63" t="str">
        <x:v>Index, 2023=100</x:v>
      </x:c>
      <x:c r="G18" s="63" t="str">
        <x:v>observed</x:v>
      </x:c>
      <x:c r="H18" s="63" t="str">
        <x:v>STATCAN_BCPI_18100289</x:v>
      </x:c>
      <x:c r="I18" s="63" t="str">
        <x:v>https://www150.statcan.gc.ca/t1/tbl1/en/tv.action?pid=1810028901</x:v>
      </x:c>
    </x:row>
    <x:row r="19">
      <x:c r="A19" s="63" t="str">
        <x:v>OBS_BCPI_68E5B4F47B3054E08B35</x:v>
      </x:c>
      <x:c r="B19" s="63" t="str">
        <x:v>BCPI_NON_RESIDENTIAL_BUILDINGS_622_DIVISION_COMPOSITE</x:v>
      </x:c>
      <x:c r="C19" s="63" t="str">
        <x:v>CMA_835</x:v>
      </x:c>
      <x:c r="D19" s="152" t="n">
        <x:v>45382</x:v>
      </x:c>
      <x:c r="E19" s="154" t="n">
        <x:v>103.4</x:v>
      </x:c>
      <x:c r="F19" s="63" t="str">
        <x:v>Index, 2023=100</x:v>
      </x:c>
      <x:c r="G19" s="63" t="str">
        <x:v>observed</x:v>
      </x:c>
      <x:c r="H19" s="63" t="str">
        <x:v>STATCAN_BCPI_18100289</x:v>
      </x:c>
      <x:c r="I19" s="63" t="str">
        <x:v>https://www150.statcan.gc.ca/t1/tbl1/en/tv.action?pid=1810028901</x:v>
      </x:c>
    </x:row>
    <x:row r="20">
      <x:c r="A20" s="63" t="str">
        <x:v>OBS_BCPI_07FC3203D13604C52027</x:v>
      </x:c>
      <x:c r="B20" s="63" t="str">
        <x:v>BCPI_NON_RESIDENTIAL_BUILDINGS_622_DIVISION_COMPOSITE</x:v>
      </x:c>
      <x:c r="C20" s="63" t="str">
        <x:v>CMA_835</x:v>
      </x:c>
      <x:c r="D20" s="152" t="n">
        <x:v>45473</x:v>
      </x:c>
      <x:c r="E20" s="154" t="n">
        <x:v>104.6</x:v>
      </x:c>
      <x:c r="F20" s="63" t="str">
        <x:v>Index, 2023=100</x:v>
      </x:c>
      <x:c r="G20" s="63" t="str">
        <x:v>observed</x:v>
      </x:c>
      <x:c r="H20" s="63" t="str">
        <x:v>STATCAN_BCPI_18100289</x:v>
      </x:c>
      <x:c r="I20" s="63" t="str">
        <x:v>https://www150.statcan.gc.ca/t1/tbl1/en/tv.action?pid=1810028901</x:v>
      </x:c>
    </x:row>
    <x:row r="21">
      <x:c r="A21" s="63" t="str">
        <x:v>OBS_BCPI_7203F7E333F67E9D8842</x:v>
      </x:c>
      <x:c r="B21" s="63" t="str">
        <x:v>BCPI_NON_RESIDENTIAL_BUILDINGS_622_DIVISION_COMPOSITE</x:v>
      </x:c>
      <x:c r="C21" s="63" t="str">
        <x:v>CMA_835</x:v>
      </x:c>
      <x:c r="D21" s="152" t="n">
        <x:v>45565</x:v>
      </x:c>
      <x:c r="E21" s="154" t="n">
        <x:v>105.5</x:v>
      </x:c>
      <x:c r="F21" s="63" t="str">
        <x:v>Index, 2023=100</x:v>
      </x:c>
      <x:c r="G21" s="63" t="str">
        <x:v>observed</x:v>
      </x:c>
      <x:c r="H21" s="63" t="str">
        <x:v>STATCAN_BCPI_18100289</x:v>
      </x:c>
      <x:c r="I21" s="63" t="str">
        <x:v>https://www150.statcan.gc.ca/t1/tbl1/en/tv.action?pid=1810028901</x:v>
      </x:c>
    </x:row>
    <x:row r="22">
      <x:c r="A22" s="63" t="str">
        <x:v>OBS_BCPI_F429CEF9E484E67F9606</x:v>
      </x:c>
      <x:c r="B22" s="63" t="str">
        <x:v>BCPI_NON_RESIDENTIAL_BUILDINGS_622_DIVISION_COMPOSITE</x:v>
      </x:c>
      <x:c r="C22" s="63" t="str">
        <x:v>CMA_835</x:v>
      </x:c>
      <x:c r="D22" s="152" t="n">
        <x:v>45657</x:v>
      </x:c>
      <x:c r="E22" s="154" t="n">
        <x:v>106</x:v>
      </x:c>
      <x:c r="F22" s="63" t="str">
        <x:v>Index, 2023=100</x:v>
      </x:c>
      <x:c r="G22" s="63" t="str">
        <x:v>observed</x:v>
      </x:c>
      <x:c r="H22" s="63" t="str">
        <x:v>STATCAN_BCPI_18100289</x:v>
      </x:c>
      <x:c r="I22" s="63" t="str">
        <x:v>https://www150.statcan.gc.ca/t1/tbl1/en/tv.action?pid=1810028901</x:v>
      </x:c>
    </x:row>
    <x:row r="23">
      <x:c r="A23" s="63" t="str">
        <x:v>OBS_BCPI_7A07F5B64375DDBB78D7</x:v>
      </x:c>
      <x:c r="B23" s="63" t="str">
        <x:v>BCPI_NON_RESIDENTIAL_BUILDINGS_622_DIVISION_COMPOSITE</x:v>
      </x:c>
      <x:c r="C23" s="63" t="str">
        <x:v>CMA_835</x:v>
      </x:c>
      <x:c r="D23" s="152" t="n">
        <x:v>45747</x:v>
      </x:c>
      <x:c r="E23" s="154" t="n">
        <x:v>107</x:v>
      </x:c>
      <x:c r="F23" s="63" t="str">
        <x:v>Index, 2023=100</x:v>
      </x:c>
      <x:c r="G23" s="63" t="str">
        <x:v>observed</x:v>
      </x:c>
      <x:c r="H23" s="63" t="str">
        <x:v>STATCAN_BCPI_18100289</x:v>
      </x:c>
      <x:c r="I23" s="63" t="str">
        <x:v>https://www150.statcan.gc.ca/t1/tbl1/en/tv.action?pid=1810028901</x:v>
      </x:c>
    </x:row>
    <x:row r="24">
      <x:c r="A24" s="63" t="str">
        <x:v>OBS_BCPI_292C94FE27DEFC49EDAB</x:v>
      </x:c>
      <x:c r="B24" s="63" t="str">
        <x:v>BCPI_NON_RESIDENTIAL_BUILDINGS_622_DIVISION_COMPOSITE</x:v>
      </x:c>
      <x:c r="C24" s="63" t="str">
        <x:v>CMA_835</x:v>
      </x:c>
      <x:c r="D24" s="152" t="n">
        <x:v>45838</x:v>
      </x:c>
      <x:c r="E24" s="154" t="n">
        <x:v>108.7</x:v>
      </x:c>
      <x:c r="F24" s="63" t="str">
        <x:v>Index, 2023=100</x:v>
      </x:c>
      <x:c r="G24" s="63" t="str">
        <x:v>observed</x:v>
      </x:c>
      <x:c r="H24" s="63" t="str">
        <x:v>STATCAN_BCPI_18100289</x:v>
      </x:c>
      <x:c r="I24" s="63" t="str">
        <x:v>https://www150.statcan.gc.ca/t1/tbl1/en/tv.action?pid=1810028901</x:v>
      </x:c>
    </x:row>
    <x:row r="25">
      <x:c r="A25" t="str">
        <x:v>OBS_BCPI_ABF6B098BAF08AA35E7B</x:v>
      </x:c>
      <x:c r="B25" t="str">
        <x:v>BCPI_NON_RESIDENTIAL_BUILDINGS_622_DIVISION_COMPOSITE</x:v>
      </x:c>
      <x:c r="C25" t="str">
        <x:v>CMA_835</x:v>
      </x:c>
      <x:c r="D25" s="150" t="n">
        <x:v>45930</x:v>
      </x:c>
      <x:c r="E25" s="153" t="n">
        <x:v>109.9</x:v>
      </x:c>
      <x:c r="F25" t="str">
        <x:v>Index, 2023=100</x:v>
      </x:c>
      <x:c r="G25" t="str">
        <x:v>observed</x:v>
      </x:c>
      <x:c r="H25" t="str">
        <x:v>STATCAN_BCPI_18100289</x:v>
      </x:c>
      <x:c r="I25" t="str">
        <x:v>https://www150.statcan.gc.ca/t1/tbl1/en/tv.action?pid=1810028901</x:v>
      </x:c>
    </x:row>
    <x:row r="26">
      <x:c r="A26" t="str">
        <x:v>OBS_BCPI_D950B6EDC57112C08226</x:v>
      </x:c>
      <x:c r="B26" t="str">
        <x:v>BCPI_NON_RESIDENTIAL_BUILDINGS_622_DIVISION_COMPOSITE</x:v>
      </x:c>
      <x:c r="C26" t="str">
        <x:v>CMA_835</x:v>
      </x:c>
      <x:c r="D26" s="150" t="n">
        <x:v>46022</x:v>
      </x:c>
      <x:c r="E26" s="153" t="n">
        <x:v>110.1</x:v>
      </x:c>
      <x:c r="F26" t="str">
        <x:v>Index, 2023=100</x:v>
      </x:c>
      <x:c r="G26" t="str">
        <x:v>observed</x:v>
      </x:c>
      <x:c r="H26" t="str">
        <x:v>STATCAN_BCPI_18100289</x:v>
      </x:c>
      <x:c r="I26" t="str">
        <x:v>https://www150.statcan.gc.ca/t1/tbl1/en/tv.action?pid=1810028901</x:v>
      </x:c>
    </x:row>
    <x:row r="27">
      <x:c r="A27" t="str">
        <x:v>OBS_BCPI_E89A4C9933F2A5D0C0DC</x:v>
      </x:c>
      <x:c r="B27" t="str">
        <x:v>BCPI_NON_RESIDENTIAL_BUILDINGS_622_DIVISION_COMPOSITE</x:v>
      </x:c>
      <x:c r="C27" t="str">
        <x:v>CMA_835</x:v>
      </x:c>
      <x:c r="D27" s="150" t="n">
        <x:v>46112</x:v>
      </x:c>
      <x:c r="E27" s="153" t="n">
        <x:v>111.5</x:v>
      </x:c>
      <x:c r="F27" t="str">
        <x:v>Index, 2023=100</x:v>
      </x:c>
      <x:c r="G27" t="str">
        <x:v>observed</x:v>
      </x:c>
      <x:c r="H27" t="str">
        <x:v>STATCAN_BCPI_18100289</x:v>
      </x:c>
      <x:c r="I27" t="str">
        <x:v>https://www150.statcan.gc.ca/t1/tbl1/en/tv.action?pid=1810028901</x:v>
      </x:c>
    </x:row>
    <x:row r="28">
      <x:c r="A28" t="str">
        <x:v>OBS_BCPI_653DC2E6BA474953DD99</x:v>
      </x:c>
      <x:c r="B28" t="str">
        <x:v>BCPI_NON_RESIDENTIAL_BUILDINGS_622_DIVISION_COMPOSITE</x:v>
      </x:c>
      <x:c r="C28" t="str">
        <x:v>CMA_835</x:v>
      </x:c>
      <x:c r="D28" s="150" t="n">
        <x:v>46203</x:v>
      </x:c>
      <x:c r="E28" s="153" t="n">
        <x:v>113.1</x:v>
      </x:c>
      <x:c r="F28" t="str">
        <x:v>Index, 2023=100</x:v>
      </x:c>
      <x:c r="G28" t="str">
        <x:v>observed</x:v>
      </x:c>
      <x:c r="H28" t="str">
        <x:v>STATCAN_BCPI_18100289</x:v>
      </x:c>
      <x:c r="I28" t="str">
        <x:v>https://www150.statcan.gc.ca/t1/tbl1/en/tv.action?pid=1810028901</x:v>
      </x:c>
    </x:row>
    <x:row r="29">
      <x:c r="A29" t="str">
        <x:v>OBS_BCPI_C3C34B20C5D8A5EA91B6</x:v>
      </x:c>
      <x:c r="B29" t="str">
        <x:v>BCPI_SCHOOL_DIVISION_COMPOSITE</x:v>
      </x:c>
      <x:c r="C29" t="str">
        <x:v>CMA_825</x:v>
      </x:c>
      <x:c r="D29" s="150" t="n">
        <x:v>45199</x:v>
      </x:c>
      <x:c r="E29" s="153" t="n">
        <x:v>100.5</x:v>
      </x:c>
      <x:c r="F29" t="str">
        <x:v>Index, 2023=100</x:v>
      </x:c>
      <x:c r="G29" t="str">
        <x:v>observed</x:v>
      </x:c>
      <x:c r="H29" t="str">
        <x:v>STATCAN_BCPI_18100289</x:v>
      </x:c>
      <x:c r="I29" t="str">
        <x:v>https://www150.statcan.gc.ca/t1/tbl1/en/tv.action?pid=1810028901</x:v>
      </x:c>
    </x:row>
    <x:row r="30">
      <x:c r="A30" t="str">
        <x:v>OBS_BCPI_82A0418CEBFCD4347B10</x:v>
      </x:c>
      <x:c r="B30" t="str">
        <x:v>BCPI_SCHOOL_DIVISION_COMPOSITE</x:v>
      </x:c>
      <x:c r="C30" t="str">
        <x:v>CMA_825</x:v>
      </x:c>
      <x:c r="D30" s="150" t="n">
        <x:v>45291</x:v>
      </x:c>
      <x:c r="E30" s="153" t="n">
        <x:v>101</x:v>
      </x:c>
      <x:c r="F30" t="str">
        <x:v>Index, 2023=100</x:v>
      </x:c>
      <x:c r="G30" t="str">
        <x:v>observed</x:v>
      </x:c>
      <x:c r="H30" t="str">
        <x:v>STATCAN_BCPI_18100289</x:v>
      </x:c>
      <x:c r="I30" t="str">
        <x:v>https://www150.statcan.gc.ca/t1/tbl1/en/tv.action?pid=1810028901</x:v>
      </x:c>
    </x:row>
    <x:row r="31">
      <x:c r="A31" t="str">
        <x:v>OBS_BCPI_87CBA2351FCE2C27C368</x:v>
      </x:c>
      <x:c r="B31" t="str">
        <x:v>BCPI_SCHOOL_DIVISION_COMPOSITE</x:v>
      </x:c>
      <x:c r="C31" t="str">
        <x:v>CMA_825</x:v>
      </x:c>
      <x:c r="D31" s="150" t="n">
        <x:v>45382</x:v>
      </x:c>
      <x:c r="E31" s="153" t="n">
        <x:v>102.9</x:v>
      </x:c>
      <x:c r="F31" t="str">
        <x:v>Index, 2023=100</x:v>
      </x:c>
      <x:c r="G31" t="str">
        <x:v>observed</x:v>
      </x:c>
      <x:c r="H31" t="str">
        <x:v>STATCAN_BCPI_18100289</x:v>
      </x:c>
      <x:c r="I31" t="str">
        <x:v>https://www150.statcan.gc.ca/t1/tbl1/en/tv.action?pid=1810028901</x:v>
      </x:c>
    </x:row>
    <x:row r="32">
      <x:c r="A32" t="str">
        <x:v>OBS_BCPI_7187E3EA00764A499AC5</x:v>
      </x:c>
      <x:c r="B32" t="str">
        <x:v>BCPI_SCHOOL_DIVISION_COMPOSITE</x:v>
      </x:c>
      <x:c r="C32" t="str">
        <x:v>CMA_825</x:v>
      </x:c>
      <x:c r="D32" s="150" t="n">
        <x:v>45473</x:v>
      </x:c>
      <x:c r="E32" s="153" t="n">
        <x:v>104.4</x:v>
      </x:c>
      <x:c r="F32" t="str">
        <x:v>Index, 2023=100</x:v>
      </x:c>
      <x:c r="G32" t="str">
        <x:v>observed</x:v>
      </x:c>
      <x:c r="H32" t="str">
        <x:v>STATCAN_BCPI_18100289</x:v>
      </x:c>
      <x:c r="I32" t="str">
        <x:v>https://www150.statcan.gc.ca/t1/tbl1/en/tv.action?pid=1810028901</x:v>
      </x:c>
    </x:row>
    <x:row r="33">
      <x:c r="A33" t="str">
        <x:v>OBS_BCPI_A3B30D427272CC9BD753</x:v>
      </x:c>
      <x:c r="B33" t="str">
        <x:v>BCPI_SCHOOL_DIVISION_COMPOSITE</x:v>
      </x:c>
      <x:c r="C33" t="str">
        <x:v>CMA_825</x:v>
      </x:c>
      <x:c r="D33" s="150" t="n">
        <x:v>45565</x:v>
      </x:c>
      <x:c r="E33" s="153" t="n">
        <x:v>105.2</x:v>
      </x:c>
      <x:c r="F33" t="str">
        <x:v>Index, 2023=100</x:v>
      </x:c>
      <x:c r="G33" t="str">
        <x:v>observed</x:v>
      </x:c>
      <x:c r="H33" t="str">
        <x:v>STATCAN_BCPI_18100289</x:v>
      </x:c>
      <x:c r="I33" t="str">
        <x:v>https://www150.statcan.gc.ca/t1/tbl1/en/tv.action?pid=1810028901</x:v>
      </x:c>
    </x:row>
    <x:row r="34">
      <x:c r="A34" t="str">
        <x:v>OBS_BCPI_A825DD49B8EB9F27B8FE</x:v>
      </x:c>
      <x:c r="B34" t="str">
        <x:v>BCPI_SCHOOL_DIVISION_COMPOSITE</x:v>
      </x:c>
      <x:c r="C34" t="str">
        <x:v>CMA_825</x:v>
      </x:c>
      <x:c r="D34" s="150" t="n">
        <x:v>45657</x:v>
      </x:c>
      <x:c r="E34" s="153" t="n">
        <x:v>105.4</x:v>
      </x:c>
      <x:c r="F34" t="str">
        <x:v>Index, 2023=100</x:v>
      </x:c>
      <x:c r="G34" t="str">
        <x:v>observed</x:v>
      </x:c>
      <x:c r="H34" t="str">
        <x:v>STATCAN_BCPI_18100289</x:v>
      </x:c>
      <x:c r="I34" t="str">
        <x:v>https://www150.statcan.gc.ca/t1/tbl1/en/tv.action?pid=1810028901</x:v>
      </x:c>
    </x:row>
    <x:row r="35">
      <x:c r="A35" t="str">
        <x:v>OBS_BCPI_8593A06EC268126E91AA</x:v>
      </x:c>
      <x:c r="B35" t="str">
        <x:v>BCPI_SCHOOL_DIVISION_COMPOSITE</x:v>
      </x:c>
      <x:c r="C35" t="str">
        <x:v>CMA_825</x:v>
      </x:c>
      <x:c r="D35" s="150" t="n">
        <x:v>45747</x:v>
      </x:c>
      <x:c r="E35" s="153" t="n">
        <x:v>106.5</x:v>
      </x:c>
      <x:c r="F35" t="str">
        <x:v>Index, 2023=100</x:v>
      </x:c>
      <x:c r="G35" t="str">
        <x:v>observed</x:v>
      </x:c>
      <x:c r="H35" t="str">
        <x:v>STATCAN_BCPI_18100289</x:v>
      </x:c>
      <x:c r="I35" t="str">
        <x:v>https://www150.statcan.gc.ca/t1/tbl1/en/tv.action?pid=1810028901</x:v>
      </x:c>
    </x:row>
    <x:row r="36">
      <x:c r="A36" t="str">
        <x:v>OBS_BCPI_295C4D3A480485AA665A</x:v>
      </x:c>
      <x:c r="B36" t="str">
        <x:v>BCPI_SCHOOL_DIVISION_COMPOSITE</x:v>
      </x:c>
      <x:c r="C36" t="str">
        <x:v>CMA_825</x:v>
      </x:c>
      <x:c r="D36" s="150" t="n">
        <x:v>45838</x:v>
      </x:c>
      <x:c r="E36" s="153" t="n">
        <x:v>107.9</x:v>
      </x:c>
      <x:c r="F36" t="str">
        <x:v>Index, 2023=100</x:v>
      </x:c>
      <x:c r="G36" t="str">
        <x:v>observed</x:v>
      </x:c>
      <x:c r="H36" t="str">
        <x:v>STATCAN_BCPI_18100289</x:v>
      </x:c>
      <x:c r="I36" t="str">
        <x:v>https://www150.statcan.gc.ca/t1/tbl1/en/tv.action?pid=1810028901</x:v>
      </x:c>
    </x:row>
    <x:row r="37">
      <x:c r="A37" t="str">
        <x:v>OBS_BCPI_F992BCE1205555C17D7D</x:v>
      </x:c>
      <x:c r="B37" t="str">
        <x:v>BCPI_SCHOOL_DIVISION_COMPOSITE</x:v>
      </x:c>
      <x:c r="C37" t="str">
        <x:v>CMA_825</x:v>
      </x:c>
      <x:c r="D37" s="150" t="n">
        <x:v>45930</x:v>
      </x:c>
      <x:c r="E37" s="153" t="n">
        <x:v>108.4</x:v>
      </x:c>
      <x:c r="F37" t="str">
        <x:v>Index, 2023=100</x:v>
      </x:c>
      <x:c r="G37" t="str">
        <x:v>observed</x:v>
      </x:c>
      <x:c r="H37" t="str">
        <x:v>STATCAN_BCPI_18100289</x:v>
      </x:c>
      <x:c r="I37" t="str">
        <x:v>https://www150.statcan.gc.ca/t1/tbl1/en/tv.action?pid=1810028901</x:v>
      </x:c>
    </x:row>
    <x:row r="38">
      <x:c r="A38" t="str">
        <x:v>OBS_BCPI_10DEF8E8D3A23B30FEAB</x:v>
      </x:c>
      <x:c r="B38" t="str">
        <x:v>BCPI_SCHOOL_DIVISION_COMPOSITE</x:v>
      </x:c>
      <x:c r="C38" t="str">
        <x:v>CMA_825</x:v>
      </x:c>
      <x:c r="D38" s="150" t="n">
        <x:v>46022</x:v>
      </x:c>
      <x:c r="E38" s="153" t="n">
        <x:v>108.4</x:v>
      </x:c>
      <x:c r="F38" t="str">
        <x:v>Index, 2023=100</x:v>
      </x:c>
      <x:c r="G38" t="str">
        <x:v>observed</x:v>
      </x:c>
      <x:c r="H38" t="str">
        <x:v>STATCAN_BCPI_18100289</x:v>
      </x:c>
      <x:c r="I38" t="str">
        <x:v>https://www150.statcan.gc.ca/t1/tbl1/en/tv.action?pid=1810028901</x:v>
      </x:c>
    </x:row>
    <x:row r="39">
      <x:c r="A39" t="str">
        <x:v>OBS_BCPI_486557D90F581FB732A9</x:v>
      </x:c>
      <x:c r="B39" t="str">
        <x:v>BCPI_SCHOOL_DIVISION_COMPOSITE</x:v>
      </x:c>
      <x:c r="C39" t="str">
        <x:v>CMA_825</x:v>
      </x:c>
      <x:c r="D39" s="150" t="n">
        <x:v>46112</x:v>
      </x:c>
      <x:c r="E39" s="153" t="n">
        <x:v>108.7</x:v>
      </x:c>
      <x:c r="F39" t="str">
        <x:v>Index, 2023=100</x:v>
      </x:c>
      <x:c r="G39" t="str">
        <x:v>observed</x:v>
      </x:c>
      <x:c r="H39" t="str">
        <x:v>STATCAN_BCPI_18100289</x:v>
      </x:c>
      <x:c r="I39" t="str">
        <x:v>https://www150.statcan.gc.ca/t1/tbl1/en/tv.action?pid=1810028901</x:v>
      </x:c>
    </x:row>
    <x:row r="40">
      <x:c r="A40" t="str">
        <x:v>OBS_BCPI_47FBDFA8860E788AFD93</x:v>
      </x:c>
      <x:c r="B40" t="str">
        <x:v>BCPI_SCHOOL_DIVISION_COMPOSITE</x:v>
      </x:c>
      <x:c r="C40" t="str">
        <x:v>CMA_825</x:v>
      </x:c>
      <x:c r="D40" s="150" t="n">
        <x:v>46203</x:v>
      </x:c>
      <x:c r="E40" s="153" t="n">
        <x:v>109.9</x:v>
      </x:c>
      <x:c r="F40" t="str">
        <x:v>Index, 2023=100</x:v>
      </x:c>
      <x:c r="G40" t="str">
        <x:v>observed</x:v>
      </x:c>
      <x:c r="H40" t="str">
        <x:v>STATCAN_BCPI_18100289</x:v>
      </x:c>
      <x:c r="I40" t="str">
        <x:v>https://www150.statcan.gc.ca/t1/tbl1/en/tv.action?pid=1810028901</x:v>
      </x:c>
    </x:row>
    <x:row r="41">
      <x:c r="A41" t="str">
        <x:v>OBS_BCPI_EDDF35D60BE5DD3B91D3</x:v>
      </x:c>
      <x:c r="B41" t="str">
        <x:v>BCPI_SCHOOL_DIVISION_COMPOSITE</x:v>
      </x:c>
      <x:c r="C41" t="str">
        <x:v>CMA_835</x:v>
      </x:c>
      <x:c r="D41" s="150" t="n">
        <x:v>45199</x:v>
      </x:c>
      <x:c r="E41" s="153" t="n">
        <x:v>100.5</x:v>
      </x:c>
      <x:c r="F41" t="str">
        <x:v>Index, 2023=100</x:v>
      </x:c>
      <x:c r="G41" t="str">
        <x:v>observed</x:v>
      </x:c>
      <x:c r="H41" t="str">
        <x:v>STATCAN_BCPI_18100289</x:v>
      </x:c>
      <x:c r="I41" t="str">
        <x:v>https://www150.statcan.gc.ca/t1/tbl1/en/tv.action?pid=1810028901</x:v>
      </x:c>
    </x:row>
    <x:row r="42">
      <x:c r="A42" t="str">
        <x:v>OBS_BCPI_B52B3774E64482D1ABEA</x:v>
      </x:c>
      <x:c r="B42" t="str">
        <x:v>BCPI_SCHOOL_DIVISION_COMPOSITE</x:v>
      </x:c>
      <x:c r="C42" t="str">
        <x:v>CMA_835</x:v>
      </x:c>
      <x:c r="D42" s="150" t="n">
        <x:v>45291</x:v>
      </x:c>
      <x:c r="E42" s="153" t="n">
        <x:v>101.1</x:v>
      </x:c>
      <x:c r="F42" t="str">
        <x:v>Index, 2023=100</x:v>
      </x:c>
      <x:c r="G42" t="str">
        <x:v>observed</x:v>
      </x:c>
      <x:c r="H42" t="str">
        <x:v>STATCAN_BCPI_18100289</x:v>
      </x:c>
      <x:c r="I42" t="str">
        <x:v>https://www150.statcan.gc.ca/t1/tbl1/en/tv.action?pid=1810028901</x:v>
      </x:c>
    </x:row>
    <x:row r="43">
      <x:c r="A43" t="str">
        <x:v>OBS_BCPI_6E15A86CC95E5E1C7FF3</x:v>
      </x:c>
      <x:c r="B43" t="str">
        <x:v>BCPI_SCHOOL_DIVISION_COMPOSITE</x:v>
      </x:c>
      <x:c r="C43" t="str">
        <x:v>CMA_835</x:v>
      </x:c>
      <x:c r="D43" s="150" t="n">
        <x:v>45382</x:v>
      </x:c>
      <x:c r="E43" s="153" t="n">
        <x:v>103.5</x:v>
      </x:c>
      <x:c r="F43" t="str">
        <x:v>Index, 2023=100</x:v>
      </x:c>
      <x:c r="G43" t="str">
        <x:v>observed</x:v>
      </x:c>
      <x:c r="H43" t="str">
        <x:v>STATCAN_BCPI_18100289</x:v>
      </x:c>
      <x:c r="I43" t="str">
        <x:v>https://www150.statcan.gc.ca/t1/tbl1/en/tv.action?pid=1810028901</x:v>
      </x:c>
    </x:row>
    <x:row r="44">
      <x:c r="A44" t="str">
        <x:v>OBS_BCPI_597CB935012D2CA80964</x:v>
      </x:c>
      <x:c r="B44" t="str">
        <x:v>BCPI_SCHOOL_DIVISION_COMPOSITE</x:v>
      </x:c>
      <x:c r="C44" t="str">
        <x:v>CMA_835</x:v>
      </x:c>
      <x:c r="D44" s="150" t="n">
        <x:v>45473</x:v>
      </x:c>
      <x:c r="E44" s="153" t="n">
        <x:v>104.7</x:v>
      </x:c>
      <x:c r="F44" t="str">
        <x:v>Index, 2023=100</x:v>
      </x:c>
      <x:c r="G44" t="str">
        <x:v>observed</x:v>
      </x:c>
      <x:c r="H44" t="str">
        <x:v>STATCAN_BCPI_18100289</x:v>
      </x:c>
      <x:c r="I44" t="str">
        <x:v>https://www150.statcan.gc.ca/t1/tbl1/en/tv.action?pid=1810028901</x:v>
      </x:c>
    </x:row>
    <x:row r="45">
      <x:c r="A45" t="str">
        <x:v>OBS_BCPI_2CF4FD87A211E2BA56DE</x:v>
      </x:c>
      <x:c r="B45" t="str">
        <x:v>BCPI_SCHOOL_DIVISION_COMPOSITE</x:v>
      </x:c>
      <x:c r="C45" t="str">
        <x:v>CMA_835</x:v>
      </x:c>
      <x:c r="D45" s="150" t="n">
        <x:v>45565</x:v>
      </x:c>
      <x:c r="E45" s="153" t="n">
        <x:v>105.6</x:v>
      </x:c>
      <x:c r="F45" t="str">
        <x:v>Index, 2023=100</x:v>
      </x:c>
      <x:c r="G45" t="str">
        <x:v>observed</x:v>
      </x:c>
      <x:c r="H45" t="str">
        <x:v>STATCAN_BCPI_18100289</x:v>
      </x:c>
      <x:c r="I45" t="str">
        <x:v>https://www150.statcan.gc.ca/t1/tbl1/en/tv.action?pid=1810028901</x:v>
      </x:c>
    </x:row>
    <x:row r="46">
      <x:c r="A46" t="str">
        <x:v>OBS_BCPI_F2C3F13B42B3DD397067</x:v>
      </x:c>
      <x:c r="B46" t="str">
        <x:v>BCPI_SCHOOL_DIVISION_COMPOSITE</x:v>
      </x:c>
      <x:c r="C46" t="str">
        <x:v>CMA_835</x:v>
      </x:c>
      <x:c r="D46" s="150" t="n">
        <x:v>45657</x:v>
      </x:c>
      <x:c r="E46" s="153" t="n">
        <x:v>106.2</x:v>
      </x:c>
      <x:c r="F46" t="str">
        <x:v>Index, 2023=100</x:v>
      </x:c>
      <x:c r="G46" t="str">
        <x:v>observed</x:v>
      </x:c>
      <x:c r="H46" t="str">
        <x:v>STATCAN_BCPI_18100289</x:v>
      </x:c>
      <x:c r="I46" t="str">
        <x:v>https://www150.statcan.gc.ca/t1/tbl1/en/tv.action?pid=1810028901</x:v>
      </x:c>
    </x:row>
    <x:row r="47">
      <x:c r="A47" t="str">
        <x:v>OBS_BCPI_B9A9A1090890E6D081AA</x:v>
      </x:c>
      <x:c r="B47" t="str">
        <x:v>BCPI_SCHOOL_DIVISION_COMPOSITE</x:v>
      </x:c>
      <x:c r="C47" t="str">
        <x:v>CMA_835</x:v>
      </x:c>
      <x:c r="D47" s="150" t="n">
        <x:v>45747</x:v>
      </x:c>
      <x:c r="E47" s="153" t="n">
        <x:v>107.1</x:v>
      </x:c>
      <x:c r="F47" t="str">
        <x:v>Index, 2023=100</x:v>
      </x:c>
      <x:c r="G47" t="str">
        <x:v>observed</x:v>
      </x:c>
      <x:c r="H47" t="str">
        <x:v>STATCAN_BCPI_18100289</x:v>
      </x:c>
      <x:c r="I47" t="str">
        <x:v>https://www150.statcan.gc.ca/t1/tbl1/en/tv.action?pid=1810028901</x:v>
      </x:c>
    </x:row>
    <x:row r="48">
      <x:c r="A48" t="str">
        <x:v>OBS_BCPI_42E08834A8D47276E8D4</x:v>
      </x:c>
      <x:c r="B48" t="str">
        <x:v>BCPI_SCHOOL_DIVISION_COMPOSITE</x:v>
      </x:c>
      <x:c r="C48" t="str">
        <x:v>CMA_835</x:v>
      </x:c>
      <x:c r="D48" s="150" t="n">
        <x:v>45838</x:v>
      </x:c>
      <x:c r="E48" s="153" t="n">
        <x:v>108.7</x:v>
      </x:c>
      <x:c r="F48" t="str">
        <x:v>Index, 2023=100</x:v>
      </x:c>
      <x:c r="G48" t="str">
        <x:v>observed</x:v>
      </x:c>
      <x:c r="H48" t="str">
        <x:v>STATCAN_BCPI_18100289</x:v>
      </x:c>
      <x:c r="I48" t="str">
        <x:v>https://www150.statcan.gc.ca/t1/tbl1/en/tv.action?pid=1810028901</x:v>
      </x:c>
    </x:row>
    <x:row r="49">
      <x:c r="A49" t="str">
        <x:v>OBS_BCPI_15111BD30B9C65FA014B</x:v>
      </x:c>
      <x:c r="B49" t="str">
        <x:v>BCPI_SCHOOL_DIVISION_COMPOSITE</x:v>
      </x:c>
      <x:c r="C49" t="str">
        <x:v>CMA_835</x:v>
      </x:c>
      <x:c r="D49" s="150" t="n">
        <x:v>45930</x:v>
      </x:c>
      <x:c r="E49" s="153" t="n">
        <x:v>109.8</x:v>
      </x:c>
      <x:c r="F49" t="str">
        <x:v>Index, 2023=100</x:v>
      </x:c>
      <x:c r="G49" t="str">
        <x:v>observed</x:v>
      </x:c>
      <x:c r="H49" t="str">
        <x:v>STATCAN_BCPI_18100289</x:v>
      </x:c>
      <x:c r="I49" t="str">
        <x:v>https://www150.statcan.gc.ca/t1/tbl1/en/tv.action?pid=1810028901</x:v>
      </x:c>
    </x:row>
    <x:row r="50">
      <x:c r="A50" t="str">
        <x:v>OBS_BCPI_360096648581F99C2B2A</x:v>
      </x:c>
      <x:c r="B50" t="str">
        <x:v>BCPI_SCHOOL_DIVISION_COMPOSITE</x:v>
      </x:c>
      <x:c r="C50" t="str">
        <x:v>CMA_835</x:v>
      </x:c>
      <x:c r="D50" s="150" t="n">
        <x:v>46022</x:v>
      </x:c>
      <x:c r="E50" s="153" t="n">
        <x:v>109.4</x:v>
      </x:c>
      <x:c r="F50" t="str">
        <x:v>Index, 2023=100</x:v>
      </x:c>
      <x:c r="G50" t="str">
        <x:v>observed</x:v>
      </x:c>
      <x:c r="H50" t="str">
        <x:v>STATCAN_BCPI_18100289</x:v>
      </x:c>
      <x:c r="I50" t="str">
        <x:v>https://www150.statcan.gc.ca/t1/tbl1/en/tv.action?pid=1810028901</x:v>
      </x:c>
    </x:row>
    <x:row r="51">
      <x:c r="A51" t="str">
        <x:v>OBS_BCPI_4AD35EE0854EAE293AB6</x:v>
      </x:c>
      <x:c r="B51" t="str">
        <x:v>BCPI_SCHOOL_DIVISION_COMPOSITE</x:v>
      </x:c>
      <x:c r="C51" t="str">
        <x:v>CMA_835</x:v>
      </x:c>
      <x:c r="D51" s="150" t="n">
        <x:v>46112</x:v>
      </x:c>
      <x:c r="E51" s="153" t="n">
        <x:v>109.7</x:v>
      </x:c>
      <x:c r="F51" t="str">
        <x:v>Index, 2023=100</x:v>
      </x:c>
      <x:c r="G51" t="str">
        <x:v>observed</x:v>
      </x:c>
      <x:c r="H51" t="str">
        <x:v>STATCAN_BCPI_18100289</x:v>
      </x:c>
      <x:c r="I51" t="str">
        <x:v>https://www150.statcan.gc.ca/t1/tbl1/en/tv.action?pid=1810028901</x:v>
      </x:c>
    </x:row>
    <x:row r="52">
      <x:c r="A52" t="str">
        <x:v>OBS_BCPI_5378E857D7D0AC63FD37</x:v>
      </x:c>
      <x:c r="B52" t="str">
        <x:v>BCPI_SCHOOL_DIVISION_COMPOSITE</x:v>
      </x:c>
      <x:c r="C52" t="str">
        <x:v>CMA_835</x:v>
      </x:c>
      <x:c r="D52" s="150" t="n">
        <x:v>46203</x:v>
      </x:c>
      <x:c r="E52" s="153" t="n">
        <x:v>110.8</x:v>
      </x:c>
      <x:c r="F52" t="str">
        <x:v>Index, 2023=100</x:v>
      </x:c>
      <x:c r="G52" t="str">
        <x:v>observed</x:v>
      </x:c>
      <x:c r="H52" t="str">
        <x:v>STATCAN_BCPI_18100289</x:v>
      </x:c>
      <x:c r="I52" t="str">
        <x:v>https://www150.statcan.gc.ca/t1/tbl1/en/tv.action?pid=1810028901</x:v>
      </x:c>
    </x:row>
  </x:sheetData>
  <x:mergeCells>
    <x:mergeCell ref="A1:I2"/>
    <x:mergeCell ref="A3:I3"/>
  </x:mergeCells>
  <x:pageMargins left="0.7" right="0.7" top="0.75" bottom="0.75" header="0.3" footer="0.3"/>
  <x:tableParts count="1">
    <x:tablePart xmlns:r="http://schemas.openxmlformats.org/officeDocument/2006/relationships" r:id="R7b72acfee1ee492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9" hidden="0" customWidth="1"/>
    <x:col min="2" max="2" width="47" hidden="0" customWidth="1"/>
    <x:col min="3" max="3" width="25" hidden="0" customWidth="1"/>
    <x:col min="4" max="4" width="28" hidden="0" customWidth="1"/>
    <x:col min="5" max="5" width="34" hidden="0" customWidth="1"/>
    <x:col min="6" max="6" width="14" hidden="0" customWidth="1"/>
    <x:col min="7" max="7" width="13" hidden="0" customWidth="1"/>
    <x:col min="8" max="8" width="48" hidden="0" customWidth="1"/>
  </x:cols>
  <x:sheetData>
    <x:row r="1" ht="28" customHeight="1">
      <x:c r="A1" s="61" t="str">
        <x:v>Public source register</x:v>
      </x:c>
      <x:c r="B1" s="61"/>
      <x:c r="C1" s="61"/>
      <x:c r="D1" s="61"/>
      <x:c r="E1" s="61"/>
      <x:c r="F1" s="61"/>
      <x:c r="G1" s="61"/>
      <x:c r="H1" s="61"/>
    </x:row>
    <x:row r="2" ht="28" customHeight="1">
      <x:c r="A2" s="61"/>
      <x:c r="B2" s="61"/>
      <x:c r="C2" s="61"/>
      <x:c r="D2" s="61"/>
      <x:c r="E2" s="61"/>
      <x:c r="F2" s="61"/>
      <x:c r="G2" s="61"/>
      <x:c r="H2" s="61"/>
    </x:row>
    <x:row r="3" ht="21" customHeight="1">
      <x:c r="A3" s="62" t="str">
        <x:v>Authoritative and candidate sources included in release 0.1.0-dev</x:v>
      </x:c>
      <x:c r="B3" s="62"/>
      <x:c r="C3" s="62"/>
      <x:c r="D3" s="62"/>
      <x:c r="E3" s="62"/>
      <x:c r="F3" s="62"/>
      <x:c r="G3" s="62"/>
      <x:c r="H3" s="62"/>
    </x:row>
    <x:row r="4" ht="28" customHeight="1">
      <x:c r="A4" s="44" t="str">
        <x:v>Source ID</x:v>
      </x:c>
      <x:c r="B4" s="84" t="str">
        <x:v>Title</x:v>
      </x:c>
      <x:c r="C4" s="84" t="str">
        <x:v>Publisher</x:v>
      </x:c>
      <x:c r="D4" s="84" t="str">
        <x:v>Domain</x:v>
      </x:c>
      <x:c r="E4" s="84" t="str">
        <x:v>Geography</x:v>
      </x:c>
      <x:c r="F4" s="84" t="str">
        <x:v>As-of date</x:v>
      </x:c>
      <x:c r="G4" s="84" t="str">
        <x:v>Status</x:v>
      </x:c>
      <x:c r="H4" s="45" t="str">
        <x:v>Canonical URL</x:v>
      </x:c>
    </x:row>
    <x:row r="5">
      <x:c r="A5" s="63" t="str">
        <x:v>STATCAN_BCPI_18100289</x:v>
      </x:c>
      <x:c r="B5" s="63" t="str">
        <x:v>Building construction price indexes, by type of building and division</x:v>
      </x:c>
      <x:c r="C5" s="63" t="str">
        <x:v>Statistics Canada</x:v>
      </x:c>
      <x:c r="D5" s="63" t="str">
        <x:v>Construction Cost</x:v>
      </x:c>
      <x:c r="E5" s="63" t="str">
        <x:v>Canada; selected census metropolitan areas</x:v>
      </x:c>
      <x:c r="F5" s="152" t="n">
        <x:v>46227</x:v>
      </x:c>
      <x:c r="G5" s="63" t="str">
        <x:v>active</x:v>
      </x:c>
      <x:c r="H5" s="63" t="str">
        <x:v>https://www150.statcan.gc.ca/t1/tbl1/en/tv.action?pid=1810028901</x:v>
      </x:c>
    </x:row>
    <x:row r="6">
      <x:c r="A6" s="63" t="str">
        <x:v>STATCAN_WAGES_14100417</x:v>
      </x:c>
      <x:c r="B6" s="63" t="str">
        <x:v>Employee wages by occupation, annual</x:v>
      </x:c>
      <x:c r="C6" s="63" t="str">
        <x:v>Statistics Canada</x:v>
      </x:c>
      <x:c r="D6" s="63" t="str">
        <x:v>Labour</x:v>
      </x:c>
      <x:c r="E6" s="63" t="str">
        <x:v>Canada; provinces and territories</x:v>
      </x:c>
      <x:c r="F6" s="152" t="n">
        <x:v>46031</x:v>
      </x:c>
      <x:c r="G6" s="63" t="str">
        <x:v>active</x:v>
      </x:c>
      <x:c r="H6" s="63" t="str">
        <x:v>https://www150.statcan.gc.ca/t1/tbl1/en/tv.action?pid=1410041701</x:v>
      </x:c>
    </x:row>
    <x:row r="7">
      <x:c r="A7" s="63" t="str">
        <x:v>STATCAN_JVWS_14100444</x:v>
      </x:c>
      <x:c r="B7" s="63" t="str">
        <x:v>Job vacancies and average offered hourly wage by occupation (unit group), quarterly, unadjusted for seasonality</x:v>
      </x:c>
      <x:c r="C7" s="63" t="str">
        <x:v>Statistics Canada</x:v>
      </x:c>
      <x:c r="D7" s="63" t="str">
        <x:v>Labour</x:v>
      </x:c>
      <x:c r="E7" s="63" t="str">
        <x:v>Canada; provinces and territories</x:v>
      </x:c>
      <x:c r="F7" s="152" t="n">
        <x:v>46189</x:v>
      </x:c>
      <x:c r="G7" s="63" t="str">
        <x:v>active</x:v>
      </x:c>
      <x:c r="H7" s="63" t="str">
        <x:v>https://www150.statcan.gc.ca/t1/tbl1/en/tv.action?pid=1410044401</x:v>
      </x:c>
    </x:row>
    <x:row r="8">
      <x:c r="A8" s="63" t="str">
        <x:v>STATCAN_SUPPLY_USE_36100438</x:v>
      </x:c>
      <x:c r="B8" s="63" t="str">
        <x:v>Supply and use tables, summary level, provincial and territorial</x:v>
      </x:c>
      <x:c r="C8" s="63" t="str">
        <x:v>Statistics Canada</x:v>
      </x:c>
      <x:c r="D8" s="63" t="str">
        <x:v>Materials And Industry</x:v>
      </x:c>
      <x:c r="E8" s="63" t="str">
        <x:v>Canada; provinces and territories</x:v>
      </x:c>
      <x:c r="F8" s="152" t="n">
        <x:v>45967</x:v>
      </x:c>
      <x:c r="G8" s="63" t="str">
        <x:v>active</x:v>
      </x:c>
      <x:c r="H8" s="63" t="str">
        <x:v>https://www150.statcan.gc.ca/t1/tbl1/en/tv.action?pid=3610043801</x:v>
      </x:c>
    </x:row>
    <x:row r="9">
      <x:c r="A9" s="63" t="str">
        <x:v>ALBERTA_MAJOR_PROJECTS</x:v>
      </x:c>
      <x:c r="B9" s="63" t="str">
        <x:v>Alberta Major Projects inventory</x:v>
      </x:c>
      <x:c r="C9" s="63" t="str">
        <x:v>Government of Alberta</x:v>
      </x:c>
      <x:c r="D9" s="63" t="str">
        <x:v>Ai Capex And Public Projects</x:v>
      </x:c>
      <x:c r="E9" s="63" t="str">
        <x:v>Alberta</x:v>
      </x:c>
      <x:c r="F9" s="152" t="n">
        <x:v>46265</x:v>
      </x:c>
      <x:c r="G9" s="63" t="str">
        <x:v>candidate</x:v>
      </x:c>
      <x:c r="H9" s="63" t="str">
        <x:v>https://www.majorprojects.alberta.ca/</x:v>
      </x:c>
    </x:row>
    <x:row r="10">
      <x:c r="A10" s="63" t="str">
        <x:v>ALBERTA_MAJOR_PROJECTS_METHOD</x:v>
      </x:c>
      <x:c r="B10" s="63" t="str">
        <x:v>Alberta Major Projects methodology</x:v>
      </x:c>
      <x:c r="C10" s="63" t="str">
        <x:v>Government of Alberta</x:v>
      </x:c>
      <x:c r="D10" s="63" t="str">
        <x:v>Ai Capex And Public Projects</x:v>
      </x:c>
      <x:c r="E10" s="63" t="str">
        <x:v>Alberta</x:v>
      </x:c>
      <x:c r="F10" s="152" t="n">
        <x:v>46265</x:v>
      </x:c>
      <x:c r="G10" s="63" t="str">
        <x:v>active</x:v>
      </x:c>
      <x:c r="H10" s="63" t="str">
        <x:v>https://majorprojects.alberta.ca/methodology</x:v>
      </x:c>
    </x:row>
    <x:row r="11">
      <x:c r="A11" s="63" t="str">
        <x:v>AESO_LARGE_LOAD_PROJECTS</x:v>
      </x:c>
      <x:c r="B11" s="63" t="str">
        <x:v>Large Load Projects</x:v>
      </x:c>
      <x:c r="C11" s="63" t="str">
        <x:v>Alberta Electric System Operator</x:v>
      </x:c>
      <x:c r="D11" s="63" t="str">
        <x:v>Power</x:v>
      </x:c>
      <x:c r="E11" s="63" t="str">
        <x:v>Alberta interconnected electric system</x:v>
      </x:c>
      <x:c r="F11" s="152" t="n">
        <x:v>46265</x:v>
      </x:c>
      <x:c r="G11" s="63" t="str">
        <x:v>candidate</x:v>
      </x:c>
      <x:c r="H11" s="63" t="str">
        <x:v>https://www.aeso.ca/grid/connecting-to-the-grid/large-load-projects/</x:v>
      </x:c>
    </x:row>
    <x:row r="12">
      <x:c r="A12" s="63" t="str">
        <x:v>AESO_LTO_2026_INPUTS</x:v>
      </x:c>
      <x:c r="B12" s="63" t="str">
        <x:v>2026 Long-Term Outlook input, assumptions and scenarios</x:v>
      </x:c>
      <x:c r="C12" s="63" t="str">
        <x:v>Alberta Electric System Operator</x:v>
      </x:c>
      <x:c r="D12" s="63" t="str">
        <x:v>Power</x:v>
      </x:c>
      <x:c r="E12" s="63" t="str">
        <x:v>Alberta interconnected electric system</x:v>
      </x:c>
      <x:c r="F12" s="152" t="n">
        <x:v>46259</x:v>
      </x:c>
      <x:c r="G12" s="63" t="str">
        <x:v>candidate</x:v>
      </x:c>
      <x:c r="H12" s="63" t="str">
        <x:v>https://aesoengage.aeso.ca/2026-long-term-outlook-plan</x:v>
      </x:c>
    </x:row>
    <x:row r="13">
      <x:c r="A13" s="63" t="str">
        <x:v>ALBERTA_AIT_DATA</x:v>
      </x:c>
      <x:c r="B13" s="63" t="str">
        <x:v>Apprenticeship and Industry Training data and research library</x:v>
      </x:c>
      <x:c r="C13" s="63" t="str">
        <x:v>Government of Alberta</x:v>
      </x:c>
      <x:c r="D13" s="63" t="str">
        <x:v>Labour</x:v>
      </x:c>
      <x:c r="E13" s="63" t="str">
        <x:v>Alberta</x:v>
      </x:c>
      <x:c r="F13" s="152" t="n">
        <x:v>46128</x:v>
      </x:c>
      <x:c r="G13" s="63" t="str">
        <x:v>active</x:v>
      </x:c>
      <x:c r="H13" s="63" t="str">
        <x:v>https://tradesecrets.alberta.ca/regulation-resources/data/</x:v>
      </x:c>
    </x:row>
    <x:row r="14">
      <x:c r="A14" s="63"/>
      <x:c r="B14" s="63"/>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sheetData>
  <x:mergeCells>
    <x:mergeCell ref="A1:H2"/>
    <x:mergeCell ref="A3:H3"/>
  </x:mergeCells>
  <x:pageMargins left="0.7" right="0.7" top="0.75" bottom="0.75" header="0.3" footer="0.3"/>
  <x:tableParts count="1">
    <x:tablePart xmlns:r="http://schemas.openxmlformats.org/officeDocument/2006/relationships" r:id="R7557a9260994487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61" hidden="0" customWidth="1"/>
    <x:col min="3" max="3" width="15" hidden="0" customWidth="1"/>
    <x:col min="4" max="4" width="18" hidden="0" customWidth="1"/>
  </x:cols>
  <x:sheetData>
    <x:row r="1" ht="28" customHeight="1">
      <x:c r="A1" s="61" t="str">
        <x:v>Release identity and reconciliation</x:v>
      </x:c>
      <x:c r="B1" s="61"/>
      <x:c r="C1" s="61"/>
      <x:c r="D1" s="61"/>
    </x:row>
    <x:row r="2" ht="28" customHeight="1">
      <x:c r="A2" s="61"/>
      <x:c r="B2" s="61"/>
      <x:c r="C2" s="61"/>
      <x:c r="D2" s="61"/>
    </x:row>
    <x:row r="3" ht="21" customHeight="1">
      <x:c r="A3" s="62" t="str">
        <x:v>Workbook results must reconcile to the same immutable public release</x:v>
      </x:c>
      <x:c r="B3" s="62"/>
      <x:c r="C3" s="62"/>
      <x:c r="D3" s="62"/>
    </x:row>
    <x:row r="4">
      <x:c r="A4" s="63"/>
      <x:c r="B4" s="63"/>
      <x:c r="C4" s="63"/>
      <x:c r="D4" s="63"/>
    </x:row>
    <x:row r="5">
      <x:c r="A5" s="72" t="str">
        <x:v>Release version</x:v>
      </x:c>
      <x:c r="B5" s="63" t="str">
        <x:v>0.1.0-dev</x:v>
      </x:c>
      <x:c r="C5" s="63"/>
      <x:c r="D5" s="63"/>
    </x:row>
    <x:row r="6">
      <x:c r="A6" s="72" t="str">
        <x:v>Release ID</x:v>
      </x:c>
      <x:c r="B6" s="63" t="str">
        <x:v>AIIO_RELEASE_0_1_0_DEV</x:v>
      </x:c>
      <x:c r="C6" s="63"/>
      <x:c r="D6" s="63"/>
    </x:row>
    <x:row r="7">
      <x:c r="A7" s="72" t="str">
        <x:v>Schema version</x:v>
      </x:c>
      <x:c r="B7" s="63" t="str">
        <x:v>1.0.0</x:v>
      </x:c>
      <x:c r="C7" s="63"/>
      <x:c r="D7" s="63"/>
    </x:row>
    <x:row r="8">
      <x:c r="A8" s="72" t="str">
        <x:v>Model version</x:v>
      </x:c>
      <x:c r="B8" s="63" t="str">
        <x:v>AIIO_AB_GRAPH_0_1</x:v>
      </x:c>
      <x:c r="C8" s="63"/>
      <x:c r="D8" s="63"/>
    </x:row>
    <x:row r="9">
      <x:c r="A9" s="72" t="str">
        <x:v>Input manifest hash</x:v>
      </x:c>
      <x:c r="B9" s="157" t="str">
        <x:v>sha256:c4b4534a6982da59d35654b242f0ba002755e76ba28a3d617bc8d8c1e39051ec</x:v>
      </x:c>
      <x:c r="C9" s="63"/>
      <x:c r="D9" s="63"/>
    </x:row>
    <x:row r="10">
      <x:c r="A10" s="72" t="str">
        <x:v>Dirty worktree at build</x:v>
      </x:c>
      <x:c r="B10" s="158" t="b">
        <x:v>1</x:v>
      </x:c>
      <x:c r="C10" s="63"/>
      <x:c r="D10" s="63"/>
    </x:row>
    <x:row r="11">
      <x:c r="A11" s="63"/>
      <x:c r="B11" s="63"/>
      <x:c r="C11" s="63"/>
      <x:c r="D11" s="63"/>
    </x:row>
    <x:row r="12" ht="28" customHeight="1">
      <x:c r="A12" s="44" t="str">
        <x:v>Check</x:v>
      </x:c>
      <x:c r="B12" s="84" t="str">
        <x:v>Result</x:v>
      </x:c>
      <x:c r="C12" s="45" t="str">
        <x:v>Expected</x:v>
      </x:c>
      <x:c r="D12" s="63"/>
    </x:row>
    <x:row r="13">
      <x:c r="A13" s="63" t="str">
        <x:v>Component shares sum to 100%</x:v>
      </x:c>
      <x:c r="B13" s="63" t="str">
        <x:f>IF(ABS('Assumptions'!B19-1)&lt;0.000001,"PASS","FAIL")</x:f>
        <x:v>PASS</x:v>
      </x:c>
      <x:c r="C13" s="63" t="str">
        <x:v>PASS</x:v>
      </x:c>
      <x:c r="D13" s="63"/>
    </x:row>
    <x:row r="14">
      <x:c r="A14" s="63" t="str">
        <x:v>Annual profile sums to 100%</x:v>
      </x:c>
      <x:c r="B14" s="63" t="str">
        <x:f>IF(ABS(SUM('Scenario Timeline'!B5:B14)-1)&lt;0.000001,"PASS","FAIL")</x:f>
        <x:v>PASS</x:v>
      </x:c>
      <x:c r="C14" s="63" t="str">
        <x:v>PASS</x:v>
      </x:c>
      <x:c r="D14" s="63"/>
    </x:row>
    <x:row r="15">
      <x:c r="A15" s="63" t="str">
        <x:v>Timeline capex equals scenario total</x:v>
      </x:c>
      <x:c r="B15" s="63" t="str">
        <x:f>IF(ABS('Scenario Timeline'!C15-'Assumptions'!B5)&lt;1,"PASS","FAIL")</x:f>
        <x:v>PASS</x:v>
      </x:c>
      <x:c r="C15" s="63" t="str">
        <x:v>PASS</x:v>
      </x:c>
      <x:c r="D15" s="63"/>
    </x:row>
    <x:row r="16">
      <x:c r="A16" s="63" t="str">
        <x:v>Dashboard core count matches project register</x:v>
      </x:c>
      <x:c r="B16" s="63" t="str">
        <x:f>IF(Dashboard!D6=COUNTIF('AI Projects'!$M$5:$M$26,"core_data_centre"),"PASS","FAIL")</x:f>
        <x:v>PASS</x:v>
      </x:c>
      <x:c r="C16" s="63" t="str">
        <x:v>PASS</x:v>
      </x:c>
      <x:c r="D16" s="63"/>
    </x:row>
    <x:row r="17">
      <x:c r="A17" s="63" t="str">
        <x:v>Dashboard transfer proxy matches central case</x:v>
      </x:c>
      <x:c r="B17" s="63" t="str">
        <x:f>IF(ABS(Dashboard!J6*1000-'Assumptions'!J24)&lt;0.1,"PASS","FAIL")</x:f>
        <x:v>PASS</x:v>
      </x:c>
      <x:c r="C17" s="63" t="str">
        <x:v>PASS</x:v>
      </x:c>
      <x:c r="D17" s="63"/>
    </x:row>
    <x:row r="18">
      <x:c r="A18" s="63" t="str">
        <x:v>All pressure rows are scenario-labelled</x:v>
      </x:c>
      <x:c r="B18" s="63" t="str">
        <x:f>IF(COUNTIF('Pressure Results'!$G$5:$G$13,"scenario")=ROWS('Pressure Results'!$G$5:$G$13),"PASS","FAIL")</x:f>
        <x:v>PASS</x:v>
      </x:c>
      <x:c r="C18" s="63" t="str">
        <x:v>PASS</x:v>
      </x:c>
      <x:c r="D18" s="63"/>
    </x:row>
    <x:row r="19">
      <x:c r="A19" s="63"/>
      <x:c r="B19" s="63"/>
      <x:c r="C19" s="63"/>
      <x:c r="D19" s="63"/>
    </x:row>
    <x:row r="20">
      <x:c r="A20" s="63"/>
      <x:c r="B20" s="63"/>
      <x:c r="C20" s="63"/>
      <x:c r="D20" s="63"/>
    </x:row>
    <x:row r="21">
      <x:c r="A21" s="30" t="str">
        <x:v>A public release is blocked if any check returns FAIL, if the workbook and website manifests differ, or if assumptions/scenarios are presented as observations.</x:v>
      </x:c>
      <x:c r="B21" s="31"/>
      <x:c r="C21" s="31"/>
      <x:c r="D21" s="32"/>
    </x:row>
    <x:row r="22">
      <x:c r="A22" s="36"/>
      <x:c r="B22" s="37"/>
      <x:c r="C22" s="37"/>
      <x:c r="D22" s="38"/>
    </x:row>
    <x:row r="23">
      <x:c r="A23" s="63"/>
      <x:c r="B23" s="63"/>
      <x:c r="C23" s="63"/>
      <x:c r="D23" s="63"/>
    </x:row>
  </x:sheetData>
  <x:mergeCells>
    <x:mergeCell ref="A1:D2"/>
    <x:mergeCell ref="A3:D3"/>
    <x:mergeCell ref="A21:D22"/>
  </x:mergeCells>
  <x:conditionalFormatting sqref="B13:B18">
    <x:cfRule type="containsText" dxfId="0" priority="1" operator="containsText" text="PASS"/>
    <x:cfRule type="containsText" dxfId="1" priority="2" operator="containsText" text="FAIL"/>
  </x:conditionalFormatting>
  <x:pageMargins left="0.7" right="0.7" top="0.75" bottom="0.75" header="0.3" footer="0.3"/>
</x:worksheet>
</file>